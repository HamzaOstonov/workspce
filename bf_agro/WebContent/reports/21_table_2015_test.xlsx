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ЭтаКнига"/>
  <bookViews>
    <workbookView xWindow="-15" yWindow="-15" windowWidth="9615" windowHeight="11130" tabRatio="911"/>
  </bookViews>
  <sheets>
    <sheet name="Balance" sheetId="1" r:id="rId1"/>
  </sheets>
  <definedNames>
    <definedName name="allowance">#REF!</definedName>
    <definedName name="CASHDIVCOM">#REF!</definedName>
    <definedName name="CASHDIVPREF">#REF!</definedName>
    <definedName name="RISKTOTASS">SUM(#REF!)</definedName>
    <definedName name="TOTASS">#REF!</definedName>
    <definedName name="TOTEQT">#REF!</definedName>
    <definedName name="TOTLIAB">#REF!</definedName>
    <definedName name="wrn.Input._.Report."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s>
  <calcPr calcId="125725"/>
</workbook>
</file>

<file path=xl/calcChain.xml><?xml version="1.0" encoding="utf-8"?>
<calcChain xmlns="http://schemas.openxmlformats.org/spreadsheetml/2006/main">
  <c r="C77" i="1"/>
  <c r="C79" s="1"/>
  <c r="C51" s="1"/>
  <c r="C58"/>
  <c r="C54"/>
  <c r="C34"/>
  <c r="C26"/>
  <c r="C23"/>
  <c r="C17"/>
  <c r="C14"/>
  <c r="C64" l="1"/>
  <c r="C60"/>
  <c r="C65"/>
  <c r="C50"/>
  <c r="C78"/>
  <c r="C36" s="1"/>
  <c r="C35" l="1"/>
</calcChain>
</file>

<file path=xl/sharedStrings.xml><?xml version="1.0" encoding="utf-8"?>
<sst xmlns="http://schemas.openxmlformats.org/spreadsheetml/2006/main" count="120" uniqueCount="119">
  <si>
    <t>#FN1{30309,30315}-#FN1{30303,30321}</t>
  </si>
  <si>
    <t>АКТИВЫ</t>
  </si>
  <si>
    <t>в тыс.сум</t>
  </si>
  <si>
    <t>Подпись Руководителя:</t>
  </si>
  <si>
    <t>#FN1{175}</t>
  </si>
  <si>
    <t>мин 161, 222</t>
  </si>
  <si>
    <t>Пассивы</t>
  </si>
  <si>
    <t>#FN1{1}</t>
  </si>
  <si>
    <t>#FN1{2}</t>
  </si>
  <si>
    <t>Активы минус мин{161,222}</t>
  </si>
  <si>
    <t>Пассивы минус мин{161,222}</t>
  </si>
  <si>
    <t>23. Начисленные проценты к оплате</t>
  </si>
  <si>
    <t>г. Чистые активы, приобретенные при ссудных расчетах</t>
  </si>
  <si>
    <t>13. Другие активы</t>
  </si>
  <si>
    <t>14. Итого активов</t>
  </si>
  <si>
    <t>ОБЯЗАТЕЛЬСТВА И АКЦИОНЕРНЫЙ КАПИТАЛ</t>
  </si>
  <si>
    <t xml:space="preserve"> </t>
  </si>
  <si>
    <t>25. Итого обязательств</t>
  </si>
  <si>
    <t>#FN1{4,5,31203,31206}</t>
  </si>
  <si>
    <t xml:space="preserve"> #FN1{101}</t>
  </si>
  <si>
    <t xml:space="preserve"> #FN1{105}</t>
  </si>
  <si>
    <t>#FN1{15801-15821,15901-15993}</t>
  </si>
  <si>
    <t xml:space="preserve"> #FN1{118}</t>
  </si>
  <si>
    <t>4. Счета купли и продажи</t>
  </si>
  <si>
    <t>#FNP{date_end}</t>
  </si>
  <si>
    <t xml:space="preserve">      б. Минус: Резерв возможных убытков по купленным векселям</t>
  </si>
  <si>
    <t>22. Субординированные долговые обязательства</t>
  </si>
  <si>
    <t xml:space="preserve">     а. Ценные бумаги</t>
  </si>
  <si>
    <t xml:space="preserve">     б. Драгоценные металлы, монеты, камни</t>
  </si>
  <si>
    <t xml:space="preserve">      а. Брутто ссуды</t>
  </si>
  <si>
    <t xml:space="preserve">      б. Лизинговые операции, Брутто</t>
  </si>
  <si>
    <t xml:space="preserve">3. К получению из других банков </t>
  </si>
  <si>
    <t>10. Основные средства, чистые</t>
  </si>
  <si>
    <t>11. Начисленные проценты к получению</t>
  </si>
  <si>
    <t xml:space="preserve">      в. Купленные векселя, чистые</t>
  </si>
  <si>
    <t>9. Обязательства клиентов по финансовым инструментам</t>
  </si>
  <si>
    <t>#FN1{15601-15619,15705}</t>
  </si>
  <si>
    <t>#FN1{15899,15999}</t>
  </si>
  <si>
    <t xml:space="preserve"> #FN1{10701-10795,10801-10895}</t>
  </si>
  <si>
    <t>в том числе 16100</t>
  </si>
  <si>
    <t xml:space="preserve"> -#FN1A{161}</t>
  </si>
  <si>
    <t>БАЛАНСОВЫЙ ОТЧЕТ КОММЕРЧЕСКОГО БАНКА</t>
  </si>
  <si>
    <t xml:space="preserve"> -#FN1A{103,16103}</t>
  </si>
  <si>
    <t>Доходы</t>
  </si>
  <si>
    <t>Расходы</t>
  </si>
  <si>
    <t>#FN1{5}</t>
  </si>
  <si>
    <t>#FN1{3}</t>
  </si>
  <si>
    <t xml:space="preserve">      в. Минус: Резерв возможных убытков по ссудам и лизингу</t>
  </si>
  <si>
    <t xml:space="preserve">      г. Cсуды и лизинговые операции, чистые</t>
  </si>
  <si>
    <t>8    а. Купленные векселя</t>
  </si>
  <si>
    <t>в том числе 22200</t>
  </si>
  <si>
    <t>#FN1{222}</t>
  </si>
  <si>
    <t>Подпись Главного Бухгалтера:</t>
  </si>
  <si>
    <t xml:space="preserve">  #FN1{11399}</t>
  </si>
  <si>
    <t>7. Ссуды и Лизинговые операции</t>
  </si>
  <si>
    <t>#FN1{16799}</t>
  </si>
  <si>
    <t>#FN1{30906}</t>
  </si>
  <si>
    <t>#FN1{11199,12199,12399,12499,12599,12699,12799,12999}+#FN1{13099,13199,13299,13399,14399,14599,14799,14899,14999}+#FN1{15099,15199,15299,15399,15499,15599,15699,15799}</t>
  </si>
  <si>
    <t>#FN1{30312,30318}-#FN1{30306,30324}</t>
  </si>
  <si>
    <t xml:space="preserve">     б. Минус: Резерв возможных убытков по инвестициям</t>
  </si>
  <si>
    <t xml:space="preserve">     в. Инвестиции, чистые</t>
  </si>
  <si>
    <t>24. Другие обязательства</t>
  </si>
  <si>
    <t>#FN1{30603}</t>
  </si>
  <si>
    <t>6. Ценные бумаги купленные по соглашению c обратным выкупом</t>
  </si>
  <si>
    <t xml:space="preserve"> #FN1{11301-11395}</t>
  </si>
  <si>
    <t xml:space="preserve"> #FN1{115,117}</t>
  </si>
  <si>
    <t xml:space="preserve"> #FN1{165,166}</t>
  </si>
  <si>
    <t xml:space="preserve"> #FN1{163}</t>
  </si>
  <si>
    <t xml:space="preserve"> #FN1{16709}</t>
  </si>
  <si>
    <t>#FN1{202,226}</t>
  </si>
  <si>
    <t>#FN1{204,23604}</t>
  </si>
  <si>
    <t>#FN1{206,23606}</t>
  </si>
  <si>
    <t>#FN1{208}</t>
  </si>
  <si>
    <t>#FN1{210,212}</t>
  </si>
  <si>
    <t>#FN1{223}</t>
  </si>
  <si>
    <t>#FN1{216,220,221,23602,23608,23610}</t>
  </si>
  <si>
    <t>#FN1{224}</t>
  </si>
  <si>
    <t>#FN1{1110,11195,1190,1210,1230,1240,1250,1260,1270,1290}+#FN1{1300,1310,1320,1330,1430,14501,14505,14701,14705,14801,14809,14901,14905}+#FN1{15001,15005,15101,15105,15201,15205,15301,15305,15401,15405}+#FN1{15501,15505,15701,15703}</t>
  </si>
  <si>
    <t>15. Депозиты до востребования</t>
  </si>
  <si>
    <t>16.Сберегательные депозиты</t>
  </si>
  <si>
    <t xml:space="preserve">17. Срочные депозиты </t>
  </si>
  <si>
    <t>18. К оплате в ЦБРУ</t>
  </si>
  <si>
    <t>ОБЯЗАТЕЛЬСТВА</t>
  </si>
  <si>
    <t xml:space="preserve"> #FN1{10901-10909}</t>
  </si>
  <si>
    <t>19. К оплате в другие банки</t>
  </si>
  <si>
    <t>12. Другое собственное имущество банка</t>
  </si>
  <si>
    <t xml:space="preserve">     а. Инвестиции в недвижимость</t>
  </si>
  <si>
    <t xml:space="preserve">     б. Другие активы, приобретенные при кредитных расчетах</t>
  </si>
  <si>
    <t xml:space="preserve"> #FN1{16701,16703,16705,16713}</t>
  </si>
  <si>
    <t>СОБСТВЕННЫЙ  КАПИТАЛ</t>
  </si>
  <si>
    <t xml:space="preserve"> а. Акции - Обыкновенные</t>
  </si>
  <si>
    <t xml:space="preserve"> б. Акции - Привилегированные</t>
  </si>
  <si>
    <t xml:space="preserve"> а. Резервный фонд общего назначения</t>
  </si>
  <si>
    <t>#FN1{30903}</t>
  </si>
  <si>
    <t xml:space="preserve"> б. Резерв на девальвацию</t>
  </si>
  <si>
    <t xml:space="preserve"> в. Другие резервы и фонды</t>
  </si>
  <si>
    <t xml:space="preserve">26.Уставный капитал </t>
  </si>
  <si>
    <t xml:space="preserve">27.Добавленный капитал </t>
  </si>
  <si>
    <t>28.Резервный капитал</t>
  </si>
  <si>
    <t>29.Нераспределенная прибыль</t>
  </si>
  <si>
    <t>20. Ценные бумаги проданные по соглашению с последующим выкупом</t>
  </si>
  <si>
    <t>21. Ссуды к оплате</t>
  </si>
  <si>
    <t xml:space="preserve">     в. Минус: Резерв возможных убытков по счетам купли-продажи</t>
  </si>
  <si>
    <t xml:space="preserve">     г. Счета купли-продажи, чистые</t>
  </si>
  <si>
    <t>5   а. Инвестиции</t>
  </si>
  <si>
    <t>Капитал</t>
  </si>
  <si>
    <t xml:space="preserve"> -#FN1A{16101,16102,16104,16105,16107,16109}</t>
  </si>
  <si>
    <t>#FN1{4}</t>
  </si>
  <si>
    <t>#FN1{10799,10899,10999}</t>
  </si>
  <si>
    <t xml:space="preserve">1. Кассовая наличность и другие платежные документы </t>
  </si>
  <si>
    <t>2. К получению из ЦБРУ</t>
  </si>
  <si>
    <t xml:space="preserve">     в. Минус:Резервы на возможные убытки по другому собственному имуществу банка</t>
  </si>
  <si>
    <t xml:space="preserve">  а.1. Из них, резервы созданные по стандартным активам</t>
  </si>
  <si>
    <t>30. Итого собственного капитала</t>
  </si>
  <si>
    <t>31. Итого обязательств и собственного капитала</t>
  </si>
  <si>
    <t>#FN1{30908,30904,30905,30907,30909,30910}</t>
  </si>
  <si>
    <t>Таблица-1(Форма-0110BS)</t>
  </si>
  <si>
    <t>#FN1{10}</t>
  </si>
  <si>
    <t xml:space="preserve"> #FN1{101,100,223}</t>
  </si>
</sst>
</file>

<file path=xl/styles.xml><?xml version="1.0" encoding="utf-8"?>
<styleSheet xmlns="http://schemas.openxmlformats.org/spreadsheetml/2006/main">
  <numFmts count="1">
    <numFmt numFmtId="42" formatCode="_-* #,##0&quot;р.&quot;_-;\-* #,##0&quot;р.&quot;_-;_-* &quot;-&quot;&quot;р.&quot;_-;_-@_-"/>
  </numFmts>
  <fonts count="9">
    <font>
      <sz val="10"/>
      <name val="Arial Cyr"/>
      <charset val="204"/>
    </font>
    <font>
      <sz val="11"/>
      <color theme="1"/>
      <name val="Calibri"/>
      <family val="2"/>
      <charset val="204"/>
      <scheme val="minor"/>
    </font>
    <font>
      <sz val="10"/>
      <name val="Arial Cyr"/>
      <charset val="204"/>
    </font>
    <font>
      <b/>
      <sz val="12"/>
      <name val="Times New Roman"/>
      <family val="1"/>
    </font>
    <font>
      <sz val="12"/>
      <name val="Times New Roman"/>
      <family val="1"/>
    </font>
    <font>
      <sz val="12"/>
      <color indexed="9"/>
      <name val="Times New Roman"/>
      <family val="1"/>
    </font>
    <font>
      <b/>
      <sz val="12"/>
      <name val="Times New Roman"/>
      <family val="1"/>
      <charset val="204"/>
    </font>
    <font>
      <b/>
      <sz val="10"/>
      <name val="Arial Cyr"/>
      <charset val="204"/>
    </font>
    <font>
      <sz val="12"/>
      <color theme="0"/>
      <name val="Times New Roman"/>
      <family val="1"/>
    </font>
  </fonts>
  <fills count="4">
    <fill>
      <patternFill patternType="none"/>
    </fill>
    <fill>
      <patternFill patternType="gray125"/>
    </fill>
    <fill>
      <patternFill patternType="solid">
        <fgColor indexed="50"/>
        <bgColor indexed="64"/>
      </patternFill>
    </fill>
    <fill>
      <patternFill patternType="solid">
        <fgColor indexed="9"/>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s>
  <cellStyleXfs count="3">
    <xf numFmtId="0" fontId="0" fillId="0" borderId="0"/>
    <xf numFmtId="42" fontId="2" fillId="0" borderId="0" applyFont="0" applyFill="0" applyBorder="0" applyAlignment="0" applyProtection="0"/>
    <xf numFmtId="0" fontId="1" fillId="0" borderId="0"/>
  </cellStyleXfs>
  <cellXfs count="69">
    <xf numFmtId="0" fontId="0" fillId="0" borderId="0" xfId="0"/>
    <xf numFmtId="0" fontId="4" fillId="0" borderId="2" xfId="0" applyFont="1" applyBorder="1"/>
    <xf numFmtId="3" fontId="4" fillId="2" borderId="2" xfId="0" applyNumberFormat="1" applyFont="1" applyFill="1" applyBorder="1" applyProtection="1"/>
    <xf numFmtId="3" fontId="4" fillId="3" borderId="3" xfId="0" applyNumberFormat="1" applyFont="1" applyFill="1" applyBorder="1" applyProtection="1">
      <protection hidden="1"/>
    </xf>
    <xf numFmtId="3" fontId="4" fillId="0" borderId="2" xfId="0" applyNumberFormat="1" applyFont="1" applyBorder="1" applyAlignment="1" applyProtection="1">
      <alignment wrapText="1"/>
      <protection locked="0"/>
    </xf>
    <xf numFmtId="3" fontId="4" fillId="0" borderId="2" xfId="0" applyNumberFormat="1" applyFont="1" applyFill="1" applyBorder="1" applyProtection="1">
      <protection locked="0"/>
    </xf>
    <xf numFmtId="3" fontId="4" fillId="0" borderId="3" xfId="0" applyNumberFormat="1" applyFont="1" applyBorder="1" applyProtection="1">
      <protection locked="0"/>
    </xf>
    <xf numFmtId="3" fontId="4" fillId="0" borderId="2" xfId="0" applyNumberFormat="1" applyFont="1" applyBorder="1" applyProtection="1"/>
    <xf numFmtId="3" fontId="3" fillId="0" borderId="2" xfId="0" applyNumberFormat="1" applyFont="1" applyBorder="1" applyAlignment="1" applyProtection="1">
      <alignment horizontal="left"/>
    </xf>
    <xf numFmtId="0" fontId="4" fillId="0" borderId="0" xfId="0" applyFont="1"/>
    <xf numFmtId="0" fontId="3" fillId="0" borderId="0" xfId="0" applyFont="1" applyBorder="1"/>
    <xf numFmtId="14" fontId="3" fillId="0" borderId="0" xfId="0" applyNumberFormat="1" applyFont="1" applyBorder="1" applyProtection="1">
      <protection locked="0"/>
    </xf>
    <xf numFmtId="0" fontId="4" fillId="0" borderId="0" xfId="0" applyFont="1" applyBorder="1"/>
    <xf numFmtId="0" fontId="5" fillId="0" borderId="0" xfId="0" applyFont="1" applyProtection="1">
      <protection hidden="1"/>
    </xf>
    <xf numFmtId="0" fontId="4" fillId="0" borderId="0" xfId="0" applyFont="1" applyProtection="1">
      <protection hidden="1"/>
    </xf>
    <xf numFmtId="15" fontId="3" fillId="0" borderId="0" xfId="0" applyNumberFormat="1" applyFont="1" applyBorder="1" applyAlignment="1" applyProtection="1">
      <alignment horizontal="left"/>
      <protection locked="0"/>
    </xf>
    <xf numFmtId="0" fontId="5" fillId="0" borderId="0" xfId="0" applyFont="1" applyBorder="1" applyProtection="1">
      <protection hidden="1"/>
    </xf>
    <xf numFmtId="0" fontId="4" fillId="0" borderId="0" xfId="0" applyFont="1" applyBorder="1" applyProtection="1">
      <protection hidden="1"/>
    </xf>
    <xf numFmtId="0" fontId="4" fillId="0" borderId="1" xfId="0" applyFont="1" applyBorder="1"/>
    <xf numFmtId="0" fontId="5" fillId="0" borderId="0" xfId="0" applyFont="1"/>
    <xf numFmtId="3" fontId="4" fillId="0" borderId="1" xfId="0" applyNumberFormat="1" applyFont="1" applyBorder="1"/>
    <xf numFmtId="0" fontId="5" fillId="0" borderId="0" xfId="0" applyFont="1" applyFill="1" applyBorder="1" applyProtection="1">
      <protection hidden="1"/>
    </xf>
    <xf numFmtId="0" fontId="3" fillId="0" borderId="12" xfId="0" applyFont="1" applyBorder="1" applyAlignment="1">
      <alignment horizontal="left"/>
    </xf>
    <xf numFmtId="0" fontId="3" fillId="0" borderId="8" xfId="0" applyFont="1" applyBorder="1" applyAlignment="1">
      <alignment horizontal="left"/>
    </xf>
    <xf numFmtId="0" fontId="4" fillId="0" borderId="13" xfId="0" applyFont="1" applyBorder="1"/>
    <xf numFmtId="0" fontId="4" fillId="0" borderId="8" xfId="0" applyFont="1" applyBorder="1"/>
    <xf numFmtId="0" fontId="4" fillId="0" borderId="8" xfId="0" applyFont="1" applyBorder="1" applyAlignment="1">
      <alignment wrapText="1"/>
    </xf>
    <xf numFmtId="3" fontId="4" fillId="0" borderId="13" xfId="0" applyNumberFormat="1" applyFont="1" applyBorder="1" applyProtection="1">
      <protection locked="0"/>
    </xf>
    <xf numFmtId="0" fontId="4" fillId="0" borderId="8" xfId="0" applyFont="1" applyBorder="1" applyAlignment="1">
      <alignment horizontal="left" wrapText="1" indent="2"/>
    </xf>
    <xf numFmtId="3" fontId="4" fillId="0" borderId="13" xfId="0" applyNumberFormat="1" applyFont="1" applyBorder="1" applyAlignment="1" applyProtection="1">
      <alignment wrapText="1"/>
      <protection locked="0"/>
    </xf>
    <xf numFmtId="0" fontId="3" fillId="0" borderId="8" xfId="0" applyFont="1" applyBorder="1"/>
    <xf numFmtId="3" fontId="4" fillId="0" borderId="13" xfId="0" applyNumberFormat="1" applyFont="1" applyBorder="1" applyProtection="1"/>
    <xf numFmtId="3" fontId="4" fillId="0" borderId="13" xfId="0" applyNumberFormat="1" applyFont="1" applyBorder="1" applyAlignment="1" applyProtection="1">
      <alignment horizontal="centerContinuous"/>
    </xf>
    <xf numFmtId="0" fontId="4" fillId="0" borderId="8" xfId="1" applyNumberFormat="1" applyFont="1" applyBorder="1"/>
    <xf numFmtId="3" fontId="4" fillId="2" borderId="2" xfId="0" applyNumberFormat="1" applyFont="1" applyFill="1" applyBorder="1" applyProtection="1">
      <protection locked="0"/>
    </xf>
    <xf numFmtId="0" fontId="4" fillId="0" borderId="0" xfId="0" applyFont="1" applyProtection="1">
      <protection locked="0"/>
    </xf>
    <xf numFmtId="3" fontId="4" fillId="2" borderId="4" xfId="0" applyNumberFormat="1" applyFont="1" applyFill="1" applyBorder="1" applyProtection="1">
      <protection locked="0"/>
    </xf>
    <xf numFmtId="0" fontId="4" fillId="0" borderId="0" xfId="0" applyFont="1" applyBorder="1" applyProtection="1">
      <protection locked="0"/>
    </xf>
    <xf numFmtId="3" fontId="4" fillId="3" borderId="3" xfId="0" applyNumberFormat="1" applyFont="1" applyFill="1" applyBorder="1" applyProtection="1">
      <protection locked="0"/>
    </xf>
    <xf numFmtId="3" fontId="4" fillId="3" borderId="13" xfId="0" applyNumberFormat="1" applyFont="1" applyFill="1" applyBorder="1" applyProtection="1">
      <protection locked="0"/>
    </xf>
    <xf numFmtId="3" fontId="4" fillId="0" borderId="14" xfId="0" applyNumberFormat="1" applyFont="1" applyFill="1" applyBorder="1" applyProtection="1">
      <protection locked="0"/>
    </xf>
    <xf numFmtId="0" fontId="4" fillId="0" borderId="8" xfId="0" applyFont="1" applyBorder="1" applyAlignment="1">
      <alignment horizontal="right"/>
    </xf>
    <xf numFmtId="0" fontId="3" fillId="0" borderId="8" xfId="0" applyFont="1" applyBorder="1" applyAlignment="1">
      <alignment horizontal="right"/>
    </xf>
    <xf numFmtId="3" fontId="4" fillId="2" borderId="13" xfId="0" applyNumberFormat="1" applyFont="1" applyFill="1" applyBorder="1" applyProtection="1">
      <protection locked="0"/>
    </xf>
    <xf numFmtId="3" fontId="4" fillId="0" borderId="2" xfId="0" applyNumberFormat="1" applyFont="1" applyBorder="1" applyProtection="1">
      <protection locked="0"/>
    </xf>
    <xf numFmtId="0" fontId="5" fillId="0" borderId="0" xfId="0" applyFont="1" applyBorder="1" applyProtection="1">
      <protection locked="0"/>
    </xf>
    <xf numFmtId="3" fontId="5" fillId="0" borderId="3" xfId="0" applyNumberFormat="1" applyFont="1" applyBorder="1" applyProtection="1">
      <protection locked="0"/>
    </xf>
    <xf numFmtId="0" fontId="4" fillId="0" borderId="0" xfId="0" applyFont="1" applyFill="1"/>
    <xf numFmtId="3" fontId="4" fillId="0" borderId="0" xfId="0" applyNumberFormat="1" applyFont="1" applyFill="1"/>
    <xf numFmtId="0" fontId="4" fillId="0" borderId="0" xfId="0" applyFont="1" applyFill="1" applyBorder="1" applyProtection="1">
      <protection hidden="1"/>
    </xf>
    <xf numFmtId="3" fontId="4" fillId="0" borderId="3" xfId="0" applyNumberFormat="1" applyFont="1" applyFill="1" applyBorder="1" applyProtection="1">
      <protection locked="0"/>
    </xf>
    <xf numFmtId="0" fontId="4" fillId="0" borderId="8" xfId="0" applyFont="1" applyFill="1" applyBorder="1"/>
    <xf numFmtId="3" fontId="4" fillId="0" borderId="2" xfId="0" applyNumberFormat="1" applyFont="1" applyFill="1" applyBorder="1" applyProtection="1"/>
    <xf numFmtId="3" fontId="4" fillId="0" borderId="13" xfId="0" applyNumberFormat="1" applyFont="1" applyFill="1" applyBorder="1" applyProtection="1">
      <protection locked="0"/>
    </xf>
    <xf numFmtId="0" fontId="4" fillId="0" borderId="0" xfId="0" applyFont="1" applyFill="1" applyBorder="1"/>
    <xf numFmtId="0" fontId="4" fillId="0" borderId="7" xfId="0" applyFont="1" applyFill="1" applyBorder="1"/>
    <xf numFmtId="3" fontId="4" fillId="0" borderId="9" xfId="0" applyNumberFormat="1" applyFont="1" applyFill="1" applyBorder="1" applyProtection="1"/>
    <xf numFmtId="3" fontId="4" fillId="0" borderId="11" xfId="0" applyNumberFormat="1" applyFont="1" applyFill="1" applyBorder="1" applyProtection="1"/>
    <xf numFmtId="3" fontId="4" fillId="0" borderId="10" xfId="0" applyNumberFormat="1" applyFont="1" applyFill="1" applyBorder="1" applyProtection="1"/>
    <xf numFmtId="0" fontId="6" fillId="0" borderId="8" xfId="0" applyFont="1" applyFill="1" applyBorder="1"/>
    <xf numFmtId="0" fontId="7" fillId="0" borderId="0" xfId="0" applyFont="1" applyBorder="1" applyAlignment="1">
      <alignment vertical="center" wrapText="1"/>
    </xf>
    <xf numFmtId="0" fontId="8" fillId="0" borderId="0" xfId="0" applyFont="1"/>
    <xf numFmtId="3" fontId="8" fillId="0" borderId="0" xfId="0" applyNumberFormat="1" applyFont="1" applyBorder="1" applyProtection="1">
      <protection locked="0"/>
    </xf>
    <xf numFmtId="0" fontId="8" fillId="0" borderId="0" xfId="0" applyFont="1" applyBorder="1"/>
    <xf numFmtId="0" fontId="8" fillId="0" borderId="0" xfId="0" applyFont="1" applyBorder="1" applyProtection="1">
      <protection hidden="1"/>
    </xf>
    <xf numFmtId="0" fontId="3" fillId="0" borderId="0" xfId="0" applyFont="1" applyFill="1" applyBorder="1" applyAlignment="1">
      <alignment horizontal="center"/>
    </xf>
    <xf numFmtId="0" fontId="4" fillId="0" borderId="0" xfId="0" applyFont="1" applyFill="1" applyBorder="1" applyAlignment="1">
      <alignment horizontal="center"/>
    </xf>
    <xf numFmtId="0" fontId="3" fillId="0" borderId="5" xfId="0" applyFont="1" applyBorder="1" applyAlignment="1">
      <alignment horizontal="center"/>
    </xf>
    <xf numFmtId="0" fontId="4" fillId="0" borderId="6" xfId="0" applyFont="1" applyBorder="1" applyAlignment="1">
      <alignment horizontal="center"/>
    </xf>
  </cellXfs>
  <cellStyles count="3">
    <cellStyle name="Денежный [0]" xfId="1" builtinId="7"/>
    <cellStyle name="Обычный" xfId="0" builtinId="0"/>
    <cellStyle name="Обычный 2" xfId="2"/>
  </cellStyles>
  <dxfs count="4">
    <dxf>
      <fill>
        <patternFill>
          <bgColor indexed="13"/>
        </patternFill>
      </fill>
    </dxf>
    <dxf>
      <fill>
        <patternFill>
          <bgColor indexed="34"/>
        </patternFill>
      </fill>
    </dxf>
    <dxf>
      <fill>
        <patternFill>
          <bgColor indexed="13"/>
        </patternFill>
      </fill>
    </dxf>
    <dxf>
      <fill>
        <patternFill>
          <bgColor indexed="1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Лист1"/>
  <dimension ref="A1:AE205"/>
  <sheetViews>
    <sheetView tabSelected="1" topLeftCell="A7" workbookViewId="0">
      <selection activeCell="C55" sqref="C55"/>
    </sheetView>
  </sheetViews>
  <sheetFormatPr defaultRowHeight="15" customHeight="1"/>
  <cols>
    <col min="1" max="1" width="34.7109375" style="9" customWidth="1"/>
    <col min="2" max="2" width="22.7109375" style="9" customWidth="1"/>
    <col min="3" max="3" width="20.85546875" style="9" customWidth="1"/>
    <col min="4" max="4" width="21.42578125" style="19" customWidth="1"/>
    <col min="5" max="5" width="6.140625" style="9" customWidth="1"/>
    <col min="6" max="6" width="6.42578125" style="9" customWidth="1"/>
    <col min="7" max="21" width="6.140625" style="9" customWidth="1"/>
    <col min="22" max="16384" width="9.140625" style="9"/>
  </cols>
  <sheetData>
    <row r="1" spans="1:22" ht="15" customHeight="1">
      <c r="A1" s="27" t="s">
        <v>118</v>
      </c>
    </row>
    <row r="2" spans="1:22" ht="15" customHeight="1">
      <c r="A2" s="65" t="s">
        <v>41</v>
      </c>
      <c r="B2" s="66"/>
      <c r="C2" s="60" t="s">
        <v>116</v>
      </c>
      <c r="D2" s="60"/>
    </row>
    <row r="3" spans="1:22" ht="15" customHeight="1">
      <c r="A3" s="35" t="s">
        <v>117</v>
      </c>
      <c r="B3" s="11"/>
      <c r="C3" s="12"/>
      <c r="D3" s="13"/>
      <c r="E3" s="13"/>
      <c r="F3" s="13"/>
      <c r="G3" s="14"/>
      <c r="H3" s="14"/>
      <c r="I3" s="14"/>
      <c r="J3" s="14"/>
      <c r="K3" s="14"/>
      <c r="L3" s="14"/>
      <c r="M3" s="14"/>
      <c r="N3" s="14"/>
      <c r="O3" s="14"/>
      <c r="P3" s="14"/>
      <c r="Q3" s="14"/>
      <c r="R3" s="14"/>
    </row>
    <row r="4" spans="1:22" ht="15" customHeight="1" thickBot="1">
      <c r="A4" s="37" t="s">
        <v>24</v>
      </c>
      <c r="B4" s="15"/>
      <c r="C4" s="12"/>
      <c r="D4" s="13"/>
      <c r="E4" s="13"/>
      <c r="F4" s="13"/>
      <c r="G4" s="14"/>
      <c r="H4" s="14"/>
      <c r="I4" s="14"/>
      <c r="J4" s="14"/>
      <c r="K4" s="14"/>
      <c r="L4" s="14"/>
      <c r="M4" s="14"/>
      <c r="N4" s="14"/>
      <c r="O4" s="14"/>
      <c r="P4" s="14"/>
      <c r="Q4" s="14"/>
      <c r="R4" s="14"/>
    </row>
    <row r="5" spans="1:22" ht="15" customHeight="1">
      <c r="A5" s="22" t="s">
        <v>1</v>
      </c>
      <c r="B5" s="67" t="s">
        <v>2</v>
      </c>
      <c r="C5" s="68"/>
      <c r="D5" s="16"/>
      <c r="E5" s="16"/>
      <c r="F5" s="16"/>
      <c r="G5" s="17"/>
      <c r="H5" s="17"/>
      <c r="I5" s="17"/>
      <c r="J5" s="17"/>
      <c r="K5" s="17"/>
      <c r="L5" s="17"/>
      <c r="M5" s="17"/>
      <c r="N5" s="17"/>
      <c r="O5" s="17"/>
      <c r="P5" s="17"/>
      <c r="Q5" s="17"/>
      <c r="R5" s="17"/>
      <c r="S5" s="12"/>
      <c r="T5" s="12"/>
      <c r="U5" s="12"/>
      <c r="V5" s="12"/>
    </row>
    <row r="6" spans="1:22" ht="15" customHeight="1">
      <c r="A6" s="23"/>
      <c r="B6" s="1"/>
      <c r="C6" s="24"/>
      <c r="D6" s="16"/>
      <c r="E6" s="16"/>
      <c r="F6" s="16"/>
      <c r="G6" s="17"/>
      <c r="H6" s="17"/>
      <c r="I6" s="17"/>
      <c r="J6" s="17"/>
      <c r="K6" s="17"/>
      <c r="L6" s="17"/>
      <c r="M6" s="17"/>
      <c r="N6" s="17"/>
      <c r="O6" s="17"/>
      <c r="P6" s="17"/>
      <c r="Q6" s="17"/>
      <c r="R6" s="17"/>
      <c r="S6" s="12"/>
      <c r="T6" s="12"/>
      <c r="U6" s="12"/>
      <c r="V6" s="12"/>
    </row>
    <row r="7" spans="1:22" ht="15" customHeight="1">
      <c r="A7" s="25" t="s">
        <v>109</v>
      </c>
      <c r="B7" s="34"/>
      <c r="C7" s="27" t="s">
        <v>19</v>
      </c>
      <c r="D7" s="16"/>
      <c r="E7" s="16"/>
      <c r="F7" s="16"/>
      <c r="G7" s="17"/>
      <c r="H7" s="17"/>
      <c r="I7" s="17"/>
      <c r="J7" s="17"/>
      <c r="K7" s="17"/>
      <c r="L7" s="17"/>
      <c r="M7" s="17"/>
      <c r="N7" s="17"/>
      <c r="O7" s="17"/>
      <c r="P7" s="17"/>
      <c r="Q7" s="17"/>
      <c r="R7" s="17"/>
      <c r="S7" s="12"/>
      <c r="T7" s="12"/>
      <c r="U7" s="12"/>
      <c r="V7" s="12"/>
    </row>
    <row r="8" spans="1:22" ht="15" customHeight="1">
      <c r="A8" s="25" t="s">
        <v>110</v>
      </c>
      <c r="B8" s="34"/>
      <c r="C8" s="27" t="s">
        <v>42</v>
      </c>
      <c r="D8" s="16"/>
      <c r="E8" s="16"/>
      <c r="F8" s="16"/>
      <c r="G8" s="17"/>
      <c r="H8" s="17"/>
      <c r="I8" s="17"/>
      <c r="J8" s="17"/>
      <c r="K8" s="17"/>
      <c r="L8" s="17"/>
      <c r="M8" s="17"/>
      <c r="N8" s="17"/>
      <c r="O8" s="17"/>
      <c r="P8" s="17"/>
      <c r="Q8" s="17"/>
      <c r="R8" s="17"/>
      <c r="S8" s="12"/>
      <c r="T8" s="12"/>
      <c r="U8" s="12"/>
      <c r="V8" s="12"/>
    </row>
    <row r="9" spans="1:22" ht="15" customHeight="1">
      <c r="A9" s="25" t="s">
        <v>31</v>
      </c>
      <c r="B9" s="34"/>
      <c r="C9" s="27" t="s">
        <v>20</v>
      </c>
      <c r="D9" s="16"/>
      <c r="E9" s="16"/>
      <c r="F9" s="16"/>
      <c r="G9" s="17"/>
      <c r="H9" s="17"/>
      <c r="I9" s="17"/>
      <c r="J9" s="17"/>
      <c r="K9" s="17"/>
      <c r="L9" s="17"/>
      <c r="M9" s="17"/>
      <c r="N9" s="17"/>
      <c r="O9" s="17"/>
      <c r="P9" s="17"/>
      <c r="Q9" s="17"/>
      <c r="R9" s="17"/>
      <c r="S9" s="12"/>
      <c r="T9" s="12"/>
      <c r="U9" s="12"/>
      <c r="V9" s="12"/>
    </row>
    <row r="10" spans="1:22" ht="15" customHeight="1">
      <c r="A10" s="25" t="s">
        <v>23</v>
      </c>
      <c r="B10" s="34"/>
      <c r="C10" s="43"/>
      <c r="D10" s="16"/>
      <c r="E10" s="16"/>
      <c r="F10" s="16"/>
      <c r="G10" s="17"/>
      <c r="H10" s="17"/>
      <c r="I10" s="17"/>
      <c r="J10" s="17"/>
      <c r="K10" s="17"/>
      <c r="L10" s="17"/>
      <c r="M10" s="17"/>
      <c r="N10" s="17"/>
      <c r="O10" s="17"/>
      <c r="P10" s="17"/>
      <c r="Q10" s="17"/>
      <c r="R10" s="17"/>
      <c r="S10" s="12"/>
      <c r="T10" s="12"/>
      <c r="U10" s="12"/>
      <c r="V10" s="12"/>
    </row>
    <row r="11" spans="1:22" ht="15" customHeight="1">
      <c r="A11" s="25" t="s">
        <v>27</v>
      </c>
      <c r="B11" s="6" t="s">
        <v>38</v>
      </c>
      <c r="C11" s="43"/>
      <c r="D11" s="16"/>
      <c r="E11" s="16"/>
      <c r="G11" s="17"/>
      <c r="H11" s="17"/>
      <c r="I11" s="17"/>
      <c r="J11" s="17"/>
      <c r="K11" s="17"/>
      <c r="L11" s="17"/>
      <c r="M11" s="17"/>
      <c r="N11" s="17"/>
      <c r="O11" s="17"/>
      <c r="P11" s="17"/>
      <c r="Q11" s="17"/>
      <c r="R11" s="17"/>
      <c r="S11" s="12"/>
      <c r="T11" s="12"/>
      <c r="U11" s="12"/>
      <c r="V11" s="12"/>
    </row>
    <row r="12" spans="1:22" ht="15" customHeight="1">
      <c r="A12" s="25" t="s">
        <v>28</v>
      </c>
      <c r="B12" s="6" t="s">
        <v>83</v>
      </c>
      <c r="C12" s="43"/>
      <c r="D12" s="16"/>
      <c r="E12" s="16"/>
      <c r="F12" s="16"/>
      <c r="G12" s="17"/>
      <c r="H12" s="17"/>
      <c r="I12" s="17"/>
      <c r="J12" s="17"/>
      <c r="K12" s="17"/>
      <c r="L12" s="17"/>
      <c r="M12" s="17"/>
      <c r="N12" s="17"/>
      <c r="O12" s="17"/>
      <c r="P12" s="17"/>
      <c r="Q12" s="17"/>
      <c r="R12" s="17"/>
      <c r="S12" s="12"/>
      <c r="T12" s="12"/>
      <c r="U12" s="12"/>
      <c r="V12" s="12"/>
    </row>
    <row r="13" spans="1:22" ht="15" customHeight="1">
      <c r="A13" s="25" t="s">
        <v>102</v>
      </c>
      <c r="B13" s="6" t="s">
        <v>108</v>
      </c>
      <c r="C13" s="43"/>
      <c r="D13" s="16"/>
      <c r="E13" s="16"/>
      <c r="F13" s="21"/>
      <c r="G13" s="17"/>
      <c r="H13" s="17"/>
      <c r="I13" s="17"/>
      <c r="J13" s="17"/>
      <c r="K13" s="17"/>
      <c r="L13" s="17"/>
      <c r="M13" s="17"/>
      <c r="N13" s="17"/>
      <c r="O13" s="17"/>
      <c r="P13" s="17"/>
      <c r="Q13" s="17"/>
      <c r="R13" s="17"/>
      <c r="S13" s="12"/>
      <c r="T13" s="12"/>
      <c r="U13" s="12"/>
      <c r="V13" s="12"/>
    </row>
    <row r="14" spans="1:22" ht="15" customHeight="1">
      <c r="A14" s="25" t="s">
        <v>103</v>
      </c>
      <c r="B14" s="34"/>
      <c r="C14" s="27" t="e">
        <f>B11+B12-B13</f>
        <v>#VALUE!</v>
      </c>
      <c r="D14" s="16"/>
      <c r="E14" s="16"/>
      <c r="F14" s="16"/>
      <c r="G14" s="17"/>
      <c r="H14" s="17"/>
      <c r="I14" s="17"/>
      <c r="J14" s="17"/>
      <c r="K14" s="17"/>
      <c r="L14" s="17"/>
      <c r="M14" s="17"/>
      <c r="N14" s="17"/>
      <c r="O14" s="17"/>
      <c r="P14" s="17"/>
      <c r="Q14" s="17"/>
      <c r="R14" s="17"/>
      <c r="S14" s="12"/>
      <c r="T14" s="12"/>
      <c r="U14" s="12"/>
      <c r="V14" s="12"/>
    </row>
    <row r="15" spans="1:22" ht="15" customHeight="1">
      <c r="A15" s="25" t="s">
        <v>104</v>
      </c>
      <c r="B15" s="38" t="s">
        <v>21</v>
      </c>
      <c r="C15" s="43"/>
      <c r="D15" s="16"/>
      <c r="E15" s="16"/>
      <c r="F15" s="16"/>
      <c r="G15" s="17"/>
      <c r="H15" s="17"/>
      <c r="I15" s="17"/>
      <c r="J15" s="17"/>
      <c r="K15" s="17"/>
      <c r="L15" s="17"/>
      <c r="M15" s="17"/>
      <c r="N15" s="17"/>
      <c r="O15" s="17"/>
      <c r="P15" s="17"/>
      <c r="Q15" s="17"/>
      <c r="R15" s="17"/>
      <c r="S15" s="12"/>
      <c r="T15" s="12"/>
      <c r="U15" s="12"/>
      <c r="V15" s="12"/>
    </row>
    <row r="16" spans="1:22" ht="15" customHeight="1">
      <c r="A16" s="25" t="s">
        <v>59</v>
      </c>
      <c r="B16" s="38" t="s">
        <v>37</v>
      </c>
      <c r="C16" s="43"/>
      <c r="D16" s="16"/>
      <c r="E16" s="16"/>
      <c r="F16" s="16"/>
      <c r="G16" s="17"/>
      <c r="H16" s="17"/>
      <c r="I16" s="17"/>
      <c r="J16" s="17"/>
      <c r="K16" s="17"/>
      <c r="L16" s="17"/>
      <c r="M16" s="17"/>
      <c r="N16" s="17"/>
      <c r="O16" s="17"/>
      <c r="P16" s="17"/>
      <c r="Q16" s="17"/>
      <c r="R16" s="17"/>
      <c r="S16" s="12"/>
      <c r="T16" s="12"/>
      <c r="U16" s="12"/>
      <c r="V16" s="12"/>
    </row>
    <row r="17" spans="1:22" ht="15" customHeight="1">
      <c r="A17" s="25" t="s">
        <v>60</v>
      </c>
      <c r="B17" s="34"/>
      <c r="C17" s="39" t="e">
        <f>B15-B16</f>
        <v>#VALUE!</v>
      </c>
      <c r="D17" s="16"/>
      <c r="E17" s="16"/>
      <c r="F17" s="16"/>
      <c r="G17" s="17"/>
      <c r="H17" s="17"/>
      <c r="I17" s="17"/>
      <c r="J17" s="17"/>
      <c r="K17" s="17"/>
      <c r="L17" s="17"/>
      <c r="M17" s="17"/>
      <c r="N17" s="17"/>
      <c r="O17" s="17"/>
      <c r="P17" s="17"/>
      <c r="Q17" s="17"/>
      <c r="R17" s="17"/>
      <c r="S17" s="12"/>
      <c r="T17" s="12"/>
      <c r="U17" s="12"/>
      <c r="V17" s="12"/>
    </row>
    <row r="18" spans="1:22" ht="15" customHeight="1">
      <c r="A18" s="26" t="s">
        <v>63</v>
      </c>
      <c r="B18" s="34"/>
      <c r="C18" s="39" t="s">
        <v>22</v>
      </c>
      <c r="D18" s="16"/>
      <c r="E18" s="16"/>
      <c r="F18" s="16"/>
      <c r="G18" s="17"/>
      <c r="H18" s="17"/>
      <c r="I18" s="17"/>
      <c r="J18" s="17"/>
      <c r="K18" s="17"/>
      <c r="L18" s="17"/>
      <c r="M18" s="17"/>
      <c r="N18" s="17"/>
      <c r="O18" s="17"/>
      <c r="P18" s="17"/>
      <c r="Q18" s="17"/>
      <c r="R18" s="17"/>
      <c r="S18" s="12"/>
      <c r="T18" s="12"/>
      <c r="U18" s="12"/>
      <c r="V18" s="12"/>
    </row>
    <row r="19" spans="1:22" ht="15" customHeight="1">
      <c r="A19" s="25" t="s">
        <v>54</v>
      </c>
      <c r="B19" s="34"/>
      <c r="C19" s="43"/>
      <c r="D19" s="16"/>
      <c r="E19" s="16"/>
      <c r="F19" s="16"/>
      <c r="G19" s="17"/>
      <c r="H19" s="17"/>
      <c r="I19" s="17"/>
      <c r="J19" s="17"/>
      <c r="K19" s="17"/>
      <c r="L19" s="17"/>
      <c r="M19" s="17"/>
      <c r="N19" s="17"/>
      <c r="O19" s="17"/>
      <c r="P19" s="17"/>
      <c r="Q19" s="17"/>
      <c r="R19" s="17"/>
      <c r="S19" s="12"/>
      <c r="T19" s="12"/>
      <c r="U19" s="12"/>
      <c r="V19" s="12"/>
    </row>
    <row r="20" spans="1:22" ht="15.75" customHeight="1">
      <c r="A20" s="25" t="s">
        <v>29</v>
      </c>
      <c r="B20" s="4" t="s">
        <v>77</v>
      </c>
      <c r="C20" s="43"/>
      <c r="D20" s="16"/>
      <c r="E20" s="16"/>
      <c r="F20" s="16"/>
      <c r="G20" s="17"/>
      <c r="H20" s="17"/>
      <c r="I20" s="17"/>
      <c r="J20" s="17"/>
      <c r="K20" s="17"/>
      <c r="L20" s="17"/>
      <c r="M20" s="17"/>
      <c r="N20" s="17"/>
      <c r="O20" s="17"/>
      <c r="P20" s="17"/>
      <c r="Q20" s="17"/>
      <c r="R20" s="17"/>
      <c r="S20" s="12"/>
      <c r="T20" s="12"/>
      <c r="U20" s="12"/>
      <c r="V20" s="12"/>
    </row>
    <row r="21" spans="1:22" ht="15" customHeight="1">
      <c r="A21" s="25" t="s">
        <v>30</v>
      </c>
      <c r="B21" s="38" t="s">
        <v>36</v>
      </c>
      <c r="C21" s="43"/>
      <c r="D21" s="16"/>
      <c r="E21" s="16"/>
      <c r="F21" s="16"/>
      <c r="G21" s="17"/>
      <c r="H21" s="17"/>
      <c r="I21" s="17"/>
      <c r="J21" s="17"/>
      <c r="K21" s="17"/>
      <c r="L21" s="17"/>
      <c r="M21" s="17"/>
      <c r="N21" s="17"/>
      <c r="O21" s="17"/>
      <c r="P21" s="17"/>
      <c r="Q21" s="17"/>
      <c r="R21" s="17"/>
      <c r="S21" s="12"/>
      <c r="T21" s="12"/>
      <c r="U21" s="12"/>
      <c r="V21" s="12"/>
    </row>
    <row r="22" spans="1:22" ht="15" customHeight="1">
      <c r="A22" s="26" t="s">
        <v>47</v>
      </c>
      <c r="B22" s="4" t="s">
        <v>57</v>
      </c>
      <c r="C22" s="43"/>
      <c r="D22" s="16"/>
      <c r="E22" s="16"/>
      <c r="F22" s="16"/>
      <c r="G22" s="17"/>
      <c r="H22" s="17"/>
      <c r="I22" s="17"/>
      <c r="J22" s="17"/>
      <c r="K22" s="17"/>
      <c r="L22" s="17"/>
      <c r="M22" s="17"/>
      <c r="N22" s="17"/>
      <c r="O22" s="17"/>
      <c r="P22" s="17"/>
      <c r="Q22" s="17"/>
      <c r="R22" s="17"/>
      <c r="S22" s="12"/>
      <c r="T22" s="12"/>
      <c r="U22" s="12"/>
      <c r="V22" s="12"/>
    </row>
    <row r="23" spans="1:22" ht="15" customHeight="1">
      <c r="A23" s="25" t="s">
        <v>48</v>
      </c>
      <c r="B23" s="34"/>
      <c r="C23" s="27" t="e">
        <f>B20+B21-B22</f>
        <v>#VALUE!</v>
      </c>
      <c r="D23" s="16"/>
      <c r="E23" s="16"/>
      <c r="F23" s="16"/>
      <c r="G23" s="17"/>
      <c r="H23" s="17"/>
      <c r="I23" s="17"/>
      <c r="J23" s="17"/>
      <c r="K23" s="17"/>
      <c r="L23" s="17"/>
      <c r="M23" s="17"/>
      <c r="N23" s="17"/>
      <c r="O23" s="17"/>
      <c r="P23" s="17"/>
      <c r="Q23" s="17"/>
      <c r="R23" s="17"/>
      <c r="S23" s="12"/>
      <c r="T23" s="12"/>
      <c r="U23" s="12"/>
      <c r="V23" s="12"/>
    </row>
    <row r="24" spans="1:22" ht="15" customHeight="1">
      <c r="A24" s="25" t="s">
        <v>49</v>
      </c>
      <c r="B24" s="5" t="s">
        <v>64</v>
      </c>
      <c r="C24" s="43"/>
      <c r="D24" s="16"/>
      <c r="E24" s="16"/>
      <c r="F24" s="16"/>
      <c r="G24" s="17"/>
      <c r="H24" s="17"/>
      <c r="I24" s="17"/>
      <c r="J24" s="17"/>
      <c r="K24" s="17"/>
      <c r="L24" s="17"/>
      <c r="M24" s="17"/>
      <c r="N24" s="17"/>
      <c r="O24" s="17"/>
      <c r="P24" s="17"/>
      <c r="Q24" s="17"/>
      <c r="R24" s="17"/>
      <c r="S24" s="12"/>
      <c r="T24" s="12"/>
      <c r="U24" s="12"/>
      <c r="V24" s="12"/>
    </row>
    <row r="25" spans="1:22" ht="15" customHeight="1">
      <c r="A25" s="25" t="s">
        <v>25</v>
      </c>
      <c r="B25" s="5" t="s">
        <v>53</v>
      </c>
      <c r="C25" s="43"/>
      <c r="D25" s="16"/>
      <c r="E25" s="16"/>
      <c r="F25" s="16"/>
      <c r="G25" s="17"/>
      <c r="H25" s="17"/>
      <c r="I25" s="17"/>
      <c r="J25" s="17"/>
      <c r="K25" s="17"/>
      <c r="L25" s="17"/>
      <c r="M25" s="17"/>
      <c r="N25" s="17"/>
      <c r="O25" s="17"/>
      <c r="P25" s="17"/>
      <c r="Q25" s="17"/>
      <c r="R25" s="17"/>
      <c r="S25" s="12"/>
      <c r="T25" s="12"/>
      <c r="U25" s="12"/>
      <c r="V25" s="12"/>
    </row>
    <row r="26" spans="1:22" ht="15" customHeight="1">
      <c r="A26" s="25" t="s">
        <v>34</v>
      </c>
      <c r="B26" s="34"/>
      <c r="C26" s="27" t="e">
        <f>B24-B25</f>
        <v>#VALUE!</v>
      </c>
      <c r="D26" s="16"/>
      <c r="E26" s="16"/>
      <c r="F26" s="16"/>
      <c r="G26" s="17"/>
      <c r="H26" s="17"/>
      <c r="I26" s="17"/>
      <c r="J26" s="17"/>
      <c r="K26" s="17"/>
      <c r="L26" s="17"/>
      <c r="M26" s="17"/>
      <c r="N26" s="17"/>
      <c r="O26" s="17"/>
      <c r="P26" s="17"/>
      <c r="Q26" s="17"/>
      <c r="R26" s="17"/>
      <c r="S26" s="12"/>
      <c r="T26" s="12"/>
      <c r="U26" s="12"/>
      <c r="V26" s="12"/>
    </row>
    <row r="27" spans="1:22" ht="15" customHeight="1">
      <c r="A27" s="25" t="s">
        <v>35</v>
      </c>
      <c r="B27" s="34"/>
      <c r="C27" s="27" t="s">
        <v>65</v>
      </c>
      <c r="D27" s="16"/>
      <c r="E27" s="16"/>
      <c r="F27" s="16"/>
      <c r="G27" s="17"/>
      <c r="H27" s="17"/>
      <c r="I27" s="17"/>
      <c r="J27" s="17"/>
      <c r="K27" s="17"/>
      <c r="L27" s="17"/>
      <c r="M27" s="17"/>
      <c r="N27" s="17"/>
      <c r="O27" s="17"/>
      <c r="P27" s="17"/>
      <c r="Q27" s="17"/>
      <c r="R27" s="17"/>
      <c r="S27" s="12"/>
      <c r="T27" s="12"/>
      <c r="U27" s="12"/>
      <c r="V27" s="12"/>
    </row>
    <row r="28" spans="1:22" ht="15" customHeight="1">
      <c r="A28" s="25" t="s">
        <v>32</v>
      </c>
      <c r="B28" s="34"/>
      <c r="C28" s="27" t="s">
        <v>66</v>
      </c>
      <c r="D28" s="16"/>
      <c r="E28" s="16"/>
      <c r="F28" s="16"/>
      <c r="G28" s="17"/>
      <c r="H28" s="17"/>
      <c r="I28" s="17"/>
      <c r="J28" s="17"/>
      <c r="K28" s="17"/>
      <c r="L28" s="17"/>
      <c r="M28" s="17"/>
      <c r="N28" s="17"/>
      <c r="O28" s="17"/>
      <c r="P28" s="17"/>
      <c r="Q28" s="17"/>
      <c r="R28" s="17"/>
      <c r="S28" s="12"/>
      <c r="T28" s="12"/>
      <c r="U28" s="12"/>
      <c r="V28" s="12"/>
    </row>
    <row r="29" spans="1:22" ht="15" customHeight="1">
      <c r="A29" s="25" t="s">
        <v>33</v>
      </c>
      <c r="B29" s="34"/>
      <c r="C29" s="27" t="s">
        <v>67</v>
      </c>
      <c r="D29" s="16"/>
      <c r="E29" s="16"/>
      <c r="F29" s="16"/>
      <c r="G29" s="17"/>
      <c r="H29" s="17"/>
      <c r="I29" s="17"/>
      <c r="J29" s="17"/>
      <c r="K29" s="17"/>
      <c r="L29" s="17"/>
      <c r="M29" s="17"/>
      <c r="N29" s="17"/>
      <c r="O29" s="17"/>
      <c r="P29" s="17"/>
      <c r="Q29" s="17"/>
      <c r="R29" s="17"/>
      <c r="S29" s="12"/>
      <c r="T29" s="12"/>
      <c r="U29" s="12"/>
      <c r="V29" s="12"/>
    </row>
    <row r="30" spans="1:22" ht="15" customHeight="1">
      <c r="A30" s="25" t="s">
        <v>85</v>
      </c>
      <c r="B30" s="34"/>
      <c r="C30" s="36"/>
      <c r="D30" s="16"/>
      <c r="E30" s="16"/>
      <c r="F30" s="16"/>
      <c r="G30" s="17"/>
      <c r="H30" s="17"/>
      <c r="I30" s="17"/>
      <c r="J30" s="17"/>
      <c r="K30" s="17"/>
      <c r="L30" s="17"/>
      <c r="M30" s="17"/>
      <c r="N30" s="17"/>
      <c r="O30" s="17"/>
      <c r="P30" s="17"/>
      <c r="Q30" s="17"/>
      <c r="R30" s="17"/>
      <c r="S30" s="12"/>
      <c r="T30" s="12"/>
      <c r="U30" s="12"/>
      <c r="V30" s="12"/>
    </row>
    <row r="31" spans="1:22" ht="15" customHeight="1">
      <c r="A31" s="25" t="s">
        <v>86</v>
      </c>
      <c r="B31" s="6" t="s">
        <v>68</v>
      </c>
      <c r="C31" s="43"/>
      <c r="D31" s="16"/>
      <c r="E31" s="16"/>
      <c r="F31" s="16"/>
      <c r="G31" s="17"/>
      <c r="H31" s="17"/>
      <c r="I31" s="17"/>
      <c r="J31" s="17"/>
      <c r="K31" s="17"/>
      <c r="L31" s="17"/>
      <c r="M31" s="17"/>
      <c r="N31" s="17"/>
      <c r="O31" s="17"/>
      <c r="P31" s="17"/>
      <c r="Q31" s="17"/>
      <c r="R31" s="17"/>
      <c r="S31" s="12"/>
      <c r="T31" s="12"/>
      <c r="U31" s="12"/>
      <c r="V31" s="12"/>
    </row>
    <row r="32" spans="1:22" ht="15" customHeight="1">
      <c r="A32" s="25" t="s">
        <v>87</v>
      </c>
      <c r="B32" s="50" t="s">
        <v>88</v>
      </c>
      <c r="C32" s="43"/>
      <c r="D32" s="16"/>
      <c r="E32" s="16"/>
      <c r="F32" s="16"/>
      <c r="G32" s="17"/>
      <c r="H32" s="17"/>
      <c r="I32" s="17"/>
      <c r="J32" s="17"/>
      <c r="K32" s="17"/>
      <c r="L32" s="17"/>
      <c r="M32" s="17"/>
      <c r="N32" s="17"/>
      <c r="O32" s="17"/>
      <c r="P32" s="17"/>
      <c r="Q32" s="17"/>
      <c r="R32" s="17"/>
      <c r="S32" s="12"/>
      <c r="T32" s="12"/>
      <c r="U32" s="12"/>
      <c r="V32" s="12"/>
    </row>
    <row r="33" spans="1:22" ht="30" customHeight="1">
      <c r="A33" s="25" t="s">
        <v>111</v>
      </c>
      <c r="B33" s="6" t="s">
        <v>55</v>
      </c>
      <c r="C33" s="43"/>
      <c r="D33" s="16"/>
      <c r="E33" s="16"/>
      <c r="F33" s="16"/>
      <c r="G33" s="17"/>
      <c r="H33" s="17"/>
      <c r="I33" s="17"/>
      <c r="J33" s="17"/>
      <c r="K33" s="17"/>
      <c r="L33" s="17"/>
      <c r="M33" s="17"/>
      <c r="N33" s="17"/>
      <c r="O33" s="17"/>
      <c r="P33" s="17"/>
      <c r="Q33" s="17"/>
      <c r="R33" s="17"/>
      <c r="S33" s="12"/>
      <c r="T33" s="12"/>
      <c r="U33" s="12"/>
      <c r="V33" s="12"/>
    </row>
    <row r="34" spans="1:22" ht="15" customHeight="1">
      <c r="A34" s="28" t="s">
        <v>12</v>
      </c>
      <c r="B34" s="34"/>
      <c r="C34" s="27" t="e">
        <f>B31+B32-B33</f>
        <v>#VALUE!</v>
      </c>
      <c r="D34" s="16"/>
      <c r="E34" s="16"/>
      <c r="F34" s="16"/>
      <c r="G34" s="17"/>
      <c r="H34" s="17"/>
      <c r="I34" s="17"/>
      <c r="J34" s="17"/>
      <c r="K34" s="17"/>
      <c r="L34" s="17"/>
      <c r="M34" s="17"/>
      <c r="N34" s="17"/>
      <c r="O34" s="17"/>
      <c r="P34" s="17"/>
      <c r="Q34" s="17"/>
      <c r="R34" s="17"/>
      <c r="S34" s="12"/>
      <c r="T34" s="12"/>
      <c r="U34" s="12"/>
      <c r="V34" s="12"/>
    </row>
    <row r="35" spans="1:22" ht="15" customHeight="1">
      <c r="A35" s="25" t="s">
        <v>13</v>
      </c>
      <c r="B35" s="34"/>
      <c r="C35" s="27" t="e">
        <f>C36-C7-C8-C9-C14-C17-C18-C23-C26-C27-C28-C29-C34</f>
        <v>#VALUE!</v>
      </c>
      <c r="D35" s="46" t="s">
        <v>16</v>
      </c>
      <c r="E35" s="16"/>
      <c r="F35" s="16"/>
      <c r="G35" s="17"/>
      <c r="H35" s="17"/>
      <c r="I35" s="17"/>
      <c r="J35" s="17"/>
      <c r="K35" s="17"/>
      <c r="L35" s="17"/>
      <c r="M35" s="17"/>
      <c r="N35" s="17"/>
      <c r="O35" s="17"/>
      <c r="P35" s="17"/>
      <c r="Q35" s="17"/>
      <c r="R35" s="17"/>
      <c r="S35" s="12"/>
      <c r="T35" s="12"/>
      <c r="U35" s="12"/>
      <c r="V35" s="12"/>
    </row>
    <row r="36" spans="1:22" ht="15" customHeight="1">
      <c r="A36" s="30" t="s">
        <v>14</v>
      </c>
      <c r="B36" s="34"/>
      <c r="C36" s="27" t="e">
        <f>C78-C80</f>
        <v>#VALUE!</v>
      </c>
      <c r="D36" s="16"/>
      <c r="E36" s="16"/>
      <c r="F36" s="16"/>
      <c r="G36" s="17"/>
      <c r="H36" s="17"/>
      <c r="I36" s="17"/>
      <c r="J36" s="17"/>
      <c r="K36" s="17"/>
      <c r="L36" s="17"/>
      <c r="M36" s="17"/>
      <c r="N36" s="17"/>
      <c r="O36" s="17"/>
      <c r="P36" s="17"/>
      <c r="Q36" s="17"/>
      <c r="R36" s="17"/>
      <c r="S36" s="12"/>
      <c r="T36" s="12"/>
      <c r="U36" s="12"/>
      <c r="V36" s="12"/>
    </row>
    <row r="37" spans="1:22" ht="15" customHeight="1">
      <c r="A37" s="41" t="s">
        <v>39</v>
      </c>
      <c r="B37" s="44"/>
      <c r="C37" s="27" t="s">
        <v>40</v>
      </c>
      <c r="D37" s="16"/>
      <c r="E37" s="16"/>
      <c r="F37" s="16"/>
      <c r="G37" s="17"/>
      <c r="H37" s="17"/>
      <c r="I37" s="17"/>
      <c r="J37" s="17"/>
      <c r="K37" s="17"/>
      <c r="L37" s="17"/>
      <c r="M37" s="17"/>
      <c r="N37" s="17"/>
      <c r="O37" s="17"/>
      <c r="P37" s="17"/>
      <c r="Q37" s="17"/>
      <c r="R37" s="17"/>
      <c r="S37" s="12"/>
      <c r="T37" s="12"/>
      <c r="U37" s="12"/>
      <c r="V37" s="12"/>
    </row>
    <row r="38" spans="1:22" ht="15" customHeight="1">
      <c r="A38" s="23" t="s">
        <v>15</v>
      </c>
      <c r="B38" s="8"/>
      <c r="C38" s="32"/>
      <c r="D38" s="16"/>
      <c r="E38" s="16"/>
      <c r="F38" s="16"/>
      <c r="G38" s="17"/>
      <c r="H38" s="17"/>
      <c r="I38" s="17"/>
      <c r="J38" s="17"/>
      <c r="K38" s="17"/>
      <c r="L38" s="17"/>
      <c r="M38" s="17"/>
      <c r="N38" s="17"/>
      <c r="O38" s="17"/>
      <c r="P38" s="17"/>
      <c r="Q38" s="17"/>
      <c r="R38" s="17"/>
      <c r="S38" s="12"/>
      <c r="T38" s="12"/>
      <c r="U38" s="12"/>
      <c r="V38" s="12"/>
    </row>
    <row r="39" spans="1:22" ht="15" customHeight="1">
      <c r="A39" s="23"/>
      <c r="B39" s="8"/>
      <c r="C39" s="32"/>
      <c r="D39" s="16"/>
      <c r="E39" s="16"/>
      <c r="F39" s="16"/>
      <c r="G39" s="17"/>
      <c r="H39" s="17"/>
      <c r="I39" s="17"/>
      <c r="J39" s="17"/>
      <c r="K39" s="17"/>
      <c r="L39" s="17"/>
      <c r="M39" s="17"/>
      <c r="N39" s="17"/>
      <c r="O39" s="17"/>
      <c r="P39" s="17"/>
      <c r="Q39" s="17"/>
      <c r="R39" s="17"/>
      <c r="S39" s="12"/>
      <c r="T39" s="12"/>
      <c r="U39" s="12"/>
      <c r="V39" s="12"/>
    </row>
    <row r="40" spans="1:22" ht="15" customHeight="1">
      <c r="A40" s="30" t="s">
        <v>82</v>
      </c>
      <c r="B40" s="7"/>
      <c r="C40" s="31"/>
      <c r="D40" s="16"/>
      <c r="E40" s="16"/>
      <c r="F40" s="16"/>
      <c r="G40" s="17"/>
      <c r="H40" s="17"/>
      <c r="I40" s="17"/>
      <c r="J40" s="17"/>
      <c r="K40" s="17"/>
      <c r="L40" s="17"/>
      <c r="M40" s="17"/>
      <c r="N40" s="17"/>
      <c r="O40" s="17"/>
      <c r="P40" s="17"/>
      <c r="Q40" s="17"/>
      <c r="R40" s="17"/>
      <c r="S40" s="12"/>
      <c r="T40" s="12"/>
      <c r="U40" s="12"/>
      <c r="V40" s="12"/>
    </row>
    <row r="41" spans="1:22" ht="15" customHeight="1">
      <c r="A41" s="25" t="s">
        <v>78</v>
      </c>
      <c r="B41" s="2"/>
      <c r="C41" s="39" t="s">
        <v>69</v>
      </c>
      <c r="D41" s="16"/>
      <c r="E41" s="16"/>
      <c r="F41" s="16"/>
      <c r="G41" s="17"/>
      <c r="H41" s="17"/>
      <c r="I41" s="17"/>
      <c r="J41" s="17"/>
      <c r="K41" s="17"/>
      <c r="L41" s="17"/>
      <c r="M41" s="17"/>
      <c r="N41" s="17"/>
      <c r="O41" s="17"/>
      <c r="P41" s="17"/>
      <c r="Q41" s="17"/>
      <c r="R41" s="17"/>
      <c r="S41" s="12"/>
      <c r="T41" s="12"/>
      <c r="U41" s="12"/>
      <c r="V41" s="12"/>
    </row>
    <row r="42" spans="1:22" ht="15" customHeight="1">
      <c r="A42" s="25" t="s">
        <v>79</v>
      </c>
      <c r="B42" s="2"/>
      <c r="C42" s="39" t="s">
        <v>70</v>
      </c>
      <c r="D42" s="16"/>
      <c r="E42" s="16"/>
      <c r="F42" s="16"/>
      <c r="G42" s="17"/>
      <c r="H42" s="17"/>
      <c r="I42" s="17"/>
      <c r="J42" s="17"/>
      <c r="K42" s="17"/>
      <c r="L42" s="17"/>
      <c r="M42" s="17"/>
      <c r="N42" s="17"/>
      <c r="O42" s="17"/>
      <c r="P42" s="17"/>
      <c r="Q42" s="17"/>
      <c r="R42" s="17"/>
      <c r="S42" s="12"/>
      <c r="T42" s="12"/>
      <c r="U42" s="12"/>
      <c r="V42" s="12"/>
    </row>
    <row r="43" spans="1:22" ht="15" customHeight="1">
      <c r="A43" s="25" t="s">
        <v>80</v>
      </c>
      <c r="B43" s="2"/>
      <c r="C43" s="39" t="s">
        <v>71</v>
      </c>
      <c r="D43" s="16"/>
      <c r="E43" s="16"/>
      <c r="F43" s="16"/>
      <c r="G43" s="17"/>
      <c r="H43" s="17"/>
      <c r="I43" s="17"/>
      <c r="J43" s="17"/>
      <c r="K43" s="17"/>
      <c r="L43" s="17"/>
      <c r="M43" s="17"/>
      <c r="N43" s="17"/>
      <c r="O43" s="17"/>
      <c r="P43" s="17"/>
      <c r="Q43" s="17"/>
      <c r="R43" s="17"/>
      <c r="S43" s="12"/>
      <c r="T43" s="12"/>
      <c r="U43" s="12"/>
      <c r="V43" s="12"/>
    </row>
    <row r="44" spans="1:22" ht="15" customHeight="1">
      <c r="A44" s="25" t="s">
        <v>81</v>
      </c>
      <c r="B44" s="2"/>
      <c r="C44" s="27" t="s">
        <v>72</v>
      </c>
      <c r="D44" s="16"/>
      <c r="E44" s="16"/>
      <c r="F44" s="16"/>
      <c r="G44" s="17"/>
      <c r="H44" s="17"/>
      <c r="I44" s="17"/>
      <c r="J44" s="17"/>
      <c r="K44" s="17"/>
      <c r="L44" s="17"/>
      <c r="M44" s="17"/>
      <c r="N44" s="17"/>
      <c r="O44" s="17"/>
      <c r="P44" s="17"/>
      <c r="Q44" s="17"/>
      <c r="R44" s="17"/>
      <c r="S44" s="12"/>
      <c r="T44" s="12"/>
      <c r="U44" s="12"/>
      <c r="V44" s="12"/>
    </row>
    <row r="45" spans="1:22" ht="15" customHeight="1">
      <c r="A45" s="25" t="s">
        <v>84</v>
      </c>
      <c r="B45" s="2"/>
      <c r="C45" s="27" t="s">
        <v>73</v>
      </c>
      <c r="D45" s="16"/>
      <c r="E45" s="16"/>
      <c r="F45" s="16"/>
      <c r="G45" s="17"/>
      <c r="H45" s="17"/>
      <c r="I45" s="17"/>
      <c r="J45" s="17"/>
      <c r="K45" s="17"/>
      <c r="L45" s="17"/>
      <c r="M45" s="17"/>
      <c r="N45" s="17"/>
      <c r="O45" s="17"/>
      <c r="P45" s="17"/>
      <c r="Q45" s="17"/>
      <c r="R45" s="17"/>
      <c r="S45" s="12"/>
      <c r="T45" s="12"/>
      <c r="U45" s="12"/>
      <c r="V45" s="12"/>
    </row>
    <row r="46" spans="1:22" ht="15" customHeight="1">
      <c r="A46" s="26" t="s">
        <v>100</v>
      </c>
      <c r="B46" s="2"/>
      <c r="C46" s="27" t="s">
        <v>74</v>
      </c>
      <c r="D46" s="16"/>
      <c r="E46" s="16"/>
      <c r="F46" s="16"/>
      <c r="G46" s="17"/>
      <c r="H46" s="17"/>
      <c r="I46" s="17"/>
      <c r="J46" s="17"/>
      <c r="K46" s="17"/>
      <c r="L46" s="17"/>
      <c r="M46" s="17"/>
      <c r="N46" s="17"/>
      <c r="O46" s="17"/>
      <c r="P46" s="17"/>
      <c r="Q46" s="17"/>
      <c r="R46" s="17"/>
      <c r="S46" s="12"/>
      <c r="T46" s="12"/>
      <c r="U46" s="12"/>
      <c r="V46" s="12"/>
    </row>
    <row r="47" spans="1:22" ht="15" customHeight="1">
      <c r="A47" s="25" t="s">
        <v>101</v>
      </c>
      <c r="B47" s="2"/>
      <c r="C47" s="40" t="s">
        <v>75</v>
      </c>
      <c r="D47" s="16"/>
      <c r="E47" s="16"/>
      <c r="F47" s="16"/>
      <c r="G47" s="17"/>
      <c r="H47" s="17"/>
      <c r="I47" s="17"/>
      <c r="J47" s="17"/>
      <c r="K47" s="17"/>
      <c r="L47" s="17"/>
      <c r="M47" s="17"/>
      <c r="N47" s="17"/>
      <c r="O47" s="17"/>
      <c r="P47" s="17"/>
      <c r="Q47" s="17"/>
      <c r="R47" s="17"/>
      <c r="S47" s="12"/>
      <c r="T47" s="12"/>
      <c r="U47" s="12"/>
      <c r="V47" s="12"/>
    </row>
    <row r="48" spans="1:22" ht="15" customHeight="1">
      <c r="A48" s="33" t="s">
        <v>26</v>
      </c>
      <c r="B48" s="2"/>
      <c r="C48" s="27"/>
      <c r="D48" s="16"/>
      <c r="E48" s="16"/>
      <c r="F48" s="16"/>
      <c r="G48" s="17"/>
      <c r="H48" s="17"/>
      <c r="I48" s="17"/>
      <c r="J48" s="17"/>
      <c r="K48" s="17"/>
      <c r="L48" s="17"/>
      <c r="M48" s="17"/>
      <c r="N48" s="17"/>
      <c r="O48" s="17"/>
      <c r="P48" s="17"/>
      <c r="Q48" s="17"/>
      <c r="R48" s="17"/>
      <c r="S48" s="12"/>
      <c r="T48" s="12"/>
      <c r="U48" s="12"/>
      <c r="V48" s="12"/>
    </row>
    <row r="49" spans="1:22" ht="15" customHeight="1">
      <c r="A49" s="25" t="s">
        <v>11</v>
      </c>
      <c r="B49" s="2"/>
      <c r="C49" s="40" t="s">
        <v>76</v>
      </c>
      <c r="D49" s="16"/>
      <c r="E49" s="16"/>
      <c r="F49" s="16"/>
      <c r="G49" s="17"/>
      <c r="H49" s="17"/>
      <c r="I49" s="17"/>
      <c r="J49" s="17"/>
      <c r="K49" s="17"/>
      <c r="L49" s="17"/>
      <c r="M49" s="17"/>
      <c r="N49" s="17"/>
      <c r="O49" s="17"/>
      <c r="P49" s="17"/>
      <c r="Q49" s="17"/>
      <c r="R49" s="17"/>
      <c r="S49" s="12"/>
      <c r="T49" s="12"/>
      <c r="U49" s="12"/>
      <c r="V49" s="12"/>
    </row>
    <row r="50" spans="1:22" ht="15" customHeight="1">
      <c r="A50" s="25" t="s">
        <v>61</v>
      </c>
      <c r="B50" s="2"/>
      <c r="C50" s="29" t="e">
        <f>C51-C41-C42-C43-C44-C45-C46-C47-C49</f>
        <v>#VALUE!</v>
      </c>
      <c r="D50" s="16"/>
      <c r="E50" s="16"/>
      <c r="F50" s="16"/>
      <c r="G50" s="17"/>
      <c r="H50" s="17"/>
      <c r="I50" s="17"/>
      <c r="J50" s="17"/>
      <c r="K50" s="17"/>
      <c r="L50" s="17"/>
      <c r="M50" s="17"/>
      <c r="N50" s="17"/>
      <c r="O50" s="17"/>
      <c r="P50" s="17"/>
      <c r="Q50" s="17"/>
      <c r="R50" s="17"/>
      <c r="S50" s="12"/>
      <c r="T50" s="12"/>
      <c r="U50" s="12"/>
      <c r="V50" s="12"/>
    </row>
    <row r="51" spans="1:22" ht="15" customHeight="1">
      <c r="A51" s="30" t="s">
        <v>17</v>
      </c>
      <c r="B51" s="2"/>
      <c r="C51" s="27" t="e">
        <f>C79-C80</f>
        <v>#VALUE!</v>
      </c>
      <c r="D51" s="16"/>
      <c r="E51" s="16"/>
      <c r="F51" s="16"/>
      <c r="G51" s="17"/>
      <c r="H51" s="17"/>
      <c r="I51" s="17"/>
      <c r="J51" s="17"/>
      <c r="K51" s="17"/>
      <c r="L51" s="17"/>
      <c r="M51" s="17"/>
      <c r="N51" s="17"/>
      <c r="O51" s="17"/>
      <c r="P51" s="17"/>
      <c r="Q51" s="17"/>
      <c r="R51" s="17"/>
      <c r="S51" s="12"/>
      <c r="T51" s="12"/>
      <c r="U51" s="12"/>
      <c r="V51" s="12"/>
    </row>
    <row r="52" spans="1:22" ht="15" customHeight="1">
      <c r="A52" s="41" t="s">
        <v>50</v>
      </c>
      <c r="B52" s="3"/>
      <c r="C52" s="39" t="s">
        <v>51</v>
      </c>
      <c r="D52" s="16"/>
      <c r="E52" s="16"/>
      <c r="F52" s="16"/>
      <c r="G52" s="17"/>
      <c r="H52" s="17"/>
      <c r="I52" s="17"/>
      <c r="J52" s="17"/>
      <c r="K52" s="17"/>
      <c r="L52" s="17"/>
      <c r="M52" s="17"/>
      <c r="N52" s="17"/>
      <c r="O52" s="17"/>
      <c r="P52" s="17"/>
      <c r="Q52" s="17"/>
      <c r="R52" s="17"/>
      <c r="S52" s="12"/>
      <c r="T52" s="12"/>
      <c r="U52" s="12"/>
      <c r="V52" s="12"/>
    </row>
    <row r="53" spans="1:22" ht="15" customHeight="1">
      <c r="A53" s="42" t="s">
        <v>89</v>
      </c>
      <c r="B53" s="3"/>
      <c r="C53" s="39"/>
      <c r="D53" s="16"/>
      <c r="E53" s="16"/>
      <c r="F53" s="16"/>
      <c r="G53" s="17"/>
      <c r="H53" s="17"/>
      <c r="I53" s="17"/>
      <c r="J53" s="17"/>
      <c r="K53" s="17"/>
      <c r="L53" s="17"/>
      <c r="M53" s="17"/>
      <c r="N53" s="17"/>
      <c r="O53" s="17"/>
      <c r="P53" s="17"/>
      <c r="Q53" s="17"/>
      <c r="R53" s="17"/>
      <c r="S53" s="12"/>
      <c r="T53" s="12"/>
      <c r="U53" s="12"/>
      <c r="V53" s="12"/>
    </row>
    <row r="54" spans="1:22" ht="15" customHeight="1">
      <c r="A54" s="18" t="s">
        <v>96</v>
      </c>
      <c r="B54" s="18"/>
      <c r="C54" s="20" t="e">
        <f>C55+C56</f>
        <v>#VALUE!</v>
      </c>
    </row>
    <row r="55" spans="1:22" s="47" customFormat="1" ht="15" customHeight="1">
      <c r="A55" s="51" t="s">
        <v>90</v>
      </c>
      <c r="B55" s="52"/>
      <c r="C55" s="53" t="s">
        <v>58</v>
      </c>
      <c r="D55" s="21"/>
      <c r="E55" s="21"/>
      <c r="F55" s="21"/>
      <c r="G55" s="49"/>
      <c r="H55" s="49"/>
      <c r="I55" s="49"/>
      <c r="J55" s="49"/>
      <c r="K55" s="49"/>
      <c r="L55" s="49"/>
      <c r="M55" s="49"/>
      <c r="N55" s="49"/>
      <c r="O55" s="49"/>
      <c r="P55" s="49"/>
      <c r="Q55" s="49"/>
      <c r="R55" s="49"/>
      <c r="S55" s="54"/>
      <c r="T55" s="54"/>
      <c r="U55" s="54"/>
      <c r="V55" s="54"/>
    </row>
    <row r="56" spans="1:22" s="47" customFormat="1" ht="15" customHeight="1">
      <c r="A56" s="51" t="s">
        <v>91</v>
      </c>
      <c r="B56" s="52"/>
      <c r="C56" s="53" t="s">
        <v>0</v>
      </c>
      <c r="D56" s="21"/>
      <c r="E56" s="21"/>
      <c r="F56" s="21"/>
      <c r="G56" s="49"/>
      <c r="H56" s="49"/>
      <c r="I56" s="49"/>
      <c r="J56" s="49"/>
      <c r="K56" s="49"/>
      <c r="L56" s="49"/>
      <c r="M56" s="49"/>
      <c r="N56" s="49"/>
      <c r="O56" s="49"/>
      <c r="P56" s="49"/>
      <c r="Q56" s="49"/>
      <c r="R56" s="49"/>
      <c r="S56" s="54"/>
      <c r="T56" s="54"/>
      <c r="U56" s="54"/>
      <c r="V56" s="54"/>
    </row>
    <row r="57" spans="1:22" s="47" customFormat="1" ht="15" customHeight="1">
      <c r="A57" s="55" t="s">
        <v>97</v>
      </c>
      <c r="B57" s="52"/>
      <c r="C57" s="53" t="s">
        <v>62</v>
      </c>
      <c r="D57" s="21"/>
      <c r="E57" s="21"/>
      <c r="F57" s="21"/>
      <c r="G57" s="49"/>
      <c r="H57" s="49"/>
      <c r="I57" s="49"/>
      <c r="J57" s="49"/>
      <c r="K57" s="49"/>
      <c r="L57" s="49"/>
      <c r="M57" s="49"/>
      <c r="N57" s="49"/>
      <c r="O57" s="49"/>
      <c r="P57" s="49"/>
      <c r="Q57" s="49"/>
      <c r="R57" s="49"/>
      <c r="S57" s="54"/>
      <c r="T57" s="54"/>
      <c r="U57" s="54"/>
      <c r="V57" s="54"/>
    </row>
    <row r="58" spans="1:22" s="47" customFormat="1" ht="15" customHeight="1">
      <c r="A58" s="55" t="s">
        <v>98</v>
      </c>
      <c r="B58" s="52"/>
      <c r="C58" s="48" t="e">
        <f>C59+C61+C62</f>
        <v>#VALUE!</v>
      </c>
      <c r="D58" s="21"/>
      <c r="E58" s="21"/>
      <c r="F58" s="21"/>
      <c r="G58" s="49"/>
      <c r="H58" s="49"/>
      <c r="I58" s="49"/>
      <c r="J58" s="49"/>
      <c r="K58" s="49"/>
      <c r="L58" s="49"/>
      <c r="M58" s="49"/>
      <c r="N58" s="49"/>
      <c r="O58" s="49"/>
      <c r="P58" s="49"/>
      <c r="Q58" s="49"/>
      <c r="R58" s="49"/>
      <c r="S58" s="54"/>
      <c r="T58" s="54"/>
      <c r="U58" s="54"/>
      <c r="V58" s="54"/>
    </row>
    <row r="59" spans="1:22" s="47" customFormat="1" ht="15" customHeight="1">
      <c r="A59" s="51" t="s">
        <v>92</v>
      </c>
      <c r="B59" s="52"/>
      <c r="C59" s="40" t="s">
        <v>93</v>
      </c>
      <c r="D59" s="21"/>
      <c r="E59" s="21"/>
      <c r="F59" s="21"/>
      <c r="G59" s="49"/>
      <c r="H59" s="49"/>
      <c r="I59" s="49"/>
      <c r="J59" s="49"/>
      <c r="K59" s="49"/>
      <c r="L59" s="49"/>
      <c r="M59" s="49"/>
      <c r="N59" s="49"/>
      <c r="O59" s="49"/>
      <c r="P59" s="49"/>
      <c r="Q59" s="49"/>
      <c r="R59" s="49"/>
      <c r="S59" s="54"/>
      <c r="T59" s="54"/>
      <c r="U59" s="54"/>
      <c r="V59" s="54"/>
    </row>
    <row r="60" spans="1:22" s="47" customFormat="1" ht="15" customHeight="1">
      <c r="A60" s="51" t="s">
        <v>112</v>
      </c>
      <c r="B60" s="52"/>
      <c r="C60" s="40" t="e">
        <f>#REF!</f>
        <v>#REF!</v>
      </c>
      <c r="D60" s="21"/>
      <c r="E60" s="21"/>
      <c r="F60" s="21"/>
      <c r="G60" s="49"/>
      <c r="H60" s="49"/>
      <c r="I60" s="49"/>
      <c r="J60" s="49"/>
      <c r="K60" s="49"/>
      <c r="L60" s="49"/>
      <c r="M60" s="49"/>
      <c r="N60" s="49"/>
      <c r="O60" s="49"/>
      <c r="P60" s="49"/>
      <c r="Q60" s="49"/>
      <c r="R60" s="49"/>
      <c r="S60" s="54"/>
      <c r="T60" s="54"/>
      <c r="U60" s="54"/>
      <c r="V60" s="54"/>
    </row>
    <row r="61" spans="1:22" s="47" customFormat="1" ht="15" customHeight="1">
      <c r="A61" s="51" t="s">
        <v>94</v>
      </c>
      <c r="B61" s="52"/>
      <c r="C61" s="40" t="s">
        <v>56</v>
      </c>
      <c r="D61" s="21"/>
      <c r="E61" s="21"/>
      <c r="F61" s="21"/>
      <c r="G61" s="49"/>
      <c r="H61" s="49"/>
      <c r="I61" s="49"/>
      <c r="J61" s="49"/>
      <c r="K61" s="49"/>
      <c r="L61" s="49"/>
      <c r="M61" s="49"/>
      <c r="N61" s="49"/>
      <c r="O61" s="49"/>
      <c r="P61" s="49"/>
      <c r="Q61" s="49"/>
      <c r="R61" s="49"/>
      <c r="S61" s="54"/>
      <c r="T61" s="54"/>
      <c r="U61" s="54"/>
      <c r="V61" s="54"/>
    </row>
    <row r="62" spans="1:22" s="47" customFormat="1" ht="15" customHeight="1">
      <c r="A62" s="51" t="s">
        <v>95</v>
      </c>
      <c r="B62" s="52"/>
      <c r="C62" s="40" t="s">
        <v>115</v>
      </c>
      <c r="D62" s="21"/>
      <c r="E62" s="21"/>
      <c r="F62" s="21"/>
      <c r="G62" s="49"/>
      <c r="H62" s="49"/>
      <c r="I62" s="49"/>
      <c r="J62" s="49"/>
      <c r="K62" s="49"/>
      <c r="L62" s="49"/>
      <c r="M62" s="49"/>
      <c r="N62" s="49"/>
      <c r="O62" s="49"/>
      <c r="P62" s="49"/>
      <c r="Q62" s="49"/>
      <c r="R62" s="49"/>
      <c r="S62" s="54"/>
      <c r="T62" s="54"/>
      <c r="U62" s="54"/>
      <c r="V62" s="54"/>
    </row>
    <row r="63" spans="1:22" s="47" customFormat="1" ht="15" customHeight="1">
      <c r="A63" s="51" t="s">
        <v>99</v>
      </c>
      <c r="B63" s="52"/>
      <c r="C63" s="40" t="s">
        <v>18</v>
      </c>
      <c r="D63" s="21"/>
      <c r="E63" s="21"/>
      <c r="F63" s="21"/>
      <c r="G63" s="49"/>
      <c r="H63" s="49"/>
      <c r="I63" s="49"/>
      <c r="J63" s="49"/>
      <c r="K63" s="49"/>
      <c r="L63" s="49"/>
      <c r="M63" s="49"/>
      <c r="N63" s="49"/>
      <c r="O63" s="49"/>
      <c r="P63" s="49"/>
      <c r="Q63" s="49"/>
      <c r="R63" s="49"/>
      <c r="S63" s="54"/>
      <c r="T63" s="54"/>
      <c r="U63" s="54"/>
      <c r="V63" s="54"/>
    </row>
    <row r="64" spans="1:22" s="47" customFormat="1" ht="15" customHeight="1">
      <c r="A64" s="59" t="s">
        <v>113</v>
      </c>
      <c r="B64" s="52"/>
      <c r="C64" s="56" t="e">
        <f>C54+C57+C58+C63</f>
        <v>#VALUE!</v>
      </c>
      <c r="D64" s="21"/>
      <c r="E64" s="21"/>
      <c r="F64" s="21"/>
      <c r="G64" s="49"/>
      <c r="H64" s="49"/>
      <c r="I64" s="49"/>
      <c r="J64" s="49"/>
      <c r="K64" s="49"/>
      <c r="L64" s="49"/>
      <c r="M64" s="49"/>
      <c r="N64" s="49"/>
      <c r="O64" s="49"/>
      <c r="P64" s="49"/>
      <c r="Q64" s="49"/>
      <c r="R64" s="49"/>
      <c r="S64" s="54"/>
      <c r="T64" s="54"/>
      <c r="U64" s="54"/>
      <c r="V64" s="54"/>
    </row>
    <row r="65" spans="1:31" s="47" customFormat="1" ht="15" customHeight="1" thickBot="1">
      <c r="A65" s="59" t="s">
        <v>114</v>
      </c>
      <c r="B65" s="57"/>
      <c r="C65" s="58" t="e">
        <f>C51+C64</f>
        <v>#VALUE!</v>
      </c>
      <c r="D65" s="21"/>
      <c r="E65" s="21"/>
      <c r="F65" s="21"/>
      <c r="G65" s="49"/>
      <c r="H65" s="49"/>
      <c r="I65" s="49"/>
      <c r="J65" s="49"/>
      <c r="K65" s="49"/>
      <c r="L65" s="49"/>
      <c r="M65" s="49"/>
      <c r="N65" s="49"/>
      <c r="O65" s="49"/>
      <c r="P65" s="49"/>
      <c r="Q65" s="49"/>
      <c r="R65" s="49"/>
      <c r="S65" s="54"/>
      <c r="T65" s="54"/>
      <c r="U65" s="54"/>
      <c r="V65" s="54"/>
    </row>
    <row r="66" spans="1:31" ht="15" customHeight="1">
      <c r="A66" s="10" t="s">
        <v>3</v>
      </c>
      <c r="B66" s="12"/>
      <c r="C66" s="12"/>
      <c r="D66" s="16"/>
      <c r="E66" s="16"/>
      <c r="F66" s="16"/>
      <c r="G66" s="17"/>
      <c r="H66" s="17"/>
      <c r="I66" s="17"/>
      <c r="J66" s="17"/>
      <c r="K66" s="17"/>
      <c r="L66" s="17"/>
      <c r="M66" s="17"/>
      <c r="N66" s="17"/>
      <c r="O66" s="17"/>
      <c r="P66" s="17"/>
      <c r="Q66" s="17"/>
      <c r="R66" s="17"/>
      <c r="S66" s="12"/>
      <c r="T66" s="12"/>
      <c r="U66" s="12"/>
      <c r="V66" s="12"/>
      <c r="W66" s="12"/>
      <c r="X66" s="12"/>
      <c r="Y66" s="12"/>
      <c r="Z66" s="12"/>
      <c r="AA66" s="12"/>
      <c r="AB66" s="12"/>
      <c r="AC66" s="12"/>
      <c r="AD66" s="12"/>
      <c r="AE66" s="12"/>
    </row>
    <row r="67" spans="1:31" ht="15" customHeight="1">
      <c r="A67" s="10" t="s">
        <v>52</v>
      </c>
      <c r="B67" s="12"/>
      <c r="C67" s="12"/>
      <c r="D67" s="16"/>
      <c r="E67" s="16"/>
      <c r="F67" s="16"/>
      <c r="G67" s="17"/>
      <c r="H67" s="17"/>
      <c r="I67" s="17"/>
      <c r="J67" s="17"/>
      <c r="K67" s="17"/>
      <c r="L67" s="17"/>
      <c r="M67" s="17"/>
      <c r="N67" s="17"/>
      <c r="O67" s="17"/>
      <c r="P67" s="17"/>
      <c r="Q67" s="17"/>
      <c r="R67" s="17"/>
      <c r="S67" s="12"/>
      <c r="T67" s="12"/>
      <c r="U67" s="12"/>
      <c r="V67" s="12"/>
      <c r="W67" s="12"/>
      <c r="X67" s="12"/>
      <c r="Y67" s="12"/>
      <c r="Z67" s="12"/>
      <c r="AA67" s="12"/>
      <c r="AB67" s="12"/>
      <c r="AC67" s="12"/>
      <c r="AD67" s="12"/>
      <c r="AE67" s="12"/>
    </row>
    <row r="68" spans="1:31" ht="15" customHeight="1">
      <c r="A68" s="12"/>
      <c r="B68" s="12"/>
      <c r="C68" s="12"/>
      <c r="D68" s="16"/>
      <c r="E68" s="16"/>
      <c r="F68" s="16"/>
      <c r="G68" s="17"/>
      <c r="H68" s="17"/>
      <c r="I68" s="17"/>
      <c r="J68" s="17"/>
      <c r="K68" s="17"/>
      <c r="L68" s="17"/>
      <c r="M68" s="17"/>
      <c r="N68" s="17"/>
      <c r="O68" s="17"/>
      <c r="P68" s="17"/>
      <c r="Q68" s="17"/>
      <c r="R68" s="17"/>
      <c r="S68" s="12"/>
      <c r="T68" s="12"/>
      <c r="U68" s="12"/>
      <c r="V68" s="12"/>
      <c r="W68" s="12"/>
      <c r="X68" s="12"/>
      <c r="Y68" s="12"/>
      <c r="Z68" s="12"/>
      <c r="AA68" s="12"/>
      <c r="AB68" s="12"/>
      <c r="AC68" s="12"/>
      <c r="AD68" s="12"/>
      <c r="AE68" s="12"/>
    </row>
    <row r="69" spans="1:31" ht="15" customHeight="1">
      <c r="A69" s="63"/>
      <c r="B69" s="63"/>
      <c r="C69" s="63"/>
      <c r="D69" s="64"/>
      <c r="E69" s="64"/>
      <c r="F69" s="64"/>
      <c r="G69" s="64"/>
      <c r="H69" s="17"/>
      <c r="I69" s="17"/>
      <c r="J69" s="17"/>
      <c r="K69" s="17"/>
      <c r="L69" s="17"/>
      <c r="M69" s="17"/>
      <c r="N69" s="17"/>
      <c r="O69" s="17"/>
      <c r="P69" s="17"/>
      <c r="Q69" s="17"/>
      <c r="R69" s="17"/>
      <c r="S69" s="12"/>
      <c r="T69" s="12"/>
      <c r="U69" s="12"/>
      <c r="V69" s="12"/>
      <c r="W69" s="12"/>
      <c r="X69" s="12"/>
      <c r="Y69" s="12"/>
      <c r="Z69" s="12"/>
      <c r="AA69" s="12"/>
      <c r="AB69" s="12"/>
      <c r="AC69" s="12"/>
      <c r="AD69" s="12"/>
      <c r="AE69" s="12"/>
    </row>
    <row r="70" spans="1:31" ht="15" customHeight="1">
      <c r="A70" s="63"/>
      <c r="B70" s="63" t="s">
        <v>43</v>
      </c>
      <c r="C70" s="61" t="s">
        <v>107</v>
      </c>
      <c r="D70" s="64"/>
      <c r="E70" s="64"/>
      <c r="F70" s="64"/>
      <c r="G70" s="64"/>
      <c r="H70" s="17"/>
      <c r="I70" s="17"/>
      <c r="J70" s="17"/>
      <c r="K70" s="17"/>
      <c r="L70" s="17"/>
      <c r="M70" s="17"/>
      <c r="N70" s="17"/>
      <c r="O70" s="17"/>
      <c r="P70" s="17"/>
      <c r="Q70" s="17"/>
      <c r="R70" s="17"/>
      <c r="S70" s="12"/>
      <c r="T70" s="12"/>
      <c r="U70" s="12"/>
      <c r="V70" s="12"/>
      <c r="W70" s="12"/>
      <c r="X70" s="12"/>
      <c r="Y70" s="12"/>
      <c r="Z70" s="12"/>
      <c r="AA70" s="12"/>
      <c r="AB70" s="12"/>
      <c r="AC70" s="12"/>
      <c r="AD70" s="12"/>
      <c r="AE70" s="12"/>
    </row>
    <row r="71" spans="1:31" ht="15" customHeight="1">
      <c r="A71" s="63"/>
      <c r="B71" s="63" t="s">
        <v>44</v>
      </c>
      <c r="C71" s="61" t="s">
        <v>45</v>
      </c>
      <c r="D71" s="64"/>
      <c r="E71" s="64"/>
      <c r="F71" s="64"/>
      <c r="G71" s="64"/>
      <c r="H71" s="17"/>
      <c r="I71" s="17"/>
      <c r="J71" s="17"/>
      <c r="K71" s="17"/>
      <c r="L71" s="17"/>
      <c r="M71" s="17"/>
      <c r="N71" s="17"/>
      <c r="O71" s="17"/>
      <c r="P71" s="17"/>
      <c r="Q71" s="17"/>
      <c r="R71" s="17"/>
      <c r="S71" s="12"/>
      <c r="T71" s="12"/>
      <c r="U71" s="12"/>
      <c r="V71" s="12"/>
      <c r="W71" s="12"/>
      <c r="X71" s="12"/>
      <c r="Y71" s="12"/>
      <c r="Z71" s="12"/>
      <c r="AA71" s="12"/>
      <c r="AB71" s="12"/>
      <c r="AC71" s="12"/>
      <c r="AD71" s="12"/>
      <c r="AE71" s="12"/>
    </row>
    <row r="72" spans="1:31" ht="15" customHeight="1">
      <c r="A72" s="63"/>
      <c r="B72" s="63" t="s">
        <v>105</v>
      </c>
      <c r="C72" s="61" t="s">
        <v>46</v>
      </c>
      <c r="D72" s="64"/>
      <c r="E72" s="64"/>
      <c r="F72" s="64"/>
      <c r="G72" s="64"/>
      <c r="H72" s="17"/>
      <c r="I72" s="17"/>
      <c r="J72" s="17"/>
      <c r="K72" s="17"/>
      <c r="L72" s="17"/>
      <c r="M72" s="17"/>
      <c r="N72" s="17"/>
      <c r="O72" s="17"/>
      <c r="P72" s="17"/>
      <c r="Q72" s="17"/>
      <c r="R72" s="17"/>
      <c r="S72" s="12"/>
      <c r="T72" s="12"/>
      <c r="U72" s="12"/>
      <c r="V72" s="12"/>
      <c r="W72" s="12"/>
      <c r="X72" s="12"/>
      <c r="Y72" s="12"/>
      <c r="Z72" s="12"/>
      <c r="AA72" s="12"/>
      <c r="AB72" s="12"/>
      <c r="AC72" s="12"/>
      <c r="AD72" s="12"/>
      <c r="AE72" s="12"/>
    </row>
    <row r="73" spans="1:31" ht="15" customHeight="1">
      <c r="A73" s="61"/>
      <c r="B73" s="61">
        <v>11</v>
      </c>
      <c r="C73" s="61" t="s">
        <v>7</v>
      </c>
      <c r="D73" s="61"/>
      <c r="E73" s="61"/>
      <c r="F73" s="61"/>
      <c r="G73" s="61"/>
    </row>
    <row r="74" spans="1:31" ht="15" customHeight="1">
      <c r="A74" s="61"/>
      <c r="B74" s="61" t="s">
        <v>6</v>
      </c>
      <c r="C74" s="61" t="s">
        <v>8</v>
      </c>
      <c r="D74" s="61"/>
      <c r="E74" s="61"/>
      <c r="F74" s="61"/>
      <c r="G74" s="61"/>
    </row>
    <row r="75" spans="1:31" ht="15" customHeight="1">
      <c r="A75" s="61"/>
      <c r="B75" s="61">
        <v>16100</v>
      </c>
      <c r="C75" s="62" t="s">
        <v>106</v>
      </c>
      <c r="D75" s="61"/>
      <c r="E75" s="61"/>
      <c r="F75" s="61"/>
      <c r="G75" s="61"/>
    </row>
    <row r="76" spans="1:31" ht="15" customHeight="1">
      <c r="A76" s="61"/>
      <c r="B76" s="61">
        <v>22200</v>
      </c>
      <c r="C76" s="61" t="s">
        <v>51</v>
      </c>
      <c r="D76" s="61"/>
      <c r="E76" s="61"/>
      <c r="F76" s="61"/>
      <c r="G76" s="61"/>
    </row>
    <row r="77" spans="1:31" ht="15" customHeight="1">
      <c r="A77" s="61"/>
      <c r="B77" s="61" t="s">
        <v>5</v>
      </c>
      <c r="C77" s="61">
        <f>MIN(C75,C76)</f>
        <v>0</v>
      </c>
      <c r="D77" s="61"/>
      <c r="E77" s="61"/>
      <c r="F77" s="61"/>
      <c r="G77" s="61"/>
    </row>
    <row r="78" spans="1:31" ht="15" customHeight="1">
      <c r="A78" s="61"/>
      <c r="B78" s="61" t="s">
        <v>9</v>
      </c>
      <c r="C78" s="61" t="e">
        <f>C73-C77</f>
        <v>#VALUE!</v>
      </c>
      <c r="D78" s="61"/>
      <c r="E78" s="61"/>
      <c r="F78" s="61"/>
      <c r="G78" s="61"/>
    </row>
    <row r="79" spans="1:31" ht="15" customHeight="1">
      <c r="A79" s="61"/>
      <c r="B79" s="61" t="s">
        <v>10</v>
      </c>
      <c r="C79" s="61" t="e">
        <f>C74-C77</f>
        <v>#VALUE!</v>
      </c>
      <c r="D79" s="61"/>
      <c r="E79" s="61"/>
      <c r="F79" s="61"/>
      <c r="G79" s="61"/>
    </row>
    <row r="80" spans="1:31" ht="15" customHeight="1">
      <c r="A80" s="61"/>
      <c r="B80" s="61">
        <v>175</v>
      </c>
      <c r="C80" s="61" t="s">
        <v>4</v>
      </c>
      <c r="D80" s="61"/>
      <c r="E80" s="61"/>
      <c r="F80" s="61"/>
      <c r="G80" s="61"/>
    </row>
    <row r="81" spans="1:7" ht="15" customHeight="1">
      <c r="A81" s="61"/>
      <c r="B81" s="61"/>
      <c r="C81" s="61"/>
      <c r="D81" s="61"/>
      <c r="E81" s="61"/>
      <c r="F81" s="61"/>
      <c r="G81" s="61"/>
    </row>
    <row r="82" spans="1:7" ht="15" customHeight="1">
      <c r="A82" s="61"/>
      <c r="B82" s="61"/>
      <c r="C82" s="61"/>
      <c r="D82" s="61"/>
      <c r="E82" s="61"/>
      <c r="F82" s="61"/>
      <c r="G82" s="61"/>
    </row>
    <row r="83" spans="1:7" ht="15" customHeight="1">
      <c r="A83" s="61"/>
      <c r="B83" s="61"/>
      <c r="C83" s="61"/>
      <c r="D83" s="61"/>
      <c r="E83" s="61"/>
      <c r="F83" s="61"/>
      <c r="G83" s="61"/>
    </row>
    <row r="84" spans="1:7" ht="15" customHeight="1">
      <c r="D84" s="9"/>
    </row>
    <row r="85" spans="1:7" ht="15" customHeight="1">
      <c r="E85" s="19"/>
      <c r="F85" s="19"/>
    </row>
    <row r="86" spans="1:7" ht="15" customHeight="1">
      <c r="E86" s="19"/>
      <c r="F86" s="19"/>
    </row>
    <row r="87" spans="1:7" ht="15" customHeight="1">
      <c r="E87" s="19"/>
      <c r="F87" s="19"/>
    </row>
    <row r="88" spans="1:7" ht="15" customHeight="1">
      <c r="E88" s="19"/>
      <c r="F88" s="19"/>
    </row>
    <row r="89" spans="1:7" ht="15" customHeight="1">
      <c r="E89" s="19"/>
      <c r="F89" s="19"/>
    </row>
    <row r="90" spans="1:7" ht="15" customHeight="1">
      <c r="E90" s="19"/>
      <c r="F90" s="19"/>
    </row>
    <row r="91" spans="1:7" ht="15" customHeight="1">
      <c r="E91" s="19"/>
      <c r="F91" s="19"/>
    </row>
    <row r="92" spans="1:7" ht="15" customHeight="1">
      <c r="E92" s="19"/>
      <c r="F92" s="19"/>
    </row>
    <row r="93" spans="1:7" ht="15" customHeight="1">
      <c r="E93" s="19"/>
      <c r="F93" s="19"/>
    </row>
    <row r="94" spans="1:7" ht="15" customHeight="1">
      <c r="E94" s="19"/>
      <c r="F94" s="19"/>
    </row>
    <row r="95" spans="1:7" ht="15" customHeight="1">
      <c r="E95" s="19"/>
      <c r="F95" s="19"/>
    </row>
    <row r="96" spans="1:7" ht="15" customHeight="1">
      <c r="E96" s="19"/>
      <c r="F96" s="19"/>
    </row>
    <row r="97" spans="5:6" ht="15" customHeight="1">
      <c r="E97" s="19"/>
      <c r="F97" s="19"/>
    </row>
    <row r="98" spans="5:6" ht="15" customHeight="1">
      <c r="E98" s="19"/>
      <c r="F98" s="19"/>
    </row>
    <row r="99" spans="5:6" ht="15" customHeight="1">
      <c r="E99" s="19"/>
      <c r="F99" s="19"/>
    </row>
    <row r="100" spans="5:6" ht="15" customHeight="1">
      <c r="E100" s="19"/>
      <c r="F100" s="19"/>
    </row>
    <row r="101" spans="5:6" ht="15" customHeight="1">
      <c r="E101" s="19"/>
      <c r="F101" s="19"/>
    </row>
    <row r="102" spans="5:6" ht="15" customHeight="1">
      <c r="E102" s="19"/>
      <c r="F102" s="19"/>
    </row>
    <row r="103" spans="5:6" ht="15" customHeight="1">
      <c r="E103" s="19"/>
      <c r="F103" s="19"/>
    </row>
    <row r="104" spans="5:6" ht="15" customHeight="1">
      <c r="E104" s="19"/>
      <c r="F104" s="19"/>
    </row>
    <row r="105" spans="5:6" ht="15" customHeight="1">
      <c r="E105" s="19"/>
      <c r="F105" s="19"/>
    </row>
    <row r="106" spans="5:6" ht="15" customHeight="1">
      <c r="E106" s="19"/>
      <c r="F106" s="19"/>
    </row>
    <row r="107" spans="5:6" ht="15" customHeight="1">
      <c r="E107" s="19"/>
      <c r="F107" s="19"/>
    </row>
    <row r="108" spans="5:6" ht="15" customHeight="1">
      <c r="E108" s="19"/>
      <c r="F108" s="19"/>
    </row>
    <row r="109" spans="5:6" ht="15" customHeight="1">
      <c r="E109" s="19"/>
      <c r="F109" s="19"/>
    </row>
    <row r="110" spans="5:6" ht="15" customHeight="1">
      <c r="E110" s="19"/>
      <c r="F110" s="19"/>
    </row>
    <row r="111" spans="5:6" ht="15" customHeight="1">
      <c r="E111" s="19"/>
      <c r="F111" s="19"/>
    </row>
    <row r="112" spans="5:6" ht="15" customHeight="1">
      <c r="E112" s="19"/>
      <c r="F112" s="19"/>
    </row>
    <row r="113" spans="5:6" ht="15" customHeight="1">
      <c r="E113" s="19"/>
      <c r="F113" s="19"/>
    </row>
    <row r="114" spans="5:6" ht="15" customHeight="1">
      <c r="E114" s="19"/>
      <c r="F114" s="19"/>
    </row>
    <row r="115" spans="5:6" ht="15" customHeight="1">
      <c r="E115" s="19"/>
      <c r="F115" s="19"/>
    </row>
    <row r="116" spans="5:6" ht="15" customHeight="1">
      <c r="E116" s="19"/>
      <c r="F116" s="19"/>
    </row>
    <row r="117" spans="5:6" ht="15" customHeight="1">
      <c r="E117" s="19"/>
      <c r="F117" s="19"/>
    </row>
    <row r="118" spans="5:6" ht="15" customHeight="1">
      <c r="E118" s="19"/>
      <c r="F118" s="19"/>
    </row>
    <row r="119" spans="5:6" ht="15" customHeight="1">
      <c r="E119" s="19"/>
      <c r="F119" s="19"/>
    </row>
    <row r="120" spans="5:6" ht="15" customHeight="1">
      <c r="E120" s="19"/>
      <c r="F120" s="19"/>
    </row>
    <row r="121" spans="5:6" ht="15" customHeight="1">
      <c r="E121" s="19"/>
      <c r="F121" s="19"/>
    </row>
    <row r="122" spans="5:6" ht="15" customHeight="1">
      <c r="E122" s="19"/>
      <c r="F122" s="19"/>
    </row>
    <row r="123" spans="5:6" ht="15" customHeight="1">
      <c r="E123" s="19"/>
      <c r="F123" s="19"/>
    </row>
    <row r="124" spans="5:6" ht="15" customHeight="1">
      <c r="E124" s="19"/>
      <c r="F124" s="19"/>
    </row>
    <row r="125" spans="5:6" ht="15" customHeight="1">
      <c r="E125" s="19"/>
      <c r="F125" s="19"/>
    </row>
    <row r="126" spans="5:6" ht="15" customHeight="1">
      <c r="E126" s="19"/>
      <c r="F126" s="19"/>
    </row>
    <row r="127" spans="5:6" ht="15" customHeight="1">
      <c r="E127" s="19"/>
      <c r="F127" s="19"/>
    </row>
    <row r="128" spans="5:6" ht="15" customHeight="1">
      <c r="E128" s="19"/>
      <c r="F128" s="19"/>
    </row>
    <row r="129" spans="5:6" ht="15" customHeight="1">
      <c r="E129" s="19"/>
      <c r="F129" s="19"/>
    </row>
    <row r="130" spans="5:6" ht="15" customHeight="1">
      <c r="E130" s="19"/>
      <c r="F130" s="19"/>
    </row>
    <row r="131" spans="5:6" ht="15" customHeight="1">
      <c r="E131" s="19"/>
      <c r="F131" s="19"/>
    </row>
    <row r="132" spans="5:6" ht="15" customHeight="1">
      <c r="E132" s="19"/>
      <c r="F132" s="19"/>
    </row>
    <row r="133" spans="5:6" ht="15" customHeight="1">
      <c r="E133" s="19"/>
      <c r="F133" s="19"/>
    </row>
    <row r="134" spans="5:6" ht="15" customHeight="1">
      <c r="E134" s="19"/>
      <c r="F134" s="19"/>
    </row>
    <row r="135" spans="5:6" ht="15" customHeight="1">
      <c r="E135" s="19"/>
      <c r="F135" s="19"/>
    </row>
    <row r="136" spans="5:6" ht="15" customHeight="1">
      <c r="E136" s="19"/>
      <c r="F136" s="19"/>
    </row>
    <row r="137" spans="5:6" ht="15" customHeight="1">
      <c r="E137" s="19"/>
      <c r="F137" s="19"/>
    </row>
    <row r="138" spans="5:6" ht="15" customHeight="1">
      <c r="E138" s="19"/>
      <c r="F138" s="19"/>
    </row>
    <row r="139" spans="5:6" ht="15" customHeight="1">
      <c r="E139" s="19"/>
      <c r="F139" s="19"/>
    </row>
    <row r="140" spans="5:6" ht="15" customHeight="1">
      <c r="E140" s="19"/>
      <c r="F140" s="19"/>
    </row>
    <row r="141" spans="5:6" ht="15" customHeight="1">
      <c r="E141" s="19"/>
      <c r="F141" s="19"/>
    </row>
    <row r="142" spans="5:6" ht="15" customHeight="1">
      <c r="E142" s="19"/>
      <c r="F142" s="19"/>
    </row>
    <row r="143" spans="5:6" ht="15" customHeight="1">
      <c r="E143" s="19"/>
      <c r="F143" s="19"/>
    </row>
    <row r="144" spans="5:6" ht="15" customHeight="1">
      <c r="E144" s="19"/>
      <c r="F144" s="19"/>
    </row>
    <row r="145" spans="5:6" ht="15" customHeight="1">
      <c r="E145" s="19"/>
      <c r="F145" s="19"/>
    </row>
    <row r="146" spans="5:6" ht="15" customHeight="1">
      <c r="E146" s="19"/>
      <c r="F146" s="19"/>
    </row>
    <row r="147" spans="5:6" ht="15" customHeight="1">
      <c r="E147" s="19"/>
      <c r="F147" s="19"/>
    </row>
    <row r="148" spans="5:6" ht="15" customHeight="1">
      <c r="E148" s="19"/>
      <c r="F148" s="19"/>
    </row>
    <row r="149" spans="5:6" ht="15" customHeight="1">
      <c r="E149" s="19"/>
      <c r="F149" s="19"/>
    </row>
    <row r="150" spans="5:6" ht="15" customHeight="1">
      <c r="E150" s="19"/>
      <c r="F150" s="19"/>
    </row>
    <row r="151" spans="5:6" ht="15" customHeight="1">
      <c r="E151" s="19"/>
      <c r="F151" s="19"/>
    </row>
    <row r="152" spans="5:6" ht="15" customHeight="1">
      <c r="E152" s="19"/>
      <c r="F152" s="19"/>
    </row>
    <row r="153" spans="5:6" ht="15" customHeight="1">
      <c r="E153" s="19"/>
      <c r="F153" s="19"/>
    </row>
    <row r="154" spans="5:6" ht="15" customHeight="1">
      <c r="E154" s="19"/>
      <c r="F154" s="19"/>
    </row>
    <row r="205" spans="1:1" ht="15" customHeight="1">
      <c r="A205" s="45"/>
    </row>
  </sheetData>
  <mergeCells count="2">
    <mergeCell ref="A2:B2"/>
    <mergeCell ref="B5:C5"/>
  </mergeCells>
  <phoneticPr fontId="0" type="noConversion"/>
  <conditionalFormatting sqref="C17 C26">
    <cfRule type="cellIs" dxfId="3" priority="4" stopIfTrue="1" operator="notEqual">
      <formula>(B15-B16)</formula>
    </cfRule>
  </conditionalFormatting>
  <conditionalFormatting sqref="C23">
    <cfRule type="cellIs" dxfId="2" priority="3" stopIfTrue="1" operator="notEqual">
      <formula>B20+B21-B22</formula>
    </cfRule>
  </conditionalFormatting>
  <conditionalFormatting sqref="C34">
    <cfRule type="cellIs" dxfId="1" priority="2" stopIfTrue="1" operator="notEqual">
      <formula>B31+B32-B33</formula>
    </cfRule>
  </conditionalFormatting>
  <conditionalFormatting sqref="C14">
    <cfRule type="cellIs" dxfId="0" priority="1" stopIfTrue="1" operator="notEqual">
      <formula>(B11+B12-B13)</formula>
    </cfRule>
  </conditionalFormatting>
  <dataValidations count="8">
    <dataValidation type="date" operator="greaterThan" allowBlank="1" showInputMessage="1" showErrorMessage="1" prompt="Введите дату в формате ЧЧ.ММ.ГГГГ" sqref="B4 IX4 ST4 ACP4 AML4 AWH4 BGD4 BPZ4 BZV4 CJR4 CTN4 DDJ4 DNF4 DXB4 EGX4 EQT4 FAP4 FKL4 FUH4 GED4 GNZ4 GXV4 HHR4 HRN4 IBJ4 ILF4 IVB4 JEX4 JOT4 JYP4 KIL4 KSH4 LCD4 LLZ4 LVV4 MFR4 MPN4 MZJ4 NJF4 NTB4 OCX4 OMT4 OWP4 PGL4 PQH4 QAD4 QJZ4 QTV4 RDR4 RNN4 RXJ4 SHF4 SRB4 TAX4 TKT4 TUP4 UEL4 UOH4 UYD4 VHZ4 VRV4 WBR4 WLN4 WVJ4 B65540 IX65540 ST65540 ACP65540 AML65540 AWH65540 BGD65540 BPZ65540 BZV65540 CJR65540 CTN65540 DDJ65540 DNF65540 DXB65540 EGX65540 EQT65540 FAP65540 FKL65540 FUH65540 GED65540 GNZ65540 GXV65540 HHR65540 HRN65540 IBJ65540 ILF65540 IVB65540 JEX65540 JOT65540 JYP65540 KIL65540 KSH65540 LCD65540 LLZ65540 LVV65540 MFR65540 MPN65540 MZJ65540 NJF65540 NTB65540 OCX65540 OMT65540 OWP65540 PGL65540 PQH65540 QAD65540 QJZ65540 QTV65540 RDR65540 RNN65540 RXJ65540 SHF65540 SRB65540 TAX65540 TKT65540 TUP65540 UEL65540 UOH65540 UYD65540 VHZ65540 VRV65540 WBR65540 WLN65540 WVJ65540 B131076 IX131076 ST131076 ACP131076 AML131076 AWH131076 BGD131076 BPZ131076 BZV131076 CJR131076 CTN131076 DDJ131076 DNF131076 DXB131076 EGX131076 EQT131076 FAP131076 FKL131076 FUH131076 GED131076 GNZ131076 GXV131076 HHR131076 HRN131076 IBJ131076 ILF131076 IVB131076 JEX131076 JOT131076 JYP131076 KIL131076 KSH131076 LCD131076 LLZ131076 LVV131076 MFR131076 MPN131076 MZJ131076 NJF131076 NTB131076 OCX131076 OMT131076 OWP131076 PGL131076 PQH131076 QAD131076 QJZ131076 QTV131076 RDR131076 RNN131076 RXJ131076 SHF131076 SRB131076 TAX131076 TKT131076 TUP131076 UEL131076 UOH131076 UYD131076 VHZ131076 VRV131076 WBR131076 WLN131076 WVJ131076 B196612 IX196612 ST196612 ACP196612 AML196612 AWH196612 BGD196612 BPZ196612 BZV196612 CJR196612 CTN196612 DDJ196612 DNF196612 DXB196612 EGX196612 EQT196612 FAP196612 FKL196612 FUH196612 GED196612 GNZ196612 GXV196612 HHR196612 HRN196612 IBJ196612 ILF196612 IVB196612 JEX196612 JOT196612 JYP196612 KIL196612 KSH196612 LCD196612 LLZ196612 LVV196612 MFR196612 MPN196612 MZJ196612 NJF196612 NTB196612 OCX196612 OMT196612 OWP196612 PGL196612 PQH196612 QAD196612 QJZ196612 QTV196612 RDR196612 RNN196612 RXJ196612 SHF196612 SRB196612 TAX196612 TKT196612 TUP196612 UEL196612 UOH196612 UYD196612 VHZ196612 VRV196612 WBR196612 WLN196612 WVJ196612 B262148 IX262148 ST262148 ACP262148 AML262148 AWH262148 BGD262148 BPZ262148 BZV262148 CJR262148 CTN262148 DDJ262148 DNF262148 DXB262148 EGX262148 EQT262148 FAP262148 FKL262148 FUH262148 GED262148 GNZ262148 GXV262148 HHR262148 HRN262148 IBJ262148 ILF262148 IVB262148 JEX262148 JOT262148 JYP262148 KIL262148 KSH262148 LCD262148 LLZ262148 LVV262148 MFR262148 MPN262148 MZJ262148 NJF262148 NTB262148 OCX262148 OMT262148 OWP262148 PGL262148 PQH262148 QAD262148 QJZ262148 QTV262148 RDR262148 RNN262148 RXJ262148 SHF262148 SRB262148 TAX262148 TKT262148 TUP262148 UEL262148 UOH262148 UYD262148 VHZ262148 VRV262148 WBR262148 WLN262148 WVJ262148 B327684 IX327684 ST327684 ACP327684 AML327684 AWH327684 BGD327684 BPZ327684 BZV327684 CJR327684 CTN327684 DDJ327684 DNF327684 DXB327684 EGX327684 EQT327684 FAP327684 FKL327684 FUH327684 GED327684 GNZ327684 GXV327684 HHR327684 HRN327684 IBJ327684 ILF327684 IVB327684 JEX327684 JOT327684 JYP327684 KIL327684 KSH327684 LCD327684 LLZ327684 LVV327684 MFR327684 MPN327684 MZJ327684 NJF327684 NTB327684 OCX327684 OMT327684 OWP327684 PGL327684 PQH327684 QAD327684 QJZ327684 QTV327684 RDR327684 RNN327684 RXJ327684 SHF327684 SRB327684 TAX327684 TKT327684 TUP327684 UEL327684 UOH327684 UYD327684 VHZ327684 VRV327684 WBR327684 WLN327684 WVJ327684 B393220 IX393220 ST393220 ACP393220 AML393220 AWH393220 BGD393220 BPZ393220 BZV393220 CJR393220 CTN393220 DDJ393220 DNF393220 DXB393220 EGX393220 EQT393220 FAP393220 FKL393220 FUH393220 GED393220 GNZ393220 GXV393220 HHR393220 HRN393220 IBJ393220 ILF393220 IVB393220 JEX393220 JOT393220 JYP393220 KIL393220 KSH393220 LCD393220 LLZ393220 LVV393220 MFR393220 MPN393220 MZJ393220 NJF393220 NTB393220 OCX393220 OMT393220 OWP393220 PGL393220 PQH393220 QAD393220 QJZ393220 QTV393220 RDR393220 RNN393220 RXJ393220 SHF393220 SRB393220 TAX393220 TKT393220 TUP393220 UEL393220 UOH393220 UYD393220 VHZ393220 VRV393220 WBR393220 WLN393220 WVJ393220 B458756 IX458756 ST458756 ACP458756 AML458756 AWH458756 BGD458756 BPZ458756 BZV458756 CJR458756 CTN458756 DDJ458756 DNF458756 DXB458756 EGX458756 EQT458756 FAP458756 FKL458756 FUH458756 GED458756 GNZ458756 GXV458756 HHR458756 HRN458756 IBJ458756 ILF458756 IVB458756 JEX458756 JOT458756 JYP458756 KIL458756 KSH458756 LCD458756 LLZ458756 LVV458756 MFR458756 MPN458756 MZJ458756 NJF458756 NTB458756 OCX458756 OMT458756 OWP458756 PGL458756 PQH458756 QAD458756 QJZ458756 QTV458756 RDR458756 RNN458756 RXJ458756 SHF458756 SRB458756 TAX458756 TKT458756 TUP458756 UEL458756 UOH458756 UYD458756 VHZ458756 VRV458756 WBR458756 WLN458756 WVJ458756 B524292 IX524292 ST524292 ACP524292 AML524292 AWH524292 BGD524292 BPZ524292 BZV524292 CJR524292 CTN524292 DDJ524292 DNF524292 DXB524292 EGX524292 EQT524292 FAP524292 FKL524292 FUH524292 GED524292 GNZ524292 GXV524292 HHR524292 HRN524292 IBJ524292 ILF524292 IVB524292 JEX524292 JOT524292 JYP524292 KIL524292 KSH524292 LCD524292 LLZ524292 LVV524292 MFR524292 MPN524292 MZJ524292 NJF524292 NTB524292 OCX524292 OMT524292 OWP524292 PGL524292 PQH524292 QAD524292 QJZ524292 QTV524292 RDR524292 RNN524292 RXJ524292 SHF524292 SRB524292 TAX524292 TKT524292 TUP524292 UEL524292 UOH524292 UYD524292 VHZ524292 VRV524292 WBR524292 WLN524292 WVJ524292 B589828 IX589828 ST589828 ACP589828 AML589828 AWH589828 BGD589828 BPZ589828 BZV589828 CJR589828 CTN589828 DDJ589828 DNF589828 DXB589828 EGX589828 EQT589828 FAP589828 FKL589828 FUH589828 GED589828 GNZ589828 GXV589828 HHR589828 HRN589828 IBJ589828 ILF589828 IVB589828 JEX589828 JOT589828 JYP589828 KIL589828 KSH589828 LCD589828 LLZ589828 LVV589828 MFR589828 MPN589828 MZJ589828 NJF589828 NTB589828 OCX589828 OMT589828 OWP589828 PGL589828 PQH589828 QAD589828 QJZ589828 QTV589828 RDR589828 RNN589828 RXJ589828 SHF589828 SRB589828 TAX589828 TKT589828 TUP589828 UEL589828 UOH589828 UYD589828 VHZ589828 VRV589828 WBR589828 WLN589828 WVJ589828 B655364 IX655364 ST655364 ACP655364 AML655364 AWH655364 BGD655364 BPZ655364 BZV655364 CJR655364 CTN655364 DDJ655364 DNF655364 DXB655364 EGX655364 EQT655364 FAP655364 FKL655364 FUH655364 GED655364 GNZ655364 GXV655364 HHR655364 HRN655364 IBJ655364 ILF655364 IVB655364 JEX655364 JOT655364 JYP655364 KIL655364 KSH655364 LCD655364 LLZ655364 LVV655364 MFR655364 MPN655364 MZJ655364 NJF655364 NTB655364 OCX655364 OMT655364 OWP655364 PGL655364 PQH655364 QAD655364 QJZ655364 QTV655364 RDR655364 RNN655364 RXJ655364 SHF655364 SRB655364 TAX655364 TKT655364 TUP655364 UEL655364 UOH655364 UYD655364 VHZ655364 VRV655364 WBR655364 WLN655364 WVJ655364 B720900 IX720900 ST720900 ACP720900 AML720900 AWH720900 BGD720900 BPZ720900 BZV720900 CJR720900 CTN720900 DDJ720900 DNF720900 DXB720900 EGX720900 EQT720900 FAP720900 FKL720900 FUH720900 GED720900 GNZ720900 GXV720900 HHR720900 HRN720900 IBJ720900 ILF720900 IVB720900 JEX720900 JOT720900 JYP720900 KIL720900 KSH720900 LCD720900 LLZ720900 LVV720900 MFR720900 MPN720900 MZJ720900 NJF720900 NTB720900 OCX720900 OMT720900 OWP720900 PGL720900 PQH720900 QAD720900 QJZ720900 QTV720900 RDR720900 RNN720900 RXJ720900 SHF720900 SRB720900 TAX720900 TKT720900 TUP720900 UEL720900 UOH720900 UYD720900 VHZ720900 VRV720900 WBR720900 WLN720900 WVJ720900 B786436 IX786436 ST786436 ACP786436 AML786436 AWH786436 BGD786436 BPZ786436 BZV786436 CJR786436 CTN786436 DDJ786436 DNF786436 DXB786436 EGX786436 EQT786436 FAP786436 FKL786436 FUH786436 GED786436 GNZ786436 GXV786436 HHR786436 HRN786436 IBJ786436 ILF786436 IVB786436 JEX786436 JOT786436 JYP786436 KIL786436 KSH786436 LCD786436 LLZ786436 LVV786436 MFR786436 MPN786436 MZJ786436 NJF786436 NTB786436 OCX786436 OMT786436 OWP786436 PGL786436 PQH786436 QAD786436 QJZ786436 QTV786436 RDR786436 RNN786436 RXJ786436 SHF786436 SRB786436 TAX786436 TKT786436 TUP786436 UEL786436 UOH786436 UYD786436 VHZ786436 VRV786436 WBR786436 WLN786436 WVJ786436 B851972 IX851972 ST851972 ACP851972 AML851972 AWH851972 BGD851972 BPZ851972 BZV851972 CJR851972 CTN851972 DDJ851972 DNF851972 DXB851972 EGX851972 EQT851972 FAP851972 FKL851972 FUH851972 GED851972 GNZ851972 GXV851972 HHR851972 HRN851972 IBJ851972 ILF851972 IVB851972 JEX851972 JOT851972 JYP851972 KIL851972 KSH851972 LCD851972 LLZ851972 LVV851972 MFR851972 MPN851972 MZJ851972 NJF851972 NTB851972 OCX851972 OMT851972 OWP851972 PGL851972 PQH851972 QAD851972 QJZ851972 QTV851972 RDR851972 RNN851972 RXJ851972 SHF851972 SRB851972 TAX851972 TKT851972 TUP851972 UEL851972 UOH851972 UYD851972 VHZ851972 VRV851972 WBR851972 WLN851972 WVJ851972 B917508 IX917508 ST917508 ACP917508 AML917508 AWH917508 BGD917508 BPZ917508 BZV917508 CJR917508 CTN917508 DDJ917508 DNF917508 DXB917508 EGX917508 EQT917508 FAP917508 FKL917508 FUH917508 GED917508 GNZ917508 GXV917508 HHR917508 HRN917508 IBJ917508 ILF917508 IVB917508 JEX917508 JOT917508 JYP917508 KIL917508 KSH917508 LCD917508 LLZ917508 LVV917508 MFR917508 MPN917508 MZJ917508 NJF917508 NTB917508 OCX917508 OMT917508 OWP917508 PGL917508 PQH917508 QAD917508 QJZ917508 QTV917508 RDR917508 RNN917508 RXJ917508 SHF917508 SRB917508 TAX917508 TKT917508 TUP917508 UEL917508 UOH917508 UYD917508 VHZ917508 VRV917508 WBR917508 WLN917508 WVJ917508 B983044 IX983044 ST983044 ACP983044 AML983044 AWH983044 BGD983044 BPZ983044 BZV983044 CJR983044 CTN983044 DDJ983044 DNF983044 DXB983044 EGX983044 EQT983044 FAP983044 FKL983044 FUH983044 GED983044 GNZ983044 GXV983044 HHR983044 HRN983044 IBJ983044 ILF983044 IVB983044 JEX983044 JOT983044 JYP983044 KIL983044 KSH983044 LCD983044 LLZ983044 LVV983044 MFR983044 MPN983044 MZJ983044 NJF983044 NTB983044 OCX983044 OMT983044 OWP983044 PGL983044 PQH983044 QAD983044 QJZ983044 QTV983044 RDR983044 RNN983044 RXJ983044 SHF983044 SRB983044 TAX983044 TKT983044 TUP983044 UEL983044 UOH983044 UYD983044 VHZ983044 VRV983044 WBR983044 WLN983044 WVJ983044">
      <formula1>DATE(96,1,1)</formula1>
    </dataValidation>
    <dataValidation allowBlank="1" showInputMessage="1" showErrorMessage="1" prompt="Если значение ячейки не равно &quot;В10+В11-В12&quot;, то ячейка окрасится" sqref="C1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WVK983054"/>
    <dataValidation allowBlank="1" showInputMessage="1" showErrorMessage="1" prompt="Если значение ячейки не равно &quot;В14 - В15&quot;, ячейка окрасится" sqref="C17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dataValidation allowBlank="1" showInputMessage="1" showErrorMessage="1" prompt="Если значение ячейки не равно &quot;В19+В20 - В21&quot;, ячейка окрасится" sqref="C2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WVK983063"/>
    <dataValidation allowBlank="1" showInputMessage="1" showErrorMessage="1" prompt="Если значение ячейки не равно &quot;В23 - В24&quot;, ячейка окрасится"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dataValidation allowBlank="1" showInputMessage="1" showErrorMessage="1" prompt="Если значение ячейки не равно &quot;В30 + В31 - В32&quot;, ячейка окрасится" sqref="C3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WVK983074"/>
    <dataValidation allowBlank="1" showInputMessage="1" showErrorMessage="1" prompt="Ячейка окрасится в случае, если значение не равно:_x000a__x000a_а) Итого активов (таблица &quot;Анализ активов банка&quot;)_x000a__x000a_б) Общей сумме балансовых активов (таблица &quot;Расчёт активов с учётом риска&quot; )" sqref="C36 IY36 SU36 ACQ36 AMM36 AWI36 BGE36 BQA36 BZW36 CJS36 CTO36 DDK36 DNG36 DXC36 EGY36 EQU36 FAQ36 FKM36 FUI36 GEE36 GOA36 GXW36 HHS36 HRO36 IBK36 ILG36 IVC36 JEY36 JOU36 JYQ36 KIM36 KSI36 LCE36 LMA36 LVW36 MFS36 MPO36 MZK36 NJG36 NTC36 OCY36 OMU36 OWQ36 PGM36 PQI36 QAE36 QKA36 QTW36 RDS36 RNO36 RXK36 SHG36 SRC36 TAY36 TKU36 TUQ36 UEM36 UOI36 UYE36 VIA36 VRW36 WBS36 WLO36 WVK36 C65572 IY65572 SU65572 ACQ65572 AMM65572 AWI65572 BGE65572 BQA65572 BZW65572 CJS65572 CTO65572 DDK65572 DNG65572 DXC65572 EGY65572 EQU65572 FAQ65572 FKM65572 FUI65572 GEE65572 GOA65572 GXW65572 HHS65572 HRO65572 IBK65572 ILG65572 IVC65572 JEY65572 JOU65572 JYQ65572 KIM65572 KSI65572 LCE65572 LMA65572 LVW65572 MFS65572 MPO65572 MZK65572 NJG65572 NTC65572 OCY65572 OMU65572 OWQ65572 PGM65572 PQI65572 QAE65572 QKA65572 QTW65572 RDS65572 RNO65572 RXK65572 SHG65572 SRC65572 TAY65572 TKU65572 TUQ65572 UEM65572 UOI65572 UYE65572 VIA65572 VRW65572 WBS65572 WLO65572 WVK65572 C131108 IY131108 SU131108 ACQ131108 AMM131108 AWI131108 BGE131108 BQA131108 BZW131108 CJS131108 CTO131108 DDK131108 DNG131108 DXC131108 EGY131108 EQU131108 FAQ131108 FKM131108 FUI131108 GEE131108 GOA131108 GXW131108 HHS131108 HRO131108 IBK131108 ILG131108 IVC131108 JEY131108 JOU131108 JYQ131108 KIM131108 KSI131108 LCE131108 LMA131108 LVW131108 MFS131108 MPO131108 MZK131108 NJG131108 NTC131108 OCY131108 OMU131108 OWQ131108 PGM131108 PQI131108 QAE131108 QKA131108 QTW131108 RDS131108 RNO131108 RXK131108 SHG131108 SRC131108 TAY131108 TKU131108 TUQ131108 UEM131108 UOI131108 UYE131108 VIA131108 VRW131108 WBS131108 WLO131108 WVK131108 C196644 IY196644 SU196644 ACQ196644 AMM196644 AWI196644 BGE196644 BQA196644 BZW196644 CJS196644 CTO196644 DDK196644 DNG196644 DXC196644 EGY196644 EQU196644 FAQ196644 FKM196644 FUI196644 GEE196644 GOA196644 GXW196644 HHS196644 HRO196644 IBK196644 ILG196644 IVC196644 JEY196644 JOU196644 JYQ196644 KIM196644 KSI196644 LCE196644 LMA196644 LVW196644 MFS196644 MPO196644 MZK196644 NJG196644 NTC196644 OCY196644 OMU196644 OWQ196644 PGM196644 PQI196644 QAE196644 QKA196644 QTW196644 RDS196644 RNO196644 RXK196644 SHG196644 SRC196644 TAY196644 TKU196644 TUQ196644 UEM196644 UOI196644 UYE196644 VIA196644 VRW196644 WBS196644 WLO196644 WVK196644 C262180 IY262180 SU262180 ACQ262180 AMM262180 AWI262180 BGE262180 BQA262180 BZW262180 CJS262180 CTO262180 DDK262180 DNG262180 DXC262180 EGY262180 EQU262180 FAQ262180 FKM262180 FUI262180 GEE262180 GOA262180 GXW262180 HHS262180 HRO262180 IBK262180 ILG262180 IVC262180 JEY262180 JOU262180 JYQ262180 KIM262180 KSI262180 LCE262180 LMA262180 LVW262180 MFS262180 MPO262180 MZK262180 NJG262180 NTC262180 OCY262180 OMU262180 OWQ262180 PGM262180 PQI262180 QAE262180 QKA262180 QTW262180 RDS262180 RNO262180 RXK262180 SHG262180 SRC262180 TAY262180 TKU262180 TUQ262180 UEM262180 UOI262180 UYE262180 VIA262180 VRW262180 WBS262180 WLO262180 WVK262180 C327716 IY327716 SU327716 ACQ327716 AMM327716 AWI327716 BGE327716 BQA327716 BZW327716 CJS327716 CTO327716 DDK327716 DNG327716 DXC327716 EGY327716 EQU327716 FAQ327716 FKM327716 FUI327716 GEE327716 GOA327716 GXW327716 HHS327716 HRO327716 IBK327716 ILG327716 IVC327716 JEY327716 JOU327716 JYQ327716 KIM327716 KSI327716 LCE327716 LMA327716 LVW327716 MFS327716 MPO327716 MZK327716 NJG327716 NTC327716 OCY327716 OMU327716 OWQ327716 PGM327716 PQI327716 QAE327716 QKA327716 QTW327716 RDS327716 RNO327716 RXK327716 SHG327716 SRC327716 TAY327716 TKU327716 TUQ327716 UEM327716 UOI327716 UYE327716 VIA327716 VRW327716 WBS327716 WLO327716 WVK327716 C393252 IY393252 SU393252 ACQ393252 AMM393252 AWI393252 BGE393252 BQA393252 BZW393252 CJS393252 CTO393252 DDK393252 DNG393252 DXC393252 EGY393252 EQU393252 FAQ393252 FKM393252 FUI393252 GEE393252 GOA393252 GXW393252 HHS393252 HRO393252 IBK393252 ILG393252 IVC393252 JEY393252 JOU393252 JYQ393252 KIM393252 KSI393252 LCE393252 LMA393252 LVW393252 MFS393252 MPO393252 MZK393252 NJG393252 NTC393252 OCY393252 OMU393252 OWQ393252 PGM393252 PQI393252 QAE393252 QKA393252 QTW393252 RDS393252 RNO393252 RXK393252 SHG393252 SRC393252 TAY393252 TKU393252 TUQ393252 UEM393252 UOI393252 UYE393252 VIA393252 VRW393252 WBS393252 WLO393252 WVK393252 C458788 IY458788 SU458788 ACQ458788 AMM458788 AWI458788 BGE458788 BQA458788 BZW458788 CJS458788 CTO458788 DDK458788 DNG458788 DXC458788 EGY458788 EQU458788 FAQ458788 FKM458788 FUI458788 GEE458788 GOA458788 GXW458788 HHS458788 HRO458788 IBK458788 ILG458788 IVC458788 JEY458788 JOU458788 JYQ458788 KIM458788 KSI458788 LCE458788 LMA458788 LVW458788 MFS458788 MPO458788 MZK458788 NJG458788 NTC458788 OCY458788 OMU458788 OWQ458788 PGM458788 PQI458788 QAE458788 QKA458788 QTW458788 RDS458788 RNO458788 RXK458788 SHG458788 SRC458788 TAY458788 TKU458788 TUQ458788 UEM458788 UOI458788 UYE458788 VIA458788 VRW458788 WBS458788 WLO458788 WVK458788 C524324 IY524324 SU524324 ACQ524324 AMM524324 AWI524324 BGE524324 BQA524324 BZW524324 CJS524324 CTO524324 DDK524324 DNG524324 DXC524324 EGY524324 EQU524324 FAQ524324 FKM524324 FUI524324 GEE524324 GOA524324 GXW524324 HHS524324 HRO524324 IBK524324 ILG524324 IVC524324 JEY524324 JOU524324 JYQ524324 KIM524324 KSI524324 LCE524324 LMA524324 LVW524324 MFS524324 MPO524324 MZK524324 NJG524324 NTC524324 OCY524324 OMU524324 OWQ524324 PGM524324 PQI524324 QAE524324 QKA524324 QTW524324 RDS524324 RNO524324 RXK524324 SHG524324 SRC524324 TAY524324 TKU524324 TUQ524324 UEM524324 UOI524324 UYE524324 VIA524324 VRW524324 WBS524324 WLO524324 WVK524324 C589860 IY589860 SU589860 ACQ589860 AMM589860 AWI589860 BGE589860 BQA589860 BZW589860 CJS589860 CTO589860 DDK589860 DNG589860 DXC589860 EGY589860 EQU589860 FAQ589860 FKM589860 FUI589860 GEE589860 GOA589860 GXW589860 HHS589860 HRO589860 IBK589860 ILG589860 IVC589860 JEY589860 JOU589860 JYQ589860 KIM589860 KSI589860 LCE589860 LMA589860 LVW589860 MFS589860 MPO589860 MZK589860 NJG589860 NTC589860 OCY589860 OMU589860 OWQ589860 PGM589860 PQI589860 QAE589860 QKA589860 QTW589860 RDS589860 RNO589860 RXK589860 SHG589860 SRC589860 TAY589860 TKU589860 TUQ589860 UEM589860 UOI589860 UYE589860 VIA589860 VRW589860 WBS589860 WLO589860 WVK589860 C655396 IY655396 SU655396 ACQ655396 AMM655396 AWI655396 BGE655396 BQA655396 BZW655396 CJS655396 CTO655396 DDK655396 DNG655396 DXC655396 EGY655396 EQU655396 FAQ655396 FKM655396 FUI655396 GEE655396 GOA655396 GXW655396 HHS655396 HRO655396 IBK655396 ILG655396 IVC655396 JEY655396 JOU655396 JYQ655396 KIM655396 KSI655396 LCE655396 LMA655396 LVW655396 MFS655396 MPO655396 MZK655396 NJG655396 NTC655396 OCY655396 OMU655396 OWQ655396 PGM655396 PQI655396 QAE655396 QKA655396 QTW655396 RDS655396 RNO655396 RXK655396 SHG655396 SRC655396 TAY655396 TKU655396 TUQ655396 UEM655396 UOI655396 UYE655396 VIA655396 VRW655396 WBS655396 WLO655396 WVK655396 C720932 IY720932 SU720932 ACQ720932 AMM720932 AWI720932 BGE720932 BQA720932 BZW720932 CJS720932 CTO720932 DDK720932 DNG720932 DXC720932 EGY720932 EQU720932 FAQ720932 FKM720932 FUI720932 GEE720932 GOA720932 GXW720932 HHS720932 HRO720932 IBK720932 ILG720932 IVC720932 JEY720932 JOU720932 JYQ720932 KIM720932 KSI720932 LCE720932 LMA720932 LVW720932 MFS720932 MPO720932 MZK720932 NJG720932 NTC720932 OCY720932 OMU720932 OWQ720932 PGM720932 PQI720932 QAE720932 QKA720932 QTW720932 RDS720932 RNO720932 RXK720932 SHG720932 SRC720932 TAY720932 TKU720932 TUQ720932 UEM720932 UOI720932 UYE720932 VIA720932 VRW720932 WBS720932 WLO720932 WVK720932 C786468 IY786468 SU786468 ACQ786468 AMM786468 AWI786468 BGE786468 BQA786468 BZW786468 CJS786468 CTO786468 DDK786468 DNG786468 DXC786468 EGY786468 EQU786468 FAQ786468 FKM786468 FUI786468 GEE786468 GOA786468 GXW786468 HHS786468 HRO786468 IBK786468 ILG786468 IVC786468 JEY786468 JOU786468 JYQ786468 KIM786468 KSI786468 LCE786468 LMA786468 LVW786468 MFS786468 MPO786468 MZK786468 NJG786468 NTC786468 OCY786468 OMU786468 OWQ786468 PGM786468 PQI786468 QAE786468 QKA786468 QTW786468 RDS786468 RNO786468 RXK786468 SHG786468 SRC786468 TAY786468 TKU786468 TUQ786468 UEM786468 UOI786468 UYE786468 VIA786468 VRW786468 WBS786468 WLO786468 WVK786468 C852004 IY852004 SU852004 ACQ852004 AMM852004 AWI852004 BGE852004 BQA852004 BZW852004 CJS852004 CTO852004 DDK852004 DNG852004 DXC852004 EGY852004 EQU852004 FAQ852004 FKM852004 FUI852004 GEE852004 GOA852004 GXW852004 HHS852004 HRO852004 IBK852004 ILG852004 IVC852004 JEY852004 JOU852004 JYQ852004 KIM852004 KSI852004 LCE852004 LMA852004 LVW852004 MFS852004 MPO852004 MZK852004 NJG852004 NTC852004 OCY852004 OMU852004 OWQ852004 PGM852004 PQI852004 QAE852004 QKA852004 QTW852004 RDS852004 RNO852004 RXK852004 SHG852004 SRC852004 TAY852004 TKU852004 TUQ852004 UEM852004 UOI852004 UYE852004 VIA852004 VRW852004 WBS852004 WLO852004 WVK852004 C917540 IY917540 SU917540 ACQ917540 AMM917540 AWI917540 BGE917540 BQA917540 BZW917540 CJS917540 CTO917540 DDK917540 DNG917540 DXC917540 EGY917540 EQU917540 FAQ917540 FKM917540 FUI917540 GEE917540 GOA917540 GXW917540 HHS917540 HRO917540 IBK917540 ILG917540 IVC917540 JEY917540 JOU917540 JYQ917540 KIM917540 KSI917540 LCE917540 LMA917540 LVW917540 MFS917540 MPO917540 MZK917540 NJG917540 NTC917540 OCY917540 OMU917540 OWQ917540 PGM917540 PQI917540 QAE917540 QKA917540 QTW917540 RDS917540 RNO917540 RXK917540 SHG917540 SRC917540 TAY917540 TKU917540 TUQ917540 UEM917540 UOI917540 UYE917540 VIA917540 VRW917540 WBS917540 WLO917540 WVK917540 C983076 IY983076 SU983076 ACQ983076 AMM983076 AWI983076 BGE983076 BQA983076 BZW983076 CJS983076 CTO983076 DDK983076 DNG983076 DXC983076 EGY983076 EQU983076 FAQ983076 FKM983076 FUI983076 GEE983076 GOA983076 GXW983076 HHS983076 HRO983076 IBK983076 ILG983076 IVC983076 JEY983076 JOU983076 JYQ983076 KIM983076 KSI983076 LCE983076 LMA983076 LVW983076 MFS983076 MPO983076 MZK983076 NJG983076 NTC983076 OCY983076 OMU983076 OWQ983076 PGM983076 PQI983076 QAE983076 QKA983076 QTW983076 RDS983076 RNO983076 RXK983076 SHG983076 SRC983076 TAY983076 TKU983076 TUQ983076 UEM983076 UOI983076 UYE983076 VIA983076 VRW983076 WBS983076 WLO983076 WVK983076"/>
    <dataValidation type="whole" operator="notEqual" allowBlank="1" showErrorMessage="1" error="Что, не получается?_x000a__x000a_Выше нос друзья!_x000a__x000a_Введите целое число." sqref="C48 IY48 SU48 ACQ48 AMM48 AWI48 BGE48 BQA48 BZW48 CJS48 CTO48 DDK48 DNG48 DXC48 EGY48 EQU48 FAQ48 FKM48 FUI48 GEE48 GOA48 GXW48 HHS48 HRO48 IBK48 ILG48 IVC48 JEY48 JOU48 JYQ48 KIM48 KSI48 LCE48 LMA48 LVW48 MFS48 MPO48 MZK48 NJG48 NTC48 OCY48 OMU48 OWQ48 PGM48 PQI48 QAE48 QKA48 QTW48 RDS48 RNO48 RXK48 SHG48 SRC48 TAY48 TKU48 TUQ48 UEM48 UOI48 UYE48 VIA48 VRW48 WBS48 WLO48 WVK48 C65584 IY65584 SU65584 ACQ65584 AMM65584 AWI65584 BGE65584 BQA65584 BZW65584 CJS65584 CTO65584 DDK65584 DNG65584 DXC65584 EGY65584 EQU65584 FAQ65584 FKM65584 FUI65584 GEE65584 GOA65584 GXW65584 HHS65584 HRO65584 IBK65584 ILG65584 IVC65584 JEY65584 JOU65584 JYQ65584 KIM65584 KSI65584 LCE65584 LMA65584 LVW65584 MFS65584 MPO65584 MZK65584 NJG65584 NTC65584 OCY65584 OMU65584 OWQ65584 PGM65584 PQI65584 QAE65584 QKA65584 QTW65584 RDS65584 RNO65584 RXK65584 SHG65584 SRC65584 TAY65584 TKU65584 TUQ65584 UEM65584 UOI65584 UYE65584 VIA65584 VRW65584 WBS65584 WLO65584 WVK65584 C131120 IY131120 SU131120 ACQ131120 AMM131120 AWI131120 BGE131120 BQA131120 BZW131120 CJS131120 CTO131120 DDK131120 DNG131120 DXC131120 EGY131120 EQU131120 FAQ131120 FKM131120 FUI131120 GEE131120 GOA131120 GXW131120 HHS131120 HRO131120 IBK131120 ILG131120 IVC131120 JEY131120 JOU131120 JYQ131120 KIM131120 KSI131120 LCE131120 LMA131120 LVW131120 MFS131120 MPO131120 MZK131120 NJG131120 NTC131120 OCY131120 OMU131120 OWQ131120 PGM131120 PQI131120 QAE131120 QKA131120 QTW131120 RDS131120 RNO131120 RXK131120 SHG131120 SRC131120 TAY131120 TKU131120 TUQ131120 UEM131120 UOI131120 UYE131120 VIA131120 VRW131120 WBS131120 WLO131120 WVK131120 C196656 IY196656 SU196656 ACQ196656 AMM196656 AWI196656 BGE196656 BQA196656 BZW196656 CJS196656 CTO196656 DDK196656 DNG196656 DXC196656 EGY196656 EQU196656 FAQ196656 FKM196656 FUI196656 GEE196656 GOA196656 GXW196656 HHS196656 HRO196656 IBK196656 ILG196656 IVC196656 JEY196656 JOU196656 JYQ196656 KIM196656 KSI196656 LCE196656 LMA196656 LVW196656 MFS196656 MPO196656 MZK196656 NJG196656 NTC196656 OCY196656 OMU196656 OWQ196656 PGM196656 PQI196656 QAE196656 QKA196656 QTW196656 RDS196656 RNO196656 RXK196656 SHG196656 SRC196656 TAY196656 TKU196656 TUQ196656 UEM196656 UOI196656 UYE196656 VIA196656 VRW196656 WBS196656 WLO196656 WVK196656 C262192 IY262192 SU262192 ACQ262192 AMM262192 AWI262192 BGE262192 BQA262192 BZW262192 CJS262192 CTO262192 DDK262192 DNG262192 DXC262192 EGY262192 EQU262192 FAQ262192 FKM262192 FUI262192 GEE262192 GOA262192 GXW262192 HHS262192 HRO262192 IBK262192 ILG262192 IVC262192 JEY262192 JOU262192 JYQ262192 KIM262192 KSI262192 LCE262192 LMA262192 LVW262192 MFS262192 MPO262192 MZK262192 NJG262192 NTC262192 OCY262192 OMU262192 OWQ262192 PGM262192 PQI262192 QAE262192 QKA262192 QTW262192 RDS262192 RNO262192 RXK262192 SHG262192 SRC262192 TAY262192 TKU262192 TUQ262192 UEM262192 UOI262192 UYE262192 VIA262192 VRW262192 WBS262192 WLO262192 WVK262192 C327728 IY327728 SU327728 ACQ327728 AMM327728 AWI327728 BGE327728 BQA327728 BZW327728 CJS327728 CTO327728 DDK327728 DNG327728 DXC327728 EGY327728 EQU327728 FAQ327728 FKM327728 FUI327728 GEE327728 GOA327728 GXW327728 HHS327728 HRO327728 IBK327728 ILG327728 IVC327728 JEY327728 JOU327728 JYQ327728 KIM327728 KSI327728 LCE327728 LMA327728 LVW327728 MFS327728 MPO327728 MZK327728 NJG327728 NTC327728 OCY327728 OMU327728 OWQ327728 PGM327728 PQI327728 QAE327728 QKA327728 QTW327728 RDS327728 RNO327728 RXK327728 SHG327728 SRC327728 TAY327728 TKU327728 TUQ327728 UEM327728 UOI327728 UYE327728 VIA327728 VRW327728 WBS327728 WLO327728 WVK327728 C393264 IY393264 SU393264 ACQ393264 AMM393264 AWI393264 BGE393264 BQA393264 BZW393264 CJS393264 CTO393264 DDK393264 DNG393264 DXC393264 EGY393264 EQU393264 FAQ393264 FKM393264 FUI393264 GEE393264 GOA393264 GXW393264 HHS393264 HRO393264 IBK393264 ILG393264 IVC393264 JEY393264 JOU393264 JYQ393264 KIM393264 KSI393264 LCE393264 LMA393264 LVW393264 MFS393264 MPO393264 MZK393264 NJG393264 NTC393264 OCY393264 OMU393264 OWQ393264 PGM393264 PQI393264 QAE393264 QKA393264 QTW393264 RDS393264 RNO393264 RXK393264 SHG393264 SRC393264 TAY393264 TKU393264 TUQ393264 UEM393264 UOI393264 UYE393264 VIA393264 VRW393264 WBS393264 WLO393264 WVK393264 C458800 IY458800 SU458800 ACQ458800 AMM458800 AWI458800 BGE458800 BQA458800 BZW458800 CJS458800 CTO458800 DDK458800 DNG458800 DXC458800 EGY458800 EQU458800 FAQ458800 FKM458800 FUI458800 GEE458800 GOA458800 GXW458800 HHS458800 HRO458800 IBK458800 ILG458800 IVC458800 JEY458800 JOU458800 JYQ458800 KIM458800 KSI458800 LCE458800 LMA458800 LVW458800 MFS458800 MPO458800 MZK458800 NJG458800 NTC458800 OCY458800 OMU458800 OWQ458800 PGM458800 PQI458800 QAE458800 QKA458800 QTW458800 RDS458800 RNO458800 RXK458800 SHG458800 SRC458800 TAY458800 TKU458800 TUQ458800 UEM458800 UOI458800 UYE458800 VIA458800 VRW458800 WBS458800 WLO458800 WVK458800 C524336 IY524336 SU524336 ACQ524336 AMM524336 AWI524336 BGE524336 BQA524336 BZW524336 CJS524336 CTO524336 DDK524336 DNG524336 DXC524336 EGY524336 EQU524336 FAQ524336 FKM524336 FUI524336 GEE524336 GOA524336 GXW524336 HHS524336 HRO524336 IBK524336 ILG524336 IVC524336 JEY524336 JOU524336 JYQ524336 KIM524336 KSI524336 LCE524336 LMA524336 LVW524336 MFS524336 MPO524336 MZK524336 NJG524336 NTC524336 OCY524336 OMU524336 OWQ524336 PGM524336 PQI524336 QAE524336 QKA524336 QTW524336 RDS524336 RNO524336 RXK524336 SHG524336 SRC524336 TAY524336 TKU524336 TUQ524336 UEM524336 UOI524336 UYE524336 VIA524336 VRW524336 WBS524336 WLO524336 WVK524336 C589872 IY589872 SU589872 ACQ589872 AMM589872 AWI589872 BGE589872 BQA589872 BZW589872 CJS589872 CTO589872 DDK589872 DNG589872 DXC589872 EGY589872 EQU589872 FAQ589872 FKM589872 FUI589872 GEE589872 GOA589872 GXW589872 HHS589872 HRO589872 IBK589872 ILG589872 IVC589872 JEY589872 JOU589872 JYQ589872 KIM589872 KSI589872 LCE589872 LMA589872 LVW589872 MFS589872 MPO589872 MZK589872 NJG589872 NTC589872 OCY589872 OMU589872 OWQ589872 PGM589872 PQI589872 QAE589872 QKA589872 QTW589872 RDS589872 RNO589872 RXK589872 SHG589872 SRC589872 TAY589872 TKU589872 TUQ589872 UEM589872 UOI589872 UYE589872 VIA589872 VRW589872 WBS589872 WLO589872 WVK589872 C655408 IY655408 SU655408 ACQ655408 AMM655408 AWI655408 BGE655408 BQA655408 BZW655408 CJS655408 CTO655408 DDK655408 DNG655408 DXC655408 EGY655408 EQU655408 FAQ655408 FKM655408 FUI655408 GEE655408 GOA655408 GXW655408 HHS655408 HRO655408 IBK655408 ILG655408 IVC655408 JEY655408 JOU655408 JYQ655408 KIM655408 KSI655408 LCE655408 LMA655408 LVW655408 MFS655408 MPO655408 MZK655408 NJG655408 NTC655408 OCY655408 OMU655408 OWQ655408 PGM655408 PQI655408 QAE655408 QKA655408 QTW655408 RDS655408 RNO655408 RXK655408 SHG655408 SRC655408 TAY655408 TKU655408 TUQ655408 UEM655408 UOI655408 UYE655408 VIA655408 VRW655408 WBS655408 WLO655408 WVK655408 C720944 IY720944 SU720944 ACQ720944 AMM720944 AWI720944 BGE720944 BQA720944 BZW720944 CJS720944 CTO720944 DDK720944 DNG720944 DXC720944 EGY720944 EQU720944 FAQ720944 FKM720944 FUI720944 GEE720944 GOA720944 GXW720944 HHS720944 HRO720944 IBK720944 ILG720944 IVC720944 JEY720944 JOU720944 JYQ720944 KIM720944 KSI720944 LCE720944 LMA720944 LVW720944 MFS720944 MPO720944 MZK720944 NJG720944 NTC720944 OCY720944 OMU720944 OWQ720944 PGM720944 PQI720944 QAE720944 QKA720944 QTW720944 RDS720944 RNO720944 RXK720944 SHG720944 SRC720944 TAY720944 TKU720944 TUQ720944 UEM720944 UOI720944 UYE720944 VIA720944 VRW720944 WBS720944 WLO720944 WVK720944 C786480 IY786480 SU786480 ACQ786480 AMM786480 AWI786480 BGE786480 BQA786480 BZW786480 CJS786480 CTO786480 DDK786480 DNG786480 DXC786480 EGY786480 EQU786480 FAQ786480 FKM786480 FUI786480 GEE786480 GOA786480 GXW786480 HHS786480 HRO786480 IBK786480 ILG786480 IVC786480 JEY786480 JOU786480 JYQ786480 KIM786480 KSI786480 LCE786480 LMA786480 LVW786480 MFS786480 MPO786480 MZK786480 NJG786480 NTC786480 OCY786480 OMU786480 OWQ786480 PGM786480 PQI786480 QAE786480 QKA786480 QTW786480 RDS786480 RNO786480 RXK786480 SHG786480 SRC786480 TAY786480 TKU786480 TUQ786480 UEM786480 UOI786480 UYE786480 VIA786480 VRW786480 WBS786480 WLO786480 WVK786480 C852016 IY852016 SU852016 ACQ852016 AMM852016 AWI852016 BGE852016 BQA852016 BZW852016 CJS852016 CTO852016 DDK852016 DNG852016 DXC852016 EGY852016 EQU852016 FAQ852016 FKM852016 FUI852016 GEE852016 GOA852016 GXW852016 HHS852016 HRO852016 IBK852016 ILG852016 IVC852016 JEY852016 JOU852016 JYQ852016 KIM852016 KSI852016 LCE852016 LMA852016 LVW852016 MFS852016 MPO852016 MZK852016 NJG852016 NTC852016 OCY852016 OMU852016 OWQ852016 PGM852016 PQI852016 QAE852016 QKA852016 QTW852016 RDS852016 RNO852016 RXK852016 SHG852016 SRC852016 TAY852016 TKU852016 TUQ852016 UEM852016 UOI852016 UYE852016 VIA852016 VRW852016 WBS852016 WLO852016 WVK852016 C917552 IY917552 SU917552 ACQ917552 AMM917552 AWI917552 BGE917552 BQA917552 BZW917552 CJS917552 CTO917552 DDK917552 DNG917552 DXC917552 EGY917552 EQU917552 FAQ917552 FKM917552 FUI917552 GEE917552 GOA917552 GXW917552 HHS917552 HRO917552 IBK917552 ILG917552 IVC917552 JEY917552 JOU917552 JYQ917552 KIM917552 KSI917552 LCE917552 LMA917552 LVW917552 MFS917552 MPO917552 MZK917552 NJG917552 NTC917552 OCY917552 OMU917552 OWQ917552 PGM917552 PQI917552 QAE917552 QKA917552 QTW917552 RDS917552 RNO917552 RXK917552 SHG917552 SRC917552 TAY917552 TKU917552 TUQ917552 UEM917552 UOI917552 UYE917552 VIA917552 VRW917552 WBS917552 WLO917552 WVK917552 C983088 IY983088 SU983088 ACQ983088 AMM983088 AWI983088 BGE983088 BQA983088 BZW983088 CJS983088 CTO983088 DDK983088 DNG983088 DXC983088 EGY983088 EQU983088 FAQ983088 FKM983088 FUI983088 GEE983088 GOA983088 GXW983088 HHS983088 HRO983088 IBK983088 ILG983088 IVC983088 JEY983088 JOU983088 JYQ983088 KIM983088 KSI983088 LCE983088 LMA983088 LVW983088 MFS983088 MPO983088 MZK983088 NJG983088 NTC983088 OCY983088 OMU983088 OWQ983088 PGM983088 PQI983088 QAE983088 QKA983088 QTW983088 RDS983088 RNO983088 RXK983088 SHG983088 SRC983088 TAY983088 TKU983088 TUQ983088 UEM983088 UOI983088 UYE983088 VIA983088 VRW983088 WBS983088 WLO983088 WVK983088">
      <formula1>-1E+21</formula1>
    </dataValidation>
  </dataValidations>
  <pageMargins left="0.37" right="0.35" top="0.56000000000000005" bottom="0.6" header="0.5" footer="0.5"/>
  <pageSetup paperSize="9" scale="8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Balance</vt:lpstr>
    </vt:vector>
  </TitlesOfParts>
  <Company>BusinessBank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Ruslan</dc:creator>
  <cp:lastModifiedBy>Администратор</cp:lastModifiedBy>
  <cp:lastPrinted>2016-01-12T09:41:44Z</cp:lastPrinted>
  <dcterms:created xsi:type="dcterms:W3CDTF">2002-11-13T06:29:37Z</dcterms:created>
  <dcterms:modified xsi:type="dcterms:W3CDTF">2016-06-29T10:50:57Z</dcterms:modified>
</cp:coreProperties>
</file>