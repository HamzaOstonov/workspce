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ЭтаКнига"/>
  <bookViews>
    <workbookView xWindow="-15" yWindow="-15" windowWidth="9615" windowHeight="11130" tabRatio="911"/>
  </bookViews>
  <sheets>
    <sheet name="Balance" sheetId="1" r:id="rId1"/>
    <sheet name="Income" sheetId="10" r:id="rId2"/>
    <sheet name="Analysis of Interest" sheetId="11" r:id="rId3"/>
    <sheet name="Bank Capital Calc." sheetId="3" r:id="rId4"/>
    <sheet name="Calculation of Risk Weighted As" sheetId="2" r:id="rId5"/>
    <sheet name="Calculation of Risk" sheetId="25" r:id="rId6"/>
    <sheet name="Changes in Equity" sheetId="22" r:id="rId7"/>
    <sheet name="Recociliation" sheetId="21" r:id="rId8"/>
    <sheet name="Loans Receivable" sheetId="20" r:id="rId9"/>
    <sheet name="Aging Analysis" sheetId="24" r:id="rId10"/>
    <sheet name="Loan Classification" sheetId="18" r:id="rId11"/>
    <sheet name="Loans to Affiliated P." sheetId="17" r:id="rId12"/>
    <sheet name="Twenty Largest" sheetId="16" r:id="rId13"/>
    <sheet name="Charge-offs and Recoveries" sheetId="15" r:id="rId14"/>
    <sheet name="Deposits by Client" sheetId="14" r:id="rId15"/>
    <sheet name="Investment Securities" sheetId="9" r:id="rId16"/>
    <sheet name="Bank Assets Analysis" sheetId="6" r:id="rId17"/>
    <sheet name="Bank Liabilities Analysis" sheetId="7" r:id="rId18"/>
    <sheet name="Liquidity Analysis" sheetId="5" r:id="rId19"/>
    <sheet name="Commitments" sheetId="12" r:id="rId20"/>
    <sheet name="Economic Normatives" sheetId="8" r:id="rId21"/>
    <sheet name="Miscellaneous" sheetId="23" r:id="rId22"/>
  </sheets>
  <externalReferences>
    <externalReference r:id="rId23"/>
  </externalReferences>
  <definedNames>
    <definedName name="allowance">'Charge-offs and Recoveries'!$C$27</definedName>
    <definedName name="CASHDIVCOM">'Changes in Equity'!$B$12</definedName>
    <definedName name="CASHDIVPREF">'Changes in Equity'!$B$11</definedName>
    <definedName name="RISKTOTASS">SUM('Calculation of Risk Weighted As'!$C$47:$F$47)</definedName>
    <definedName name="TOTASS">'Bank Assets Analysis'!$H$39</definedName>
    <definedName name="TOTEQT">'Changes in Equity'!$B$14</definedName>
    <definedName name="TOTLIAB">'Bank Liabilities Analysis'!$H$35</definedName>
    <definedName name="wrn.Input._.Report."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_xlnm.Print_Area" localSheetId="10">'Loan Classification'!$A$2:$X$19</definedName>
    <definedName name="_xlnm.Print_Area" localSheetId="8">'Loans Receivable'!$A$2:$X$115</definedName>
  </definedNames>
  <calcPr calcId="125725"/>
</workbook>
</file>

<file path=xl/calcChain.xml><?xml version="1.0" encoding="utf-8"?>
<calcChain xmlns="http://schemas.openxmlformats.org/spreadsheetml/2006/main">
  <c r="C16" i="7"/>
  <c r="K29" i="8" l="1"/>
  <c r="K24"/>
  <c r="O26" i="16"/>
  <c r="M36" i="17"/>
  <c r="C39" i="3" l="1"/>
  <c r="C24" i="25"/>
  <c r="H33" i="7"/>
  <c r="E14" i="18"/>
  <c r="AB15" l="1"/>
  <c r="AA15"/>
  <c r="Z15"/>
  <c r="AD15" s="1"/>
  <c r="AB14"/>
  <c r="AA14"/>
  <c r="AB12"/>
  <c r="AA12"/>
  <c r="AB11"/>
  <c r="AA11"/>
  <c r="AB10"/>
  <c r="AA10"/>
  <c r="AB9"/>
  <c r="AA9"/>
  <c r="AB8"/>
  <c r="AA8"/>
  <c r="AB7"/>
  <c r="AA7"/>
  <c r="AB6"/>
  <c r="AA6"/>
  <c r="C29" i="7"/>
  <c r="C13"/>
  <c r="C12"/>
  <c r="D135" i="20" l="1"/>
  <c r="D123"/>
  <c r="U116" l="1"/>
  <c r="T116"/>
  <c r="S116"/>
  <c r="R116"/>
  <c r="Q116"/>
  <c r="P116"/>
  <c r="O116"/>
  <c r="N116"/>
  <c r="M116"/>
  <c r="L116"/>
  <c r="J116"/>
  <c r="I116"/>
  <c r="H116"/>
  <c r="F116"/>
  <c r="E116"/>
  <c r="D116"/>
  <c r="H32" i="7"/>
  <c r="J3" i="8"/>
  <c r="A3"/>
  <c r="E39" i="3"/>
  <c r="E25"/>
  <c r="G32" i="6" l="1"/>
  <c r="C26" i="7"/>
  <c r="J26" s="1"/>
  <c r="K26" s="1"/>
  <c r="C21"/>
  <c r="J21" s="1"/>
  <c r="K21" s="1"/>
  <c r="J45" i="24"/>
  <c r="I45"/>
  <c r="I17" i="22"/>
  <c r="E10"/>
  <c r="B10"/>
  <c r="E9"/>
  <c r="B9"/>
  <c r="D7"/>
  <c r="C7"/>
  <c r="B7"/>
  <c r="E6"/>
  <c r="E5"/>
  <c r="E4"/>
  <c r="E3"/>
  <c r="B6" i="21"/>
  <c r="B12" s="1"/>
  <c r="B20" i="12"/>
  <c r="B12"/>
  <c r="B22" s="1"/>
  <c r="C48" i="7"/>
  <c r="C47"/>
  <c r="C19" s="1"/>
  <c r="J19" s="1"/>
  <c r="K19" s="1"/>
  <c r="C46"/>
  <c r="C45"/>
  <c r="C44"/>
  <c r="C43"/>
  <c r="C18" s="1"/>
  <c r="C42"/>
  <c r="H41"/>
  <c r="J34"/>
  <c r="K34" s="1"/>
  <c r="G32"/>
  <c r="G35" s="1"/>
  <c r="F32"/>
  <c r="E32"/>
  <c r="D32"/>
  <c r="J31"/>
  <c r="K31" s="1"/>
  <c r="H31"/>
  <c r="H30"/>
  <c r="J29"/>
  <c r="K29" s="1"/>
  <c r="J28"/>
  <c r="K28" s="1"/>
  <c r="J27"/>
  <c r="K27" s="1"/>
  <c r="H27"/>
  <c r="H26"/>
  <c r="J25"/>
  <c r="K25" s="1"/>
  <c r="G25"/>
  <c r="J24"/>
  <c r="K24" s="1"/>
  <c r="H24"/>
  <c r="J23"/>
  <c r="K23" s="1"/>
  <c r="H23"/>
  <c r="J22"/>
  <c r="K22" s="1"/>
  <c r="G22"/>
  <c r="K20"/>
  <c r="G19"/>
  <c r="F19"/>
  <c r="E19"/>
  <c r="D19"/>
  <c r="G18"/>
  <c r="G20" s="1"/>
  <c r="F18"/>
  <c r="F20" s="1"/>
  <c r="E18"/>
  <c r="E20" s="1"/>
  <c r="D18"/>
  <c r="C17"/>
  <c r="J17" s="1"/>
  <c r="K17" s="1"/>
  <c r="J16"/>
  <c r="K16" s="1"/>
  <c r="H16"/>
  <c r="J15"/>
  <c r="K15" s="1"/>
  <c r="H15"/>
  <c r="J14"/>
  <c r="K14" s="1"/>
  <c r="H14"/>
  <c r="J13"/>
  <c r="K13" s="1"/>
  <c r="H10"/>
  <c r="H53" i="6"/>
  <c r="G53"/>
  <c r="F53"/>
  <c r="E53"/>
  <c r="D53"/>
  <c r="D37" s="1"/>
  <c r="J37" s="1"/>
  <c r="K37" s="1"/>
  <c r="C51"/>
  <c r="H44"/>
  <c r="H43"/>
  <c r="J38"/>
  <c r="K38" s="1"/>
  <c r="J36"/>
  <c r="K36" s="1"/>
  <c r="H36"/>
  <c r="J35"/>
  <c r="K35" s="1"/>
  <c r="H35"/>
  <c r="J34"/>
  <c r="K34" s="1"/>
  <c r="H34"/>
  <c r="J33"/>
  <c r="K33" s="1"/>
  <c r="H33"/>
  <c r="J32"/>
  <c r="K32" s="1"/>
  <c r="H32"/>
  <c r="J31"/>
  <c r="K31" s="1"/>
  <c r="G31"/>
  <c r="H31" s="1"/>
  <c r="J30"/>
  <c r="K30" s="1"/>
  <c r="H30"/>
  <c r="K29"/>
  <c r="H29"/>
  <c r="J28"/>
  <c r="K28" s="1"/>
  <c r="H28"/>
  <c r="J27"/>
  <c r="K27" s="1"/>
  <c r="H27"/>
  <c r="J26"/>
  <c r="K26" s="1"/>
  <c r="G26"/>
  <c r="J25"/>
  <c r="K25" s="1"/>
  <c r="G25"/>
  <c r="J24"/>
  <c r="K24" s="1"/>
  <c r="H24"/>
  <c r="J23"/>
  <c r="K23" s="1"/>
  <c r="H23"/>
  <c r="J22"/>
  <c r="K22" s="1"/>
  <c r="H22"/>
  <c r="J21"/>
  <c r="K21" s="1"/>
  <c r="H21"/>
  <c r="C20"/>
  <c r="J20" s="1"/>
  <c r="K20" s="1"/>
  <c r="J19"/>
  <c r="K19" s="1"/>
  <c r="H19"/>
  <c r="J18"/>
  <c r="K18" s="1"/>
  <c r="H18"/>
  <c r="J17"/>
  <c r="K17" s="1"/>
  <c r="H17"/>
  <c r="K16"/>
  <c r="H16"/>
  <c r="H15"/>
  <c r="J15" s="1"/>
  <c r="K15" s="1"/>
  <c r="H14"/>
  <c r="J14" s="1"/>
  <c r="K14" s="1"/>
  <c r="K12"/>
  <c r="F12"/>
  <c r="E12"/>
  <c r="D12"/>
  <c r="C12"/>
  <c r="J11"/>
  <c r="K11" s="1"/>
  <c r="H11"/>
  <c r="J10"/>
  <c r="K10" s="1"/>
  <c r="H10"/>
  <c r="J9"/>
  <c r="K9" s="1"/>
  <c r="K39" s="1"/>
  <c r="H9"/>
  <c r="B44" i="9"/>
  <c r="C37"/>
  <c r="B37"/>
  <c r="B39" s="1"/>
  <c r="C26"/>
  <c r="B26"/>
  <c r="B28" s="1"/>
  <c r="B15"/>
  <c r="C12"/>
  <c r="B12"/>
  <c r="C30" i="14"/>
  <c r="B30"/>
  <c r="C21"/>
  <c r="B21"/>
  <c r="C12"/>
  <c r="B12"/>
  <c r="B32" s="1"/>
  <c r="C27" i="15"/>
  <c r="A8" i="16"/>
  <c r="A9" s="1"/>
  <c r="A10" s="1"/>
  <c r="A11" s="1"/>
  <c r="A12" s="1"/>
  <c r="A13" s="1"/>
  <c r="A14" s="1"/>
  <c r="A15" s="1"/>
  <c r="A16" s="1"/>
  <c r="A17" s="1"/>
  <c r="A18" s="1"/>
  <c r="A19" s="1"/>
  <c r="A20" s="1"/>
  <c r="A21" s="1"/>
  <c r="A22" s="1"/>
  <c r="A23" s="1"/>
  <c r="A24" s="1"/>
  <c r="A25" s="1"/>
  <c r="A26" s="1"/>
  <c r="A8" i="17"/>
  <c r="A9" s="1"/>
  <c r="A10" s="1"/>
  <c r="A11" s="1"/>
  <c r="A12" s="1"/>
  <c r="A13" s="1"/>
  <c r="A14" s="1"/>
  <c r="A15" s="1"/>
  <c r="A16" s="1"/>
  <c r="A17" s="1"/>
  <c r="A18" s="1"/>
  <c r="A19" s="1"/>
  <c r="A20" s="1"/>
  <c r="A21" s="1"/>
  <c r="A22" s="1"/>
  <c r="A23" s="1"/>
  <c r="A24" s="1"/>
  <c r="A25" s="1"/>
  <c r="A26" s="1"/>
  <c r="A27" s="1"/>
  <c r="A28" s="1"/>
  <c r="A29" s="1"/>
  <c r="A30" s="1"/>
  <c r="A31" s="1"/>
  <c r="A32" s="1"/>
  <c r="A33" s="1"/>
  <c r="A34" s="1"/>
  <c r="A35" s="1"/>
  <c r="A36" s="1"/>
  <c r="W16" i="18"/>
  <c r="V16"/>
  <c r="U16"/>
  <c r="S16"/>
  <c r="R16"/>
  <c r="Q16"/>
  <c r="O16"/>
  <c r="N16"/>
  <c r="M16"/>
  <c r="K16"/>
  <c r="J16"/>
  <c r="I16"/>
  <c r="G16"/>
  <c r="C37" i="3" s="1"/>
  <c r="E37" s="1"/>
  <c r="F16" i="18"/>
  <c r="AB16" s="1"/>
  <c r="E16"/>
  <c r="X15"/>
  <c r="X14"/>
  <c r="T14"/>
  <c r="T16" s="1"/>
  <c r="P14"/>
  <c r="P16" s="1"/>
  <c r="L14"/>
  <c r="L16" s="1"/>
  <c r="H14"/>
  <c r="H16" s="1"/>
  <c r="D14"/>
  <c r="W13"/>
  <c r="V13"/>
  <c r="U13"/>
  <c r="S13"/>
  <c r="R13"/>
  <c r="Q13"/>
  <c r="P13" s="1"/>
  <c r="O13"/>
  <c r="N13"/>
  <c r="M13"/>
  <c r="K13"/>
  <c r="J13"/>
  <c r="I13"/>
  <c r="H13" s="1"/>
  <c r="G13"/>
  <c r="F13"/>
  <c r="E13"/>
  <c r="X12"/>
  <c r="T12"/>
  <c r="P12"/>
  <c r="L12"/>
  <c r="H12"/>
  <c r="D12"/>
  <c r="X11"/>
  <c r="T11"/>
  <c r="P11"/>
  <c r="L11"/>
  <c r="H11"/>
  <c r="D11"/>
  <c r="X10"/>
  <c r="T10"/>
  <c r="P10"/>
  <c r="L10"/>
  <c r="H10"/>
  <c r="D10"/>
  <c r="X9"/>
  <c r="T9"/>
  <c r="P9"/>
  <c r="L9"/>
  <c r="H9"/>
  <c r="D9"/>
  <c r="X8"/>
  <c r="T8"/>
  <c r="P8"/>
  <c r="L8"/>
  <c r="H8"/>
  <c r="D8"/>
  <c r="X7"/>
  <c r="T7"/>
  <c r="P7"/>
  <c r="L7"/>
  <c r="H7"/>
  <c r="D7"/>
  <c r="X6"/>
  <c r="T6"/>
  <c r="P6"/>
  <c r="L6"/>
  <c r="H6"/>
  <c r="D6"/>
  <c r="P47" i="24"/>
  <c r="P17" s="1"/>
  <c r="P24" s="1"/>
  <c r="P34" s="1"/>
  <c r="P36" s="1"/>
  <c r="O47"/>
  <c r="O17" s="1"/>
  <c r="O24" s="1"/>
  <c r="O34" s="1"/>
  <c r="O36" s="1"/>
  <c r="N47"/>
  <c r="N17" s="1"/>
  <c r="N24" s="1"/>
  <c r="N34" s="1"/>
  <c r="N36" s="1"/>
  <c r="M47"/>
  <c r="L47"/>
  <c r="L17" s="1"/>
  <c r="L24" s="1"/>
  <c r="L34" s="1"/>
  <c r="L36" s="1"/>
  <c r="K47"/>
  <c r="S47" s="1"/>
  <c r="E47"/>
  <c r="G45"/>
  <c r="Q45" s="1"/>
  <c r="S45" s="1"/>
  <c r="G23"/>
  <c r="P18"/>
  <c r="O18"/>
  <c r="N18"/>
  <c r="M18"/>
  <c r="L18"/>
  <c r="K18"/>
  <c r="E18"/>
  <c r="M17"/>
  <c r="M24" s="1"/>
  <c r="M34" s="1"/>
  <c r="M36" s="1"/>
  <c r="E17"/>
  <c r="E24" s="1"/>
  <c r="S11"/>
  <c r="W191" i="20"/>
  <c r="U191"/>
  <c r="T191"/>
  <c r="S191"/>
  <c r="R191"/>
  <c r="Q191"/>
  <c r="P191"/>
  <c r="O191"/>
  <c r="N191"/>
  <c r="M191"/>
  <c r="L191"/>
  <c r="J191"/>
  <c r="I191"/>
  <c r="F191"/>
  <c r="E191"/>
  <c r="D191"/>
  <c r="U190"/>
  <c r="T190"/>
  <c r="S190"/>
  <c r="R190"/>
  <c r="Q190"/>
  <c r="P190"/>
  <c r="O190"/>
  <c r="N190"/>
  <c r="M190"/>
  <c r="L190"/>
  <c r="J190"/>
  <c r="I190"/>
  <c r="X190" s="1"/>
  <c r="F190"/>
  <c r="E190"/>
  <c r="D190"/>
  <c r="G189"/>
  <c r="C189" s="1"/>
  <c r="V189" s="1"/>
  <c r="G188"/>
  <c r="C188" s="1"/>
  <c r="V188" s="1"/>
  <c r="U187"/>
  <c r="T187"/>
  <c r="S187"/>
  <c r="R187"/>
  <c r="Q187"/>
  <c r="P187"/>
  <c r="O187"/>
  <c r="N187"/>
  <c r="M187"/>
  <c r="L187"/>
  <c r="J187"/>
  <c r="I187"/>
  <c r="X187" s="1"/>
  <c r="F187"/>
  <c r="E187"/>
  <c r="D187"/>
  <c r="G186"/>
  <c r="C186" s="1"/>
  <c r="V186" s="1"/>
  <c r="G185"/>
  <c r="C185" s="1"/>
  <c r="V185" s="1"/>
  <c r="U184"/>
  <c r="T184"/>
  <c r="S184"/>
  <c r="R184"/>
  <c r="Q184"/>
  <c r="P184"/>
  <c r="O184"/>
  <c r="N184"/>
  <c r="M184"/>
  <c r="L184"/>
  <c r="J184"/>
  <c r="I184"/>
  <c r="X184" s="1"/>
  <c r="F184"/>
  <c r="E184"/>
  <c r="G184" s="1"/>
  <c r="C184" s="1"/>
  <c r="D184"/>
  <c r="G183"/>
  <c r="C183" s="1"/>
  <c r="V183" s="1"/>
  <c r="G182"/>
  <c r="C182" s="1"/>
  <c r="V182" s="1"/>
  <c r="U181"/>
  <c r="T181"/>
  <c r="S181"/>
  <c r="R181"/>
  <c r="Q181"/>
  <c r="P181"/>
  <c r="O181"/>
  <c r="N181"/>
  <c r="M181"/>
  <c r="L181"/>
  <c r="J181"/>
  <c r="I181"/>
  <c r="X181" s="1"/>
  <c r="F181"/>
  <c r="E181"/>
  <c r="D181"/>
  <c r="G180"/>
  <c r="C180" s="1"/>
  <c r="V180" s="1"/>
  <c r="G179"/>
  <c r="C179" s="1"/>
  <c r="V179" s="1"/>
  <c r="U178"/>
  <c r="T178"/>
  <c r="S178"/>
  <c r="R178"/>
  <c r="Q178"/>
  <c r="P178"/>
  <c r="O178"/>
  <c r="N178"/>
  <c r="M178"/>
  <c r="L178"/>
  <c r="J178"/>
  <c r="I178"/>
  <c r="X178" s="1"/>
  <c r="F178"/>
  <c r="E178"/>
  <c r="D178"/>
  <c r="G177"/>
  <c r="C177" s="1"/>
  <c r="V177" s="1"/>
  <c r="G176"/>
  <c r="C176" s="1"/>
  <c r="V176" s="1"/>
  <c r="C175"/>
  <c r="V175" s="1"/>
  <c r="U174"/>
  <c r="T174"/>
  <c r="S174"/>
  <c r="R174"/>
  <c r="Q174"/>
  <c r="P174"/>
  <c r="O174"/>
  <c r="N174"/>
  <c r="M174"/>
  <c r="L174"/>
  <c r="J174"/>
  <c r="I174"/>
  <c r="X174" s="1"/>
  <c r="F174"/>
  <c r="E174"/>
  <c r="D174"/>
  <c r="G173"/>
  <c r="C173" s="1"/>
  <c r="V173" s="1"/>
  <c r="G172"/>
  <c r="C172" s="1"/>
  <c r="V172" s="1"/>
  <c r="U171"/>
  <c r="T171"/>
  <c r="S171"/>
  <c r="R171"/>
  <c r="Q171"/>
  <c r="P171"/>
  <c r="O171"/>
  <c r="N171"/>
  <c r="M171"/>
  <c r="L171"/>
  <c r="J171"/>
  <c r="I171"/>
  <c r="X171" s="1"/>
  <c r="F171"/>
  <c r="E171"/>
  <c r="D171"/>
  <c r="G170"/>
  <c r="C170" s="1"/>
  <c r="V170" s="1"/>
  <c r="G169"/>
  <c r="C169" s="1"/>
  <c r="V169" s="1"/>
  <c r="U168"/>
  <c r="T168"/>
  <c r="S168"/>
  <c r="R168"/>
  <c r="Q168"/>
  <c r="P168"/>
  <c r="O168"/>
  <c r="N168"/>
  <c r="M168"/>
  <c r="L168"/>
  <c r="J168"/>
  <c r="I168"/>
  <c r="X168" s="1"/>
  <c r="F168"/>
  <c r="E168"/>
  <c r="G168" s="1"/>
  <c r="C168" s="1"/>
  <c r="D168"/>
  <c r="G167"/>
  <c r="C167" s="1"/>
  <c r="V167" s="1"/>
  <c r="G166"/>
  <c r="C166" s="1"/>
  <c r="V166" s="1"/>
  <c r="U165"/>
  <c r="T165"/>
  <c r="S165"/>
  <c r="R165"/>
  <c r="Q165"/>
  <c r="P165"/>
  <c r="O165"/>
  <c r="N165"/>
  <c r="M165"/>
  <c r="L165"/>
  <c r="J165"/>
  <c r="I165"/>
  <c r="X165" s="1"/>
  <c r="F165"/>
  <c r="E165"/>
  <c r="D165"/>
  <c r="G164"/>
  <c r="C164" s="1"/>
  <c r="V164" s="1"/>
  <c r="G163"/>
  <c r="C163" s="1"/>
  <c r="V163" s="1"/>
  <c r="G162"/>
  <c r="C162" s="1"/>
  <c r="V162" s="1"/>
  <c r="W158"/>
  <c r="U157"/>
  <c r="U118" s="1"/>
  <c r="T157"/>
  <c r="S157"/>
  <c r="R157"/>
  <c r="Q157"/>
  <c r="Q118" s="1"/>
  <c r="P157"/>
  <c r="O157"/>
  <c r="N157"/>
  <c r="M157"/>
  <c r="M118" s="1"/>
  <c r="L157"/>
  <c r="J157"/>
  <c r="I157"/>
  <c r="X157" s="1"/>
  <c r="F157"/>
  <c r="F118" s="1"/>
  <c r="I22" i="24" s="1"/>
  <c r="E157" i="20"/>
  <c r="D157"/>
  <c r="G156"/>
  <c r="C156"/>
  <c r="V156" s="1"/>
  <c r="G155"/>
  <c r="C155" s="1"/>
  <c r="V155" s="1"/>
  <c r="U154"/>
  <c r="T154"/>
  <c r="S154"/>
  <c r="R154"/>
  <c r="Q154"/>
  <c r="P154"/>
  <c r="O154"/>
  <c r="N154"/>
  <c r="M154"/>
  <c r="L154"/>
  <c r="J154"/>
  <c r="I154"/>
  <c r="X154" s="1"/>
  <c r="F154"/>
  <c r="E154"/>
  <c r="D154"/>
  <c r="G153"/>
  <c r="C153" s="1"/>
  <c r="V153" s="1"/>
  <c r="G152"/>
  <c r="C152" s="1"/>
  <c r="V152" s="1"/>
  <c r="U151"/>
  <c r="T151"/>
  <c r="S151"/>
  <c r="R151"/>
  <c r="Q151"/>
  <c r="P151"/>
  <c r="O151"/>
  <c r="N151"/>
  <c r="M151"/>
  <c r="L151"/>
  <c r="J151"/>
  <c r="I151"/>
  <c r="X151" s="1"/>
  <c r="F151"/>
  <c r="E151"/>
  <c r="D151"/>
  <c r="G150"/>
  <c r="C150" s="1"/>
  <c r="V150" s="1"/>
  <c r="G149"/>
  <c r="G116" s="1"/>
  <c r="C149"/>
  <c r="V149" s="1"/>
  <c r="U148"/>
  <c r="T148"/>
  <c r="S148"/>
  <c r="R148"/>
  <c r="Q148"/>
  <c r="P148"/>
  <c r="O148"/>
  <c r="N148"/>
  <c r="M148"/>
  <c r="L148"/>
  <c r="J148"/>
  <c r="I148"/>
  <c r="X148" s="1"/>
  <c r="F148"/>
  <c r="E148"/>
  <c r="D148"/>
  <c r="G147"/>
  <c r="C147" s="1"/>
  <c r="V147" s="1"/>
  <c r="G146"/>
  <c r="C146" s="1"/>
  <c r="V146" s="1"/>
  <c r="U145"/>
  <c r="U114" s="1"/>
  <c r="U100" s="1"/>
  <c r="T145"/>
  <c r="S145"/>
  <c r="R145"/>
  <c r="Q145"/>
  <c r="Q114" s="1"/>
  <c r="Q100" s="1"/>
  <c r="P145"/>
  <c r="O145"/>
  <c r="N145"/>
  <c r="M145"/>
  <c r="M114" s="1"/>
  <c r="M100" s="1"/>
  <c r="L145"/>
  <c r="J145"/>
  <c r="I145"/>
  <c r="X145" s="1"/>
  <c r="F145"/>
  <c r="F114" s="1"/>
  <c r="E145"/>
  <c r="D145"/>
  <c r="G144"/>
  <c r="C144"/>
  <c r="V144" s="1"/>
  <c r="G143"/>
  <c r="C143" s="1"/>
  <c r="V143" s="1"/>
  <c r="C142"/>
  <c r="V142" s="1"/>
  <c r="U141"/>
  <c r="U112" s="1"/>
  <c r="T141"/>
  <c r="T112" s="1"/>
  <c r="S141"/>
  <c r="R141"/>
  <c r="Q141"/>
  <c r="Q112" s="1"/>
  <c r="P141"/>
  <c r="O141"/>
  <c r="N141"/>
  <c r="M141"/>
  <c r="M112" s="1"/>
  <c r="L141"/>
  <c r="L112" s="1"/>
  <c r="J141"/>
  <c r="I141"/>
  <c r="X141" s="1"/>
  <c r="F141"/>
  <c r="F112" s="1"/>
  <c r="I12" i="24" s="1"/>
  <c r="E141" i="20"/>
  <c r="E112" s="1"/>
  <c r="J12" i="24" s="1"/>
  <c r="D141" i="20"/>
  <c r="G140"/>
  <c r="C140" s="1"/>
  <c r="V140" s="1"/>
  <c r="G139"/>
  <c r="C139" s="1"/>
  <c r="V139" s="1"/>
  <c r="U137"/>
  <c r="U158" s="1"/>
  <c r="T137"/>
  <c r="T158" s="1"/>
  <c r="T111" s="1"/>
  <c r="S137"/>
  <c r="S158" s="1"/>
  <c r="R137"/>
  <c r="R158" s="1"/>
  <c r="R111" s="1"/>
  <c r="Q137"/>
  <c r="Q158" s="1"/>
  <c r="P137"/>
  <c r="P158" s="1"/>
  <c r="P111" s="1"/>
  <c r="O137"/>
  <c r="O158" s="1"/>
  <c r="N137"/>
  <c r="N158" s="1"/>
  <c r="N111" s="1"/>
  <c r="M137"/>
  <c r="M158" s="1"/>
  <c r="L137"/>
  <c r="L158" s="1"/>
  <c r="L111" s="1"/>
  <c r="J137"/>
  <c r="J158" s="1"/>
  <c r="I137"/>
  <c r="I158" s="1"/>
  <c r="H137"/>
  <c r="F137"/>
  <c r="F158" s="1"/>
  <c r="F111" s="1"/>
  <c r="E137"/>
  <c r="E158" s="1"/>
  <c r="D137"/>
  <c r="G136"/>
  <c r="C136"/>
  <c r="U135"/>
  <c r="T135"/>
  <c r="S135"/>
  <c r="R135"/>
  <c r="Q135"/>
  <c r="P135"/>
  <c r="O135"/>
  <c r="N135"/>
  <c r="M135"/>
  <c r="L135"/>
  <c r="J135"/>
  <c r="I135"/>
  <c r="X135" s="1"/>
  <c r="F135"/>
  <c r="E135"/>
  <c r="G134"/>
  <c r="C134" s="1"/>
  <c r="V134" s="1"/>
  <c r="G133"/>
  <c r="C133" s="1"/>
  <c r="V133" s="1"/>
  <c r="U132"/>
  <c r="U108" s="1"/>
  <c r="T132"/>
  <c r="T108" s="1"/>
  <c r="T95" s="1"/>
  <c r="S132"/>
  <c r="R132"/>
  <c r="Q132"/>
  <c r="Q108" s="1"/>
  <c r="P132"/>
  <c r="P108" s="1"/>
  <c r="P95" s="1"/>
  <c r="O132"/>
  <c r="N132"/>
  <c r="M132"/>
  <c r="M108" s="1"/>
  <c r="L132"/>
  <c r="L108" s="1"/>
  <c r="L95" s="1"/>
  <c r="J132"/>
  <c r="I132"/>
  <c r="X132" s="1"/>
  <c r="F132"/>
  <c r="F108" s="1"/>
  <c r="I15" i="24" s="1"/>
  <c r="E132" i="20"/>
  <c r="D132"/>
  <c r="G131"/>
  <c r="C131" s="1"/>
  <c r="V131" s="1"/>
  <c r="G130"/>
  <c r="C130" s="1"/>
  <c r="V130" s="1"/>
  <c r="G129"/>
  <c r="G107" s="1"/>
  <c r="G119" s="1"/>
  <c r="D129" s="1"/>
  <c r="AU119"/>
  <c r="T118"/>
  <c r="S118"/>
  <c r="S104" s="1"/>
  <c r="R118"/>
  <c r="R104" s="1"/>
  <c r="P118"/>
  <c r="O118"/>
  <c r="O104" s="1"/>
  <c r="N118"/>
  <c r="L118"/>
  <c r="L104" s="1"/>
  <c r="J118"/>
  <c r="J104" s="1"/>
  <c r="I118"/>
  <c r="X118" s="1"/>
  <c r="E118"/>
  <c r="J22" i="24" s="1"/>
  <c r="D118" i="20"/>
  <c r="U117"/>
  <c r="T117"/>
  <c r="S117"/>
  <c r="R117"/>
  <c r="Q117"/>
  <c r="P117"/>
  <c r="O117"/>
  <c r="N117"/>
  <c r="M117"/>
  <c r="L117"/>
  <c r="J117"/>
  <c r="I117"/>
  <c r="X117" s="1"/>
  <c r="F117"/>
  <c r="I21" i="24" s="1"/>
  <c r="D117" i="20"/>
  <c r="I20" i="24"/>
  <c r="J20"/>
  <c r="U115" i="20"/>
  <c r="T115"/>
  <c r="S115"/>
  <c r="R115"/>
  <c r="R101" s="1"/>
  <c r="Q115"/>
  <c r="P115"/>
  <c r="O115"/>
  <c r="N115"/>
  <c r="N101" s="1"/>
  <c r="M115"/>
  <c r="L115"/>
  <c r="J115"/>
  <c r="I115"/>
  <c r="F115"/>
  <c r="I19" i="24" s="1"/>
  <c r="E115" i="20"/>
  <c r="J19" i="24" s="1"/>
  <c r="D115" i="20"/>
  <c r="T114"/>
  <c r="T100" s="1"/>
  <c r="S114"/>
  <c r="S100" s="1"/>
  <c r="R114"/>
  <c r="P114"/>
  <c r="O114"/>
  <c r="O100" s="1"/>
  <c r="N114"/>
  <c r="L114"/>
  <c r="J114"/>
  <c r="J100" s="1"/>
  <c r="I114"/>
  <c r="X114" s="1"/>
  <c r="E114"/>
  <c r="J13" i="24" s="1"/>
  <c r="D114" i="20"/>
  <c r="U113"/>
  <c r="T113"/>
  <c r="T98" s="1"/>
  <c r="S113"/>
  <c r="R113"/>
  <c r="Q113"/>
  <c r="P113"/>
  <c r="P98" s="1"/>
  <c r="O113"/>
  <c r="N113"/>
  <c r="M113"/>
  <c r="L113"/>
  <c r="L98" s="1"/>
  <c r="J113"/>
  <c r="I113"/>
  <c r="H113"/>
  <c r="G113"/>
  <c r="G98" s="1"/>
  <c r="F113"/>
  <c r="E113"/>
  <c r="D113"/>
  <c r="C113"/>
  <c r="C11" i="24" s="1"/>
  <c r="S112" i="20"/>
  <c r="R112"/>
  <c r="P112"/>
  <c r="O112"/>
  <c r="N112"/>
  <c r="J112"/>
  <c r="I112"/>
  <c r="X112" s="1"/>
  <c r="D112"/>
  <c r="D99" s="1"/>
  <c r="U111"/>
  <c r="S111"/>
  <c r="Q111"/>
  <c r="O111"/>
  <c r="M111"/>
  <c r="J111"/>
  <c r="I111"/>
  <c r="E111"/>
  <c r="U109"/>
  <c r="T109"/>
  <c r="S109"/>
  <c r="R109"/>
  <c r="Q109"/>
  <c r="P109"/>
  <c r="O109"/>
  <c r="N109"/>
  <c r="M109"/>
  <c r="L109"/>
  <c r="J109"/>
  <c r="I109"/>
  <c r="X109" s="1"/>
  <c r="F109"/>
  <c r="I16" i="24" s="1"/>
  <c r="E109" i="20"/>
  <c r="J16" i="24" s="1"/>
  <c r="D109" i="20"/>
  <c r="S108"/>
  <c r="S95" s="1"/>
  <c r="R108"/>
  <c r="O108"/>
  <c r="O95" s="1"/>
  <c r="N108"/>
  <c r="J108"/>
  <c r="J95" s="1"/>
  <c r="I108"/>
  <c r="X108" s="1"/>
  <c r="E108"/>
  <c r="D108"/>
  <c r="U107"/>
  <c r="T107"/>
  <c r="S107"/>
  <c r="R107"/>
  <c r="Q107"/>
  <c r="P107"/>
  <c r="O107"/>
  <c r="N107"/>
  <c r="M107"/>
  <c r="L107"/>
  <c r="J107"/>
  <c r="I107"/>
  <c r="H107"/>
  <c r="F107"/>
  <c r="I14" i="24" s="1"/>
  <c r="E107" i="20"/>
  <c r="AU104"/>
  <c r="U104"/>
  <c r="T104"/>
  <c r="Q104"/>
  <c r="P104"/>
  <c r="N104"/>
  <c r="M104"/>
  <c r="I104"/>
  <c r="X104" s="1"/>
  <c r="AU103"/>
  <c r="AU105" s="1"/>
  <c r="AU102"/>
  <c r="AU101"/>
  <c r="U101"/>
  <c r="T101"/>
  <c r="S101"/>
  <c r="Q101"/>
  <c r="P101"/>
  <c r="O101"/>
  <c r="M101"/>
  <c r="L101"/>
  <c r="J101"/>
  <c r="F101"/>
  <c r="E101"/>
  <c r="AU100"/>
  <c r="R100"/>
  <c r="P100"/>
  <c r="N100"/>
  <c r="L100"/>
  <c r="I100"/>
  <c r="X100" s="1"/>
  <c r="E100"/>
  <c r="D100"/>
  <c r="AU99"/>
  <c r="U99"/>
  <c r="T99"/>
  <c r="S99"/>
  <c r="R99"/>
  <c r="Q99"/>
  <c r="P99"/>
  <c r="O99"/>
  <c r="N99"/>
  <c r="M99"/>
  <c r="L99"/>
  <c r="J99"/>
  <c r="I99"/>
  <c r="G99"/>
  <c r="C99" s="1"/>
  <c r="F99"/>
  <c r="E99"/>
  <c r="U98"/>
  <c r="S98"/>
  <c r="R98"/>
  <c r="Q98"/>
  <c r="O98"/>
  <c r="N98"/>
  <c r="M98"/>
  <c r="J98"/>
  <c r="I98"/>
  <c r="H98"/>
  <c r="F98"/>
  <c r="E98"/>
  <c r="D98"/>
  <c r="C98" s="1"/>
  <c r="AU97"/>
  <c r="AU96"/>
  <c r="U96"/>
  <c r="T96"/>
  <c r="S96"/>
  <c r="R96"/>
  <c r="Q96"/>
  <c r="P96"/>
  <c r="O96"/>
  <c r="N96"/>
  <c r="M96"/>
  <c r="L96"/>
  <c r="J96"/>
  <c r="I96"/>
  <c r="X96" s="1"/>
  <c r="F96"/>
  <c r="E96"/>
  <c r="AU95"/>
  <c r="U95"/>
  <c r="R95"/>
  <c r="Q95"/>
  <c r="N95"/>
  <c r="M95"/>
  <c r="I95"/>
  <c r="X95" s="1"/>
  <c r="F95"/>
  <c r="D95"/>
  <c r="AU94"/>
  <c r="AU92"/>
  <c r="U91"/>
  <c r="U92" s="1"/>
  <c r="T91"/>
  <c r="T92" s="1"/>
  <c r="S91"/>
  <c r="S92" s="1"/>
  <c r="R91"/>
  <c r="R92" s="1"/>
  <c r="Q91"/>
  <c r="Q92" s="1"/>
  <c r="P91"/>
  <c r="P92" s="1"/>
  <c r="O91"/>
  <c r="O92" s="1"/>
  <c r="N91"/>
  <c r="N92" s="1"/>
  <c r="M91"/>
  <c r="M92" s="1"/>
  <c r="L91"/>
  <c r="L92" s="1"/>
  <c r="J91"/>
  <c r="J92" s="1"/>
  <c r="I91"/>
  <c r="I92" s="1"/>
  <c r="F91"/>
  <c r="F92" s="1"/>
  <c r="I33" i="24" s="1"/>
  <c r="E91" i="20"/>
  <c r="E92" s="1"/>
  <c r="J33" i="24" s="1"/>
  <c r="D91" i="20"/>
  <c r="D92" s="1"/>
  <c r="G90"/>
  <c r="C90" s="1"/>
  <c r="G89"/>
  <c r="C89" s="1"/>
  <c r="G88"/>
  <c r="C88" s="1"/>
  <c r="G87"/>
  <c r="G91" s="1"/>
  <c r="C87"/>
  <c r="C91" s="1"/>
  <c r="G86"/>
  <c r="C86" s="1"/>
  <c r="G85"/>
  <c r="C85" s="1"/>
  <c r="G84"/>
  <c r="C84" s="1"/>
  <c r="G83"/>
  <c r="C83"/>
  <c r="G82"/>
  <c r="C82" s="1"/>
  <c r="AU80"/>
  <c r="U79"/>
  <c r="U80" s="1"/>
  <c r="T79"/>
  <c r="T80" s="1"/>
  <c r="S79"/>
  <c r="S80" s="1"/>
  <c r="R79"/>
  <c r="R80" s="1"/>
  <c r="Q79"/>
  <c r="Q80" s="1"/>
  <c r="P79"/>
  <c r="P80" s="1"/>
  <c r="O79"/>
  <c r="O80" s="1"/>
  <c r="N79"/>
  <c r="N80" s="1"/>
  <c r="M79"/>
  <c r="M80" s="1"/>
  <c r="L79"/>
  <c r="L80" s="1"/>
  <c r="J79"/>
  <c r="J80" s="1"/>
  <c r="I79"/>
  <c r="I80" s="1"/>
  <c r="F79"/>
  <c r="F80" s="1"/>
  <c r="I32" i="24" s="1"/>
  <c r="E79" i="20"/>
  <c r="E80" s="1"/>
  <c r="J32" i="24" s="1"/>
  <c r="D79" i="20"/>
  <c r="D80" s="1"/>
  <c r="G78"/>
  <c r="C78" s="1"/>
  <c r="G77"/>
  <c r="C77" s="1"/>
  <c r="G76"/>
  <c r="C76" s="1"/>
  <c r="G75"/>
  <c r="G79" s="1"/>
  <c r="G74"/>
  <c r="C74" s="1"/>
  <c r="G73"/>
  <c r="C73" s="1"/>
  <c r="G72"/>
  <c r="C72" s="1"/>
  <c r="G71"/>
  <c r="C71" s="1"/>
  <c r="G70"/>
  <c r="C70" s="1"/>
  <c r="AU68"/>
  <c r="U67"/>
  <c r="U68" s="1"/>
  <c r="T67"/>
  <c r="T68" s="1"/>
  <c r="S67"/>
  <c r="S68" s="1"/>
  <c r="R67"/>
  <c r="R68" s="1"/>
  <c r="Q67"/>
  <c r="Q68" s="1"/>
  <c r="P67"/>
  <c r="P68" s="1"/>
  <c r="O67"/>
  <c r="O68" s="1"/>
  <c r="N67"/>
  <c r="N68" s="1"/>
  <c r="M67"/>
  <c r="M68" s="1"/>
  <c r="L67"/>
  <c r="L68" s="1"/>
  <c r="J67"/>
  <c r="J68" s="1"/>
  <c r="I67"/>
  <c r="I68" s="1"/>
  <c r="F67"/>
  <c r="F68" s="1"/>
  <c r="I31" i="24" s="1"/>
  <c r="E67" i="20"/>
  <c r="E68" s="1"/>
  <c r="J31" i="24" s="1"/>
  <c r="D67" i="20"/>
  <c r="D68" s="1"/>
  <c r="G66"/>
  <c r="C66" s="1"/>
  <c r="G65"/>
  <c r="C65" s="1"/>
  <c r="G64"/>
  <c r="C64" s="1"/>
  <c r="G63"/>
  <c r="G67" s="1"/>
  <c r="G62"/>
  <c r="C62" s="1"/>
  <c r="G61"/>
  <c r="C61" s="1"/>
  <c r="G60"/>
  <c r="C60" s="1"/>
  <c r="G59"/>
  <c r="C59" s="1"/>
  <c r="G58"/>
  <c r="C58" s="1"/>
  <c r="AU56"/>
  <c r="U55"/>
  <c r="U56" s="1"/>
  <c r="T55"/>
  <c r="T56" s="1"/>
  <c r="S55"/>
  <c r="S56" s="1"/>
  <c r="R55"/>
  <c r="R56" s="1"/>
  <c r="Q55"/>
  <c r="Q56" s="1"/>
  <c r="P55"/>
  <c r="P56" s="1"/>
  <c r="O55"/>
  <c r="O56" s="1"/>
  <c r="N55"/>
  <c r="N56" s="1"/>
  <c r="M55"/>
  <c r="M56" s="1"/>
  <c r="L55"/>
  <c r="L56" s="1"/>
  <c r="J55"/>
  <c r="J56" s="1"/>
  <c r="I55"/>
  <c r="I56" s="1"/>
  <c r="F55"/>
  <c r="F56" s="1"/>
  <c r="I30" i="24" s="1"/>
  <c r="E55" i="20"/>
  <c r="E56" s="1"/>
  <c r="J30" i="24" s="1"/>
  <c r="D55" i="20"/>
  <c r="D56" s="1"/>
  <c r="G54"/>
  <c r="C54" s="1"/>
  <c r="G53"/>
  <c r="C53" s="1"/>
  <c r="G52"/>
  <c r="C52" s="1"/>
  <c r="G51"/>
  <c r="G55" s="1"/>
  <c r="G50"/>
  <c r="C50" s="1"/>
  <c r="G49"/>
  <c r="C49" s="1"/>
  <c r="G48"/>
  <c r="C48" s="1"/>
  <c r="G47"/>
  <c r="C47" s="1"/>
  <c r="G46"/>
  <c r="C46" s="1"/>
  <c r="AU44"/>
  <c r="U43"/>
  <c r="U44" s="1"/>
  <c r="T43"/>
  <c r="T44" s="1"/>
  <c r="S43"/>
  <c r="S44" s="1"/>
  <c r="R43"/>
  <c r="R44" s="1"/>
  <c r="Q43"/>
  <c r="Q44" s="1"/>
  <c r="P43"/>
  <c r="P44" s="1"/>
  <c r="O43"/>
  <c r="O44" s="1"/>
  <c r="N43"/>
  <c r="N44" s="1"/>
  <c r="M43"/>
  <c r="M44" s="1"/>
  <c r="L43"/>
  <c r="L44" s="1"/>
  <c r="J43"/>
  <c r="J44" s="1"/>
  <c r="I43"/>
  <c r="I44" s="1"/>
  <c r="F43"/>
  <c r="F44" s="1"/>
  <c r="I29" i="24" s="1"/>
  <c r="E43" i="20"/>
  <c r="E44" s="1"/>
  <c r="J29" i="24" s="1"/>
  <c r="D43" i="20"/>
  <c r="D44" s="1"/>
  <c r="G42"/>
  <c r="C42" s="1"/>
  <c r="G41"/>
  <c r="C41" s="1"/>
  <c r="G40"/>
  <c r="C40" s="1"/>
  <c r="G39"/>
  <c r="G43" s="1"/>
  <c r="G38"/>
  <c r="C38" s="1"/>
  <c r="G37"/>
  <c r="C37" s="1"/>
  <c r="G36"/>
  <c r="C36" s="1"/>
  <c r="G35"/>
  <c r="C35" s="1"/>
  <c r="G34"/>
  <c r="C34" s="1"/>
  <c r="AU32"/>
  <c r="U30"/>
  <c r="T30"/>
  <c r="S30"/>
  <c r="R30"/>
  <c r="Q30"/>
  <c r="P30"/>
  <c r="O30"/>
  <c r="N30"/>
  <c r="M30"/>
  <c r="L30"/>
  <c r="J30"/>
  <c r="I30"/>
  <c r="X30" s="1"/>
  <c r="F30"/>
  <c r="E30"/>
  <c r="D30"/>
  <c r="U29"/>
  <c r="U102" s="1"/>
  <c r="T29"/>
  <c r="T102" s="1"/>
  <c r="S29"/>
  <c r="S102" s="1"/>
  <c r="R29"/>
  <c r="R102" s="1"/>
  <c r="Q29"/>
  <c r="Q102" s="1"/>
  <c r="P29"/>
  <c r="P102" s="1"/>
  <c r="O29"/>
  <c r="O102" s="1"/>
  <c r="N29"/>
  <c r="N102" s="1"/>
  <c r="M29"/>
  <c r="M102" s="1"/>
  <c r="L29"/>
  <c r="L102" s="1"/>
  <c r="J29"/>
  <c r="J102" s="1"/>
  <c r="I29"/>
  <c r="G29"/>
  <c r="F29"/>
  <c r="F102" s="1"/>
  <c r="E29"/>
  <c r="E102" s="1"/>
  <c r="D29"/>
  <c r="D102" s="1"/>
  <c r="U28"/>
  <c r="T28"/>
  <c r="S28"/>
  <c r="R28"/>
  <c r="Q28"/>
  <c r="P28"/>
  <c r="O28"/>
  <c r="N28"/>
  <c r="M28"/>
  <c r="L28"/>
  <c r="J28"/>
  <c r="I28"/>
  <c r="X28" s="1"/>
  <c r="F28"/>
  <c r="F104" s="1"/>
  <c r="E28"/>
  <c r="E104" s="1"/>
  <c r="D28"/>
  <c r="D104" s="1"/>
  <c r="U27"/>
  <c r="U103" s="1"/>
  <c r="T27"/>
  <c r="T103" s="1"/>
  <c r="S27"/>
  <c r="S103" s="1"/>
  <c r="R27"/>
  <c r="R103" s="1"/>
  <c r="Q27"/>
  <c r="Q103" s="1"/>
  <c r="P27"/>
  <c r="P103" s="1"/>
  <c r="O27"/>
  <c r="O103" s="1"/>
  <c r="N27"/>
  <c r="N103" s="1"/>
  <c r="M27"/>
  <c r="M103" s="1"/>
  <c r="L27"/>
  <c r="L103" s="1"/>
  <c r="J27"/>
  <c r="J103" s="1"/>
  <c r="I27"/>
  <c r="I103" s="1"/>
  <c r="X103" s="1"/>
  <c r="F27"/>
  <c r="F103" s="1"/>
  <c r="E27"/>
  <c r="D27"/>
  <c r="D103" s="1"/>
  <c r="U26"/>
  <c r="T26"/>
  <c r="S26"/>
  <c r="R26"/>
  <c r="Q26"/>
  <c r="P26"/>
  <c r="O26"/>
  <c r="N26"/>
  <c r="M26"/>
  <c r="L26"/>
  <c r="J26"/>
  <c r="I26"/>
  <c r="X26" s="1"/>
  <c r="F26"/>
  <c r="E26"/>
  <c r="D26"/>
  <c r="U25"/>
  <c r="T25"/>
  <c r="S25"/>
  <c r="R25"/>
  <c r="Q25"/>
  <c r="P25"/>
  <c r="O25"/>
  <c r="N25"/>
  <c r="M25"/>
  <c r="L25"/>
  <c r="J25"/>
  <c r="I25"/>
  <c r="F25"/>
  <c r="E25"/>
  <c r="U24"/>
  <c r="T24"/>
  <c r="S24"/>
  <c r="R24"/>
  <c r="Q24"/>
  <c r="P24"/>
  <c r="O24"/>
  <c r="N24"/>
  <c r="M24"/>
  <c r="L24"/>
  <c r="J24"/>
  <c r="I24"/>
  <c r="X24" s="1"/>
  <c r="F24"/>
  <c r="E24"/>
  <c r="D24"/>
  <c r="U23"/>
  <c r="T23"/>
  <c r="S23"/>
  <c r="R23"/>
  <c r="Q23"/>
  <c r="P23"/>
  <c r="O23"/>
  <c r="N23"/>
  <c r="M23"/>
  <c r="L23"/>
  <c r="J23"/>
  <c r="I23"/>
  <c r="X23" s="1"/>
  <c r="G23"/>
  <c r="F23"/>
  <c r="E23"/>
  <c r="D23"/>
  <c r="U22"/>
  <c r="T22"/>
  <c r="S22"/>
  <c r="R22"/>
  <c r="Q22"/>
  <c r="P22"/>
  <c r="O22"/>
  <c r="N22"/>
  <c r="M22"/>
  <c r="L22"/>
  <c r="J22"/>
  <c r="I22"/>
  <c r="X22" s="1"/>
  <c r="F22"/>
  <c r="E22"/>
  <c r="D22"/>
  <c r="U21"/>
  <c r="U94" s="1"/>
  <c r="U105" s="1"/>
  <c r="T21"/>
  <c r="T94" s="1"/>
  <c r="T105" s="1"/>
  <c r="S21"/>
  <c r="S94" s="1"/>
  <c r="S105" s="1"/>
  <c r="R21"/>
  <c r="R94" s="1"/>
  <c r="R105" s="1"/>
  <c r="Q21"/>
  <c r="Q94" s="1"/>
  <c r="Q105" s="1"/>
  <c r="P21"/>
  <c r="P94" s="1"/>
  <c r="P105" s="1"/>
  <c r="O21"/>
  <c r="O94" s="1"/>
  <c r="O105" s="1"/>
  <c r="N21"/>
  <c r="N94" s="1"/>
  <c r="N105" s="1"/>
  <c r="M21"/>
  <c r="M94" s="1"/>
  <c r="M105" s="1"/>
  <c r="L21"/>
  <c r="L94" s="1"/>
  <c r="L105" s="1"/>
  <c r="J21"/>
  <c r="J94" s="1"/>
  <c r="J105" s="1"/>
  <c r="I21"/>
  <c r="I94" s="1"/>
  <c r="H21"/>
  <c r="G21"/>
  <c r="F21"/>
  <c r="F94" s="1"/>
  <c r="F105" s="1"/>
  <c r="I34" i="24" s="1"/>
  <c r="E21" i="20"/>
  <c r="E94" s="1"/>
  <c r="E105" s="1"/>
  <c r="J34" i="24" s="1"/>
  <c r="D21" i="20"/>
  <c r="C21"/>
  <c r="AU19"/>
  <c r="U18"/>
  <c r="U19" s="1"/>
  <c r="T18"/>
  <c r="T19" s="1"/>
  <c r="S18"/>
  <c r="S19" s="1"/>
  <c r="R18"/>
  <c r="R19" s="1"/>
  <c r="Q18"/>
  <c r="Q19" s="1"/>
  <c r="P18"/>
  <c r="P19" s="1"/>
  <c r="O18"/>
  <c r="O19" s="1"/>
  <c r="N18"/>
  <c r="N19" s="1"/>
  <c r="M18"/>
  <c r="M19" s="1"/>
  <c r="L18"/>
  <c r="L19" s="1"/>
  <c r="J18"/>
  <c r="J19" s="1"/>
  <c r="I18"/>
  <c r="I19" s="1"/>
  <c r="F18"/>
  <c r="F19" s="1"/>
  <c r="I27" i="24" s="1"/>
  <c r="E18" i="20"/>
  <c r="E19" s="1"/>
  <c r="J27" i="24" s="1"/>
  <c r="D18" i="20"/>
  <c r="D19" s="1"/>
  <c r="G17"/>
  <c r="C17"/>
  <c r="G16"/>
  <c r="C16"/>
  <c r="G15"/>
  <c r="C15"/>
  <c r="G14"/>
  <c r="C14"/>
  <c r="C18" s="1"/>
  <c r="G13"/>
  <c r="C13"/>
  <c r="G12"/>
  <c r="C12"/>
  <c r="G11"/>
  <c r="C11"/>
  <c r="G10"/>
  <c r="C10" s="1"/>
  <c r="G9"/>
  <c r="C9" s="1"/>
  <c r="A9"/>
  <c r="A10" s="1"/>
  <c r="C25" i="25"/>
  <c r="E48" i="3" s="1"/>
  <c r="C14" i="25"/>
  <c r="C10"/>
  <c r="C6"/>
  <c r="F72" i="2"/>
  <c r="D72"/>
  <c r="H71"/>
  <c r="H70"/>
  <c r="H69"/>
  <c r="H67"/>
  <c r="H66"/>
  <c r="G65"/>
  <c r="H65" s="1"/>
  <c r="H62"/>
  <c r="H61"/>
  <c r="G60"/>
  <c r="G72" s="1"/>
  <c r="H58"/>
  <c r="H57"/>
  <c r="E56"/>
  <c r="E72" s="1"/>
  <c r="H55"/>
  <c r="G44"/>
  <c r="E27"/>
  <c r="E44" s="1"/>
  <c r="E45" s="1"/>
  <c r="D26"/>
  <c r="D44" s="1"/>
  <c r="D45" s="1"/>
  <c r="G46" s="1"/>
  <c r="C19"/>
  <c r="C16"/>
  <c r="C44" s="1"/>
  <c r="F14"/>
  <c r="F44" s="1"/>
  <c r="F45" s="1"/>
  <c r="C42" i="3"/>
  <c r="E40"/>
  <c r="E38"/>
  <c r="E36"/>
  <c r="C31"/>
  <c r="E30"/>
  <c r="E29"/>
  <c r="E28"/>
  <c r="E55" s="1"/>
  <c r="D26"/>
  <c r="C26"/>
  <c r="E24"/>
  <c r="E23"/>
  <c r="E22"/>
  <c r="E17"/>
  <c r="E16"/>
  <c r="E12"/>
  <c r="B79" i="11"/>
  <c r="B70"/>
  <c r="B61"/>
  <c r="B52"/>
  <c r="B36"/>
  <c r="B28"/>
  <c r="B19"/>
  <c r="B14"/>
  <c r="B61" i="10"/>
  <c r="B49"/>
  <c r="B41"/>
  <c r="B28"/>
  <c r="B24"/>
  <c r="B16"/>
  <c r="C77" i="1"/>
  <c r="C79" s="1"/>
  <c r="C51" s="1"/>
  <c r="C58"/>
  <c r="C54"/>
  <c r="C34"/>
  <c r="C26"/>
  <c r="C23"/>
  <c r="C17"/>
  <c r="C14"/>
  <c r="B53" i="5"/>
  <c r="B50"/>
  <c r="B14"/>
  <c r="B13"/>
  <c r="B8"/>
  <c r="C64" i="1" l="1"/>
  <c r="C23" i="20"/>
  <c r="Y23" s="1"/>
  <c r="C51"/>
  <c r="C55" s="1"/>
  <c r="C75"/>
  <c r="C79" s="1"/>
  <c r="L119"/>
  <c r="P119"/>
  <c r="T119"/>
  <c r="Z7" i="18"/>
  <c r="Z9"/>
  <c r="Z11"/>
  <c r="AA13"/>
  <c r="T13"/>
  <c r="C50" i="9"/>
  <c r="D158" i="20"/>
  <c r="D138"/>
  <c r="J18" i="7"/>
  <c r="K18" s="1"/>
  <c r="C20"/>
  <c r="B46" i="9"/>
  <c r="C18" i="25"/>
  <c r="C19" s="1"/>
  <c r="E47" i="3" s="1"/>
  <c r="C39" i="20"/>
  <c r="C43" s="1"/>
  <c r="C63"/>
  <c r="C67" s="1"/>
  <c r="G154"/>
  <c r="Z6" i="18"/>
  <c r="Z8"/>
  <c r="Z10"/>
  <c r="Z12"/>
  <c r="L13"/>
  <c r="AA16"/>
  <c r="F35" i="7"/>
  <c r="C45" i="24"/>
  <c r="V136" i="20"/>
  <c r="C32" i="7"/>
  <c r="E35"/>
  <c r="G56" i="20"/>
  <c r="G80"/>
  <c r="V168"/>
  <c r="V184"/>
  <c r="AB13" i="18"/>
  <c r="B44" i="5"/>
  <c r="D16" i="18"/>
  <c r="Z16" s="1"/>
  <c r="Z14"/>
  <c r="G29" i="24"/>
  <c r="Q29" s="1"/>
  <c r="S29" s="1"/>
  <c r="G30"/>
  <c r="Q30" s="1"/>
  <c r="S30" s="1"/>
  <c r="G31"/>
  <c r="Q31" s="1"/>
  <c r="S31" s="1"/>
  <c r="G32"/>
  <c r="Q32" s="1"/>
  <c r="S32" s="1"/>
  <c r="G16"/>
  <c r="Q16" s="1"/>
  <c r="S16" s="1"/>
  <c r="G19"/>
  <c r="Q19" s="1"/>
  <c r="S19" s="1"/>
  <c r="G20"/>
  <c r="Q20" s="1"/>
  <c r="S20" s="1"/>
  <c r="B29" i="10"/>
  <c r="B31" s="1"/>
  <c r="B33" s="1"/>
  <c r="B51" s="1"/>
  <c r="B65" s="1"/>
  <c r="B68" s="1"/>
  <c r="B72" s="1"/>
  <c r="B42" i="11"/>
  <c r="B72"/>
  <c r="B81" s="1"/>
  <c r="G34" i="24"/>
  <c r="C29" i="20"/>
  <c r="V29" s="1"/>
  <c r="G12" i="24"/>
  <c r="Q12" s="1"/>
  <c r="D96" i="20"/>
  <c r="G22" i="24"/>
  <c r="Q22" s="1"/>
  <c r="S22" s="1"/>
  <c r="H44" i="2"/>
  <c r="E26" i="3"/>
  <c r="G44" i="20"/>
  <c r="G68"/>
  <c r="G33" i="24"/>
  <c r="Q33" s="1"/>
  <c r="S33" s="1"/>
  <c r="E95" i="20"/>
  <c r="J15" i="24"/>
  <c r="C24"/>
  <c r="D11" s="1"/>
  <c r="X115" i="20"/>
  <c r="I101"/>
  <c r="X101" s="1"/>
  <c r="G94"/>
  <c r="G27" i="24"/>
  <c r="D101" i="20"/>
  <c r="G15" i="24"/>
  <c r="Q15" s="1"/>
  <c r="S15" s="1"/>
  <c r="I13"/>
  <c r="G13" s="1"/>
  <c r="Q13" s="1"/>
  <c r="S13" s="1"/>
  <c r="F100" i="20"/>
  <c r="M119"/>
  <c r="Q119"/>
  <c r="U119"/>
  <c r="G117"/>
  <c r="C117" s="1"/>
  <c r="G151"/>
  <c r="C151" s="1"/>
  <c r="V151" s="1"/>
  <c r="G165"/>
  <c r="G181"/>
  <c r="K17" i="24"/>
  <c r="K24" s="1"/>
  <c r="D13" i="18"/>
  <c r="Z13" s="1"/>
  <c r="C32" i="14"/>
  <c r="D39" i="6"/>
  <c r="J46" i="24"/>
  <c r="J18" s="1"/>
  <c r="G92" i="20"/>
  <c r="E119"/>
  <c r="I119"/>
  <c r="X119" s="1"/>
  <c r="N119"/>
  <c r="R119"/>
  <c r="G135"/>
  <c r="G148"/>
  <c r="G174"/>
  <c r="C174" s="1"/>
  <c r="V174" s="1"/>
  <c r="G178"/>
  <c r="C178" s="1"/>
  <c r="V178" s="1"/>
  <c r="G190"/>
  <c r="F119"/>
  <c r="J119"/>
  <c r="O119"/>
  <c r="S119"/>
  <c r="E117"/>
  <c r="J21" i="24" s="1"/>
  <c r="G21" s="1"/>
  <c r="G132" i="20"/>
  <c r="G108" s="1"/>
  <c r="G95" s="1"/>
  <c r="C95" s="1"/>
  <c r="G141"/>
  <c r="G145"/>
  <c r="G157"/>
  <c r="G191"/>
  <c r="C191" s="1"/>
  <c r="H191" s="1"/>
  <c r="G171"/>
  <c r="G187"/>
  <c r="C187" s="1"/>
  <c r="V187" s="1"/>
  <c r="X16" i="18"/>
  <c r="C60" i="1"/>
  <c r="H21" i="7"/>
  <c r="J14" i="24"/>
  <c r="G14" s="1"/>
  <c r="X13" i="18"/>
  <c r="B48" i="9"/>
  <c r="D20" i="7"/>
  <c r="E7" i="22"/>
  <c r="I46" i="24"/>
  <c r="G45" i="2"/>
  <c r="H13" i="7"/>
  <c r="H17"/>
  <c r="H18"/>
  <c r="H19"/>
  <c r="H20"/>
  <c r="G13" i="6"/>
  <c r="H20"/>
  <c r="E37"/>
  <c r="F37" s="1"/>
  <c r="F39" s="1"/>
  <c r="Q24" i="24"/>
  <c r="S12"/>
  <c r="F46"/>
  <c r="F45"/>
  <c r="F35"/>
  <c r="E34"/>
  <c r="F24"/>
  <c r="F22"/>
  <c r="F21"/>
  <c r="F20"/>
  <c r="F19"/>
  <c r="F16"/>
  <c r="F15"/>
  <c r="F14"/>
  <c r="F13"/>
  <c r="F12"/>
  <c r="F11"/>
  <c r="K34"/>
  <c r="S24"/>
  <c r="F18"/>
  <c r="F47"/>
  <c r="F17"/>
  <c r="S17"/>
  <c r="D24"/>
  <c r="Q27"/>
  <c r="C19" i="20"/>
  <c r="C27" i="24" s="1"/>
  <c r="V18" i="20"/>
  <c r="H18"/>
  <c r="C44"/>
  <c r="C29" i="24" s="1"/>
  <c r="V43" i="20"/>
  <c r="H43"/>
  <c r="I105"/>
  <c r="X105" s="1"/>
  <c r="X94"/>
  <c r="C56"/>
  <c r="C30" i="24" s="1"/>
  <c r="V55" i="20"/>
  <c r="H55"/>
  <c r="C68"/>
  <c r="C31" i="24" s="1"/>
  <c r="V67" i="20"/>
  <c r="H67"/>
  <c r="C80"/>
  <c r="C32" i="24" s="1"/>
  <c r="V79" i="20"/>
  <c r="H79"/>
  <c r="C92"/>
  <c r="C33" i="24" s="1"/>
  <c r="V91" i="20"/>
  <c r="H91"/>
  <c r="C129"/>
  <c r="V129" s="1"/>
  <c r="D107"/>
  <c r="V9"/>
  <c r="X9" s="1"/>
  <c r="Y9" s="1"/>
  <c r="V10"/>
  <c r="X10" s="1"/>
  <c r="Y10" s="1"/>
  <c r="V11"/>
  <c r="X11" s="1"/>
  <c r="Y11" s="1"/>
  <c r="V12"/>
  <c r="X12" s="1"/>
  <c r="Y12" s="1"/>
  <c r="V13"/>
  <c r="X13" s="1"/>
  <c r="Y13" s="1"/>
  <c r="V14"/>
  <c r="X14" s="1"/>
  <c r="Y14"/>
  <c r="V15"/>
  <c r="X15" s="1"/>
  <c r="Y15" s="1"/>
  <c r="V16"/>
  <c r="X16" s="1"/>
  <c r="Y16" s="1"/>
  <c r="V17"/>
  <c r="X17" s="1"/>
  <c r="Y17" s="1"/>
  <c r="G18"/>
  <c r="G19" s="1"/>
  <c r="X18"/>
  <c r="Y18" s="1"/>
  <c r="V21"/>
  <c r="X21" s="1"/>
  <c r="Y21" s="1"/>
  <c r="V23"/>
  <c r="X27"/>
  <c r="X29"/>
  <c r="Y29" s="1"/>
  <c r="D31"/>
  <c r="D32" s="1"/>
  <c r="E31"/>
  <c r="E32" s="1"/>
  <c r="J28" i="24" s="1"/>
  <c r="J36" s="1"/>
  <c r="F31" i="20"/>
  <c r="F32" s="1"/>
  <c r="I28" i="24" s="1"/>
  <c r="G28" s="1"/>
  <c r="Q28" s="1"/>
  <c r="S28" s="1"/>
  <c r="I31" i="20"/>
  <c r="J31"/>
  <c r="J32" s="1"/>
  <c r="L31"/>
  <c r="L32" s="1"/>
  <c r="M31"/>
  <c r="M32" s="1"/>
  <c r="N31"/>
  <c r="N32" s="1"/>
  <c r="O31"/>
  <c r="O32" s="1"/>
  <c r="P31"/>
  <c r="P32" s="1"/>
  <c r="Q31"/>
  <c r="Q32" s="1"/>
  <c r="R31"/>
  <c r="R32" s="1"/>
  <c r="S31"/>
  <c r="S32" s="1"/>
  <c r="T31"/>
  <c r="T32" s="1"/>
  <c r="U31"/>
  <c r="U32" s="1"/>
  <c r="V34"/>
  <c r="X34" s="1"/>
  <c r="Y34" s="1"/>
  <c r="V35"/>
  <c r="X35" s="1"/>
  <c r="Y35" s="1"/>
  <c r="V36"/>
  <c r="X36" s="1"/>
  <c r="Y36" s="1"/>
  <c r="V37"/>
  <c r="X37" s="1"/>
  <c r="Y37" s="1"/>
  <c r="V38"/>
  <c r="X38" s="1"/>
  <c r="Y38" s="1"/>
  <c r="V39"/>
  <c r="X39" s="1"/>
  <c r="Y39" s="1"/>
  <c r="V40"/>
  <c r="X40" s="1"/>
  <c r="Y40" s="1"/>
  <c r="V41"/>
  <c r="X41" s="1"/>
  <c r="Y41" s="1"/>
  <c r="V42"/>
  <c r="X42" s="1"/>
  <c r="Y42" s="1"/>
  <c r="X43"/>
  <c r="Y43" s="1"/>
  <c r="Y151"/>
  <c r="H151"/>
  <c r="Y168"/>
  <c r="H168"/>
  <c r="H23" s="1"/>
  <c r="Y174"/>
  <c r="H174"/>
  <c r="Y178"/>
  <c r="H178"/>
  <c r="Y184"/>
  <c r="H184"/>
  <c r="H29" s="1"/>
  <c r="Y187"/>
  <c r="H187"/>
  <c r="V46"/>
  <c r="X46" s="1"/>
  <c r="Y46" s="1"/>
  <c r="V47"/>
  <c r="X47" s="1"/>
  <c r="Y47" s="1"/>
  <c r="V48"/>
  <c r="X48" s="1"/>
  <c r="Y48" s="1"/>
  <c r="V49"/>
  <c r="X49" s="1"/>
  <c r="Y49" s="1"/>
  <c r="V50"/>
  <c r="X50" s="1"/>
  <c r="Y50" s="1"/>
  <c r="V51"/>
  <c r="X51" s="1"/>
  <c r="Y51" s="1"/>
  <c r="V52"/>
  <c r="X52" s="1"/>
  <c r="Y52" s="1"/>
  <c r="V53"/>
  <c r="X53" s="1"/>
  <c r="Y53" s="1"/>
  <c r="V54"/>
  <c r="X54" s="1"/>
  <c r="Y54" s="1"/>
  <c r="X55"/>
  <c r="Y55" s="1"/>
  <c r="V58"/>
  <c r="X58" s="1"/>
  <c r="Y58" s="1"/>
  <c r="V59"/>
  <c r="X59" s="1"/>
  <c r="Y59" s="1"/>
  <c r="V60"/>
  <c r="X60" s="1"/>
  <c r="Y60" s="1"/>
  <c r="V61"/>
  <c r="X61" s="1"/>
  <c r="Y61" s="1"/>
  <c r="V62"/>
  <c r="X62" s="1"/>
  <c r="Y62" s="1"/>
  <c r="V63"/>
  <c r="X63" s="1"/>
  <c r="Y63" s="1"/>
  <c r="V64"/>
  <c r="X64" s="1"/>
  <c r="Y64" s="1"/>
  <c r="V65"/>
  <c r="X65" s="1"/>
  <c r="Y65" s="1"/>
  <c r="V66"/>
  <c r="X66" s="1"/>
  <c r="Y66" s="1"/>
  <c r="X67"/>
  <c r="Y67" s="1"/>
  <c r="V70"/>
  <c r="X70" s="1"/>
  <c r="Y70" s="1"/>
  <c r="V71"/>
  <c r="X71" s="1"/>
  <c r="Y71" s="1"/>
  <c r="V72"/>
  <c r="X72" s="1"/>
  <c r="Y72" s="1"/>
  <c r="V73"/>
  <c r="X73" s="1"/>
  <c r="Y73" s="1"/>
  <c r="V74"/>
  <c r="X74" s="1"/>
  <c r="Y74" s="1"/>
  <c r="V75"/>
  <c r="X75" s="1"/>
  <c r="Y75" s="1"/>
  <c r="V76"/>
  <c r="X76" s="1"/>
  <c r="Y76" s="1"/>
  <c r="V77"/>
  <c r="X77" s="1"/>
  <c r="Y77" s="1"/>
  <c r="V78"/>
  <c r="X78" s="1"/>
  <c r="Y78" s="1"/>
  <c r="X79"/>
  <c r="Y79" s="1"/>
  <c r="V82"/>
  <c r="X82" s="1"/>
  <c r="Y82" s="1"/>
  <c r="V83"/>
  <c r="X83" s="1"/>
  <c r="Y83" s="1"/>
  <c r="V84"/>
  <c r="X84" s="1"/>
  <c r="Y84" s="1"/>
  <c r="V85"/>
  <c r="X85" s="1"/>
  <c r="Y85" s="1"/>
  <c r="V86"/>
  <c r="X86" s="1"/>
  <c r="Y86" s="1"/>
  <c r="V87"/>
  <c r="X87" s="1"/>
  <c r="Y87" s="1"/>
  <c r="V88"/>
  <c r="X88" s="1"/>
  <c r="Y88" s="1"/>
  <c r="V89"/>
  <c r="X89" s="1"/>
  <c r="Y89" s="1"/>
  <c r="V90"/>
  <c r="X90" s="1"/>
  <c r="Y90" s="1"/>
  <c r="X91"/>
  <c r="Y91" s="1"/>
  <c r="V113"/>
  <c r="V98" s="1"/>
  <c r="X98" s="1"/>
  <c r="Y98" s="1"/>
  <c r="X130"/>
  <c r="Y130" s="1"/>
  <c r="X133"/>
  <c r="Y133" s="1"/>
  <c r="X134"/>
  <c r="Y134" s="1"/>
  <c r="X136"/>
  <c r="Y136" s="1"/>
  <c r="G137"/>
  <c r="C137" s="1"/>
  <c r="E138"/>
  <c r="J47" i="24" s="1"/>
  <c r="J17" s="1"/>
  <c r="J24" s="1"/>
  <c r="F138" i="20"/>
  <c r="I138"/>
  <c r="J138"/>
  <c r="J110" s="1"/>
  <c r="J97" s="1"/>
  <c r="L138"/>
  <c r="L110" s="1"/>
  <c r="L97" s="1"/>
  <c r="M138"/>
  <c r="M110" s="1"/>
  <c r="M97" s="1"/>
  <c r="N138"/>
  <c r="N110" s="1"/>
  <c r="N97" s="1"/>
  <c r="O138"/>
  <c r="O110" s="1"/>
  <c r="O97" s="1"/>
  <c r="P138"/>
  <c r="P110" s="1"/>
  <c r="P97" s="1"/>
  <c r="Q138"/>
  <c r="Q110" s="1"/>
  <c r="Q97" s="1"/>
  <c r="R138"/>
  <c r="R110" s="1"/>
  <c r="R97" s="1"/>
  <c r="S138"/>
  <c r="S110" s="1"/>
  <c r="S97" s="1"/>
  <c r="T138"/>
  <c r="T110" s="1"/>
  <c r="T97" s="1"/>
  <c r="U138"/>
  <c r="U110" s="1"/>
  <c r="U97" s="1"/>
  <c r="X139"/>
  <c r="Y139" s="1"/>
  <c r="X140"/>
  <c r="Y140" s="1"/>
  <c r="X143"/>
  <c r="Y143" s="1"/>
  <c r="X144"/>
  <c r="Y144" s="1"/>
  <c r="X146"/>
  <c r="Y146" s="1"/>
  <c r="X147"/>
  <c r="Y147" s="1"/>
  <c r="X149"/>
  <c r="Y149" s="1"/>
  <c r="X150"/>
  <c r="Y150" s="1"/>
  <c r="X152"/>
  <c r="Y152" s="1"/>
  <c r="X153"/>
  <c r="Y153" s="1"/>
  <c r="X155"/>
  <c r="Y155" s="1"/>
  <c r="X156"/>
  <c r="Y156" s="1"/>
  <c r="X162"/>
  <c r="Y162" s="1"/>
  <c r="X163"/>
  <c r="Y163" s="1"/>
  <c r="X166"/>
  <c r="Y166" s="1"/>
  <c r="X167"/>
  <c r="Y167" s="1"/>
  <c r="X169"/>
  <c r="Y169" s="1"/>
  <c r="X170"/>
  <c r="Y170" s="1"/>
  <c r="X173"/>
  <c r="Y173" s="1"/>
  <c r="X176"/>
  <c r="Y176" s="1"/>
  <c r="X177"/>
  <c r="Y177" s="1"/>
  <c r="X179"/>
  <c r="Y179" s="1"/>
  <c r="X180"/>
  <c r="Y180" s="1"/>
  <c r="X182"/>
  <c r="Y182" s="1"/>
  <c r="X183"/>
  <c r="Y183" s="1"/>
  <c r="X185"/>
  <c r="Y185" s="1"/>
  <c r="X186"/>
  <c r="Y186" s="1"/>
  <c r="X188"/>
  <c r="Y188" s="1"/>
  <c r="X189"/>
  <c r="Y189" s="1"/>
  <c r="F31" i="2"/>
  <c r="H56"/>
  <c r="H73" s="1"/>
  <c r="H74" s="1"/>
  <c r="H60"/>
  <c r="E42" i="3"/>
  <c r="E43" s="1"/>
  <c r="E31"/>
  <c r="E32" s="1"/>
  <c r="I31" i="8" s="1"/>
  <c r="K31" s="1"/>
  <c r="C65" i="1"/>
  <c r="C50"/>
  <c r="C34" i="7" s="1"/>
  <c r="C78" i="1"/>
  <c r="C36" s="1"/>
  <c r="C46" i="24" l="1"/>
  <c r="V137" i="20"/>
  <c r="J30" i="7"/>
  <c r="K30" s="1"/>
  <c r="C35"/>
  <c r="D111" i="20"/>
  <c r="D25"/>
  <c r="I15" i="8"/>
  <c r="K15" s="1"/>
  <c r="B32" i="5"/>
  <c r="I10" i="8"/>
  <c r="K10" s="1"/>
  <c r="I41"/>
  <c r="K41" s="1"/>
  <c r="I36"/>
  <c r="K36" s="1"/>
  <c r="I38"/>
  <c r="K38" s="1"/>
  <c r="I44"/>
  <c r="K44" s="1"/>
  <c r="I22"/>
  <c r="K22" s="1"/>
  <c r="I26"/>
  <c r="K26" s="1"/>
  <c r="C154" i="20"/>
  <c r="G27"/>
  <c r="I33" i="8"/>
  <c r="K33" s="1"/>
  <c r="AD9" i="18"/>
  <c r="D35" i="7"/>
  <c r="C46" i="5" s="1"/>
  <c r="B46" s="1"/>
  <c r="D45" i="24"/>
  <c r="D46"/>
  <c r="Y95" i="20"/>
  <c r="V95"/>
  <c r="H95"/>
  <c r="Q21" i="24"/>
  <c r="S21" s="1"/>
  <c r="Q14"/>
  <c r="S14" s="1"/>
  <c r="Y117" i="20"/>
  <c r="C21" i="24"/>
  <c r="D21" s="1"/>
  <c r="V117" i="20"/>
  <c r="C12" i="18"/>
  <c r="AD12" s="1"/>
  <c r="G46" i="24"/>
  <c r="I18"/>
  <c r="G18" s="1"/>
  <c r="C181" i="20"/>
  <c r="V181" s="1"/>
  <c r="G30"/>
  <c r="C30" s="1"/>
  <c r="I102"/>
  <c r="X102" s="1"/>
  <c r="C132"/>
  <c r="V132" s="1"/>
  <c r="C108"/>
  <c r="F110"/>
  <c r="F97" s="1"/>
  <c r="I47" i="24"/>
  <c r="C9" i="18"/>
  <c r="J33" i="7"/>
  <c r="K33" s="1"/>
  <c r="C157" i="20"/>
  <c r="V157" s="1"/>
  <c r="G118"/>
  <c r="C165"/>
  <c r="V165" s="1"/>
  <c r="G22"/>
  <c r="C22" s="1"/>
  <c r="G103"/>
  <c r="E103"/>
  <c r="C35" i="1"/>
  <c r="G38" i="6" s="1"/>
  <c r="H38" s="1"/>
  <c r="H39" s="1"/>
  <c r="E52" i="3"/>
  <c r="E51" s="1"/>
  <c r="E56" s="1"/>
  <c r="I12" i="8" s="1"/>
  <c r="K12" s="1"/>
  <c r="E44" i="3"/>
  <c r="I8" i="8" s="1"/>
  <c r="K8" s="1"/>
  <c r="J32" i="7"/>
  <c r="K32" s="1"/>
  <c r="H34"/>
  <c r="H35" s="1"/>
  <c r="C10" i="18"/>
  <c r="AD10" s="1"/>
  <c r="C8"/>
  <c r="AD8" s="1"/>
  <c r="G37" i="6"/>
  <c r="F43" i="2"/>
  <c r="C145" i="20"/>
  <c r="V145" s="1"/>
  <c r="G114"/>
  <c r="G26"/>
  <c r="C26" s="1"/>
  <c r="E39" i="6"/>
  <c r="C52" i="5" s="1"/>
  <c r="B52" s="1"/>
  <c r="C148" i="20"/>
  <c r="V148" s="1"/>
  <c r="G115"/>
  <c r="G36" i="24"/>
  <c r="C11" i="18"/>
  <c r="AD11" s="1"/>
  <c r="C36" i="24"/>
  <c r="D36" s="1"/>
  <c r="C6" i="18"/>
  <c r="AD6" s="1"/>
  <c r="C171" i="20"/>
  <c r="V171" s="1"/>
  <c r="G24"/>
  <c r="C24" s="1"/>
  <c r="C141"/>
  <c r="V141" s="1"/>
  <c r="G112"/>
  <c r="C112" s="1"/>
  <c r="C190"/>
  <c r="V190" s="1"/>
  <c r="G28"/>
  <c r="C28" s="1"/>
  <c r="C135"/>
  <c r="V135" s="1"/>
  <c r="G109"/>
  <c r="I36" i="24"/>
  <c r="E46" i="3"/>
  <c r="E45" s="1"/>
  <c r="E49" s="1"/>
  <c r="H13" i="6"/>
  <c r="J13" s="1"/>
  <c r="K13" s="1"/>
  <c r="G12"/>
  <c r="C37"/>
  <c r="C39" s="1"/>
  <c r="Q36" i="24"/>
  <c r="S27"/>
  <c r="K36"/>
  <c r="S36" s="1"/>
  <c r="S34"/>
  <c r="E36"/>
  <c r="F34" s="1"/>
  <c r="Q34"/>
  <c r="X172" i="20"/>
  <c r="Y172" s="1"/>
  <c r="V99"/>
  <c r="X99" s="1"/>
  <c r="Y99" s="1"/>
  <c r="V191"/>
  <c r="X164"/>
  <c r="X138"/>
  <c r="I110"/>
  <c r="G138"/>
  <c r="G110" s="1"/>
  <c r="G97" s="1"/>
  <c r="E110"/>
  <c r="E97" s="1"/>
  <c r="D110"/>
  <c r="X137"/>
  <c r="Y137" s="1"/>
  <c r="V158"/>
  <c r="X131"/>
  <c r="I32"/>
  <c r="X32" s="1"/>
  <c r="X31"/>
  <c r="D119"/>
  <c r="C107"/>
  <c r="C14" i="24" s="1"/>
  <c r="D14" s="1"/>
  <c r="D94" i="20"/>
  <c r="X129"/>
  <c r="Y129" s="1"/>
  <c r="V92"/>
  <c r="X92" s="1"/>
  <c r="Y92" s="1"/>
  <c r="H92"/>
  <c r="V80"/>
  <c r="X80" s="1"/>
  <c r="Y80" s="1"/>
  <c r="H80"/>
  <c r="V68"/>
  <c r="X68" s="1"/>
  <c r="Y68" s="1"/>
  <c r="H68"/>
  <c r="V56"/>
  <c r="X56" s="1"/>
  <c r="Y56" s="1"/>
  <c r="H56"/>
  <c r="V44"/>
  <c r="X44" s="1"/>
  <c r="Y44" s="1"/>
  <c r="H44"/>
  <c r="V19"/>
  <c r="X19" s="1"/>
  <c r="Y19" s="1"/>
  <c r="H19"/>
  <c r="G158"/>
  <c r="X113"/>
  <c r="Y113" s="1"/>
  <c r="B39" i="5"/>
  <c r="B25"/>
  <c r="B12"/>
  <c r="G39" i="6" l="1"/>
  <c r="B48" i="5" s="1"/>
  <c r="B47" s="1"/>
  <c r="V154" i="20"/>
  <c r="H154"/>
  <c r="Y154"/>
  <c r="G31"/>
  <c r="G32" s="1"/>
  <c r="C27"/>
  <c r="K35" i="7"/>
  <c r="B40" i="5" s="1"/>
  <c r="B38" s="1"/>
  <c r="I17" i="8" s="1"/>
  <c r="K17" s="1"/>
  <c r="Y28" i="20"/>
  <c r="V28"/>
  <c r="Y24"/>
  <c r="V24"/>
  <c r="H36" i="24"/>
  <c r="H31"/>
  <c r="H32"/>
  <c r="H29"/>
  <c r="H33"/>
  <c r="H34"/>
  <c r="H27"/>
  <c r="H30"/>
  <c r="D29"/>
  <c r="Y22" i="20"/>
  <c r="V22"/>
  <c r="H157"/>
  <c r="H118" s="1"/>
  <c r="Y157"/>
  <c r="I17" i="24"/>
  <c r="G47"/>
  <c r="Q46"/>
  <c r="S46" s="1"/>
  <c r="D33"/>
  <c r="H190" i="20"/>
  <c r="H28" s="1"/>
  <c r="Y190"/>
  <c r="Y171"/>
  <c r="H171"/>
  <c r="H24" s="1"/>
  <c r="D32" i="24"/>
  <c r="C116" i="20"/>
  <c r="G102"/>
  <c r="C102" s="1"/>
  <c r="Y26"/>
  <c r="V26"/>
  <c r="H165"/>
  <c r="H22" s="1"/>
  <c r="Y165"/>
  <c r="Y30"/>
  <c r="V30"/>
  <c r="C109"/>
  <c r="G96"/>
  <c r="C96" s="1"/>
  <c r="Y112"/>
  <c r="C12" i="24"/>
  <c r="D12" s="1"/>
  <c r="V112" i="20"/>
  <c r="C14" i="18"/>
  <c r="AD14" s="1"/>
  <c r="G101" i="20"/>
  <c r="C101" s="1"/>
  <c r="C115"/>
  <c r="C114"/>
  <c r="G100"/>
  <c r="C100" s="1"/>
  <c r="H28" i="24"/>
  <c r="D31"/>
  <c r="G105" i="20"/>
  <c r="C103"/>
  <c r="D30" i="24"/>
  <c r="Y108" i="20"/>
  <c r="C15" i="24"/>
  <c r="D15" s="1"/>
  <c r="V108" i="20"/>
  <c r="Y181"/>
  <c r="H181"/>
  <c r="H30" s="1"/>
  <c r="C138"/>
  <c r="E50" i="3"/>
  <c r="Y135" i="20"/>
  <c r="H135"/>
  <c r="H109" s="1"/>
  <c r="Y141"/>
  <c r="H141"/>
  <c r="H112" s="1"/>
  <c r="H99" s="1"/>
  <c r="D27" i="24"/>
  <c r="H148" i="20"/>
  <c r="Y148"/>
  <c r="H145"/>
  <c r="Y145"/>
  <c r="C118"/>
  <c r="G104"/>
  <c r="C104" s="1"/>
  <c r="H132"/>
  <c r="H108" s="1"/>
  <c r="Y132"/>
  <c r="Q18" i="24"/>
  <c r="S18" s="1"/>
  <c r="F36"/>
  <c r="F33"/>
  <c r="F32"/>
  <c r="F31"/>
  <c r="F30"/>
  <c r="F29"/>
  <c r="F28"/>
  <c r="F27"/>
  <c r="G111" i="20"/>
  <c r="C111" s="1"/>
  <c r="G25"/>
  <c r="C25" s="1"/>
  <c r="V25" s="1"/>
  <c r="C158"/>
  <c r="H158" s="1"/>
  <c r="D105"/>
  <c r="C94"/>
  <c r="C119"/>
  <c r="V107"/>
  <c r="X158"/>
  <c r="Y131"/>
  <c r="Y158" s="1"/>
  <c r="C110"/>
  <c r="C17" i="24" s="1"/>
  <c r="D17" s="1"/>
  <c r="D97" i="20"/>
  <c r="C97" s="1"/>
  <c r="X110"/>
  <c r="I97"/>
  <c r="X97" s="1"/>
  <c r="X191"/>
  <c r="Y164"/>
  <c r="Y191" s="1"/>
  <c r="B11" i="5"/>
  <c r="B49"/>
  <c r="B27"/>
  <c r="B26"/>
  <c r="B15"/>
  <c r="B21"/>
  <c r="B24"/>
  <c r="C31" i="20" l="1"/>
  <c r="V27"/>
  <c r="Y27"/>
  <c r="H27"/>
  <c r="H117"/>
  <c r="C47" i="24"/>
  <c r="D47" s="1"/>
  <c r="V138" i="20"/>
  <c r="Y104"/>
  <c r="H104"/>
  <c r="H138"/>
  <c r="H110" s="1"/>
  <c r="Y118"/>
  <c r="C22" i="24"/>
  <c r="D22" s="1"/>
  <c r="V118" i="20"/>
  <c r="V104" s="1"/>
  <c r="H103"/>
  <c r="Y103"/>
  <c r="V103"/>
  <c r="H100"/>
  <c r="Y100"/>
  <c r="V100"/>
  <c r="C20" i="24"/>
  <c r="D20" s="1"/>
  <c r="V116" i="20"/>
  <c r="X116" s="1"/>
  <c r="Y116" s="1"/>
  <c r="I24" i="24"/>
  <c r="G24" s="1"/>
  <c r="H47" s="1"/>
  <c r="G17"/>
  <c r="Y101" i="20"/>
  <c r="V101"/>
  <c r="H101"/>
  <c r="V111"/>
  <c r="X111" s="1"/>
  <c r="C18" i="24"/>
  <c r="D18" s="1"/>
  <c r="Y114" i="20"/>
  <c r="C13" i="24"/>
  <c r="D13" s="1"/>
  <c r="V114" i="20"/>
  <c r="C16" i="18"/>
  <c r="AD16" s="1"/>
  <c r="V96" i="20"/>
  <c r="H96"/>
  <c r="Y96"/>
  <c r="Y102"/>
  <c r="V102"/>
  <c r="H102"/>
  <c r="Q47" i="24"/>
  <c r="Y138" i="20"/>
  <c r="H114"/>
  <c r="H26"/>
  <c r="H115"/>
  <c r="Y115"/>
  <c r="C19" i="24"/>
  <c r="D19" s="1"/>
  <c r="V115" i="20"/>
  <c r="Y109"/>
  <c r="C16" i="24"/>
  <c r="D16" s="1"/>
  <c r="V109" i="20"/>
  <c r="Y97"/>
  <c r="V97"/>
  <c r="H97"/>
  <c r="Y110"/>
  <c r="V110"/>
  <c r="V119"/>
  <c r="X107"/>
  <c r="Y107" s="1"/>
  <c r="Y119"/>
  <c r="H119"/>
  <c r="C105"/>
  <c r="C34" i="24" s="1"/>
  <c r="Y94" i="20"/>
  <c r="V94"/>
  <c r="V105" s="1"/>
  <c r="H94"/>
  <c r="H111"/>
  <c r="H25"/>
  <c r="B45" i="5"/>
  <c r="B43"/>
  <c r="B42" s="1"/>
  <c r="B41" s="1"/>
  <c r="I19" i="8" s="1"/>
  <c r="K19" s="1"/>
  <c r="H31" i="20" l="1"/>
  <c r="C32"/>
  <c r="V31"/>
  <c r="Y31"/>
  <c r="H35" i="24"/>
  <c r="H15"/>
  <c r="H45"/>
  <c r="H24"/>
  <c r="H12"/>
  <c r="H16"/>
  <c r="H22"/>
  <c r="H11"/>
  <c r="H13"/>
  <c r="H19"/>
  <c r="H20"/>
  <c r="H21"/>
  <c r="H14"/>
  <c r="H18"/>
  <c r="H46"/>
  <c r="C13" i="18"/>
  <c r="AD13" s="1"/>
  <c r="D34" i="24"/>
  <c r="Q17"/>
  <c r="H17"/>
  <c r="Y105" i="20"/>
  <c r="H105"/>
  <c r="C28" i="24" l="1"/>
  <c r="H32" i="20"/>
  <c r="Y32"/>
  <c r="V32"/>
  <c r="C7" i="18" l="1"/>
  <c r="AD7" s="1"/>
  <c r="D28" i="24"/>
</calcChain>
</file>

<file path=xl/sharedStrings.xml><?xml version="1.0" encoding="utf-8"?>
<sst xmlns="http://schemas.openxmlformats.org/spreadsheetml/2006/main" count="3582" uniqueCount="3047">
  <si>
    <t xml:space="preserve">       а. Итого ликвидных активов разделить на</t>
  </si>
  <si>
    <t>#FN1{10701,10801}</t>
  </si>
  <si>
    <t>#FNOBES{143,147,148,149,150,151,152,153,154,155,156,157;;;42;;E}</t>
  </si>
  <si>
    <t>#FNOBES{143,147,148,149,150,151,152,153,154,155,156,157;;;31;;E}</t>
  </si>
  <si>
    <t>#FNOBES{111,123,124,125,126,127,129,130,131,132,133;;;42;;E}</t>
  </si>
  <si>
    <t>#FNECTCP{12401,12409,14801,14809,11101,13301,13309,14301,14305;12;6;;E}</t>
  </si>
  <si>
    <t>#FNECTCP{12501,12509,14901,14905,11101,13301,13309,14301,14305,15603;08;6;;E}</t>
  </si>
  <si>
    <t>#FNECTCP{12601,12609,15001,15005,11101,13301,13309,14301,14305,15605;11;6;;E}</t>
  </si>
  <si>
    <t>#FNECTCP{12701,12709,15101,15105,11101,13301,13309,14301,14305,15607;02;6;;E}</t>
  </si>
  <si>
    <t>#FNECTCP{12901,12909,15301,15305,11101,13301,13309,14301,14305,15609;10;6;;E}</t>
  </si>
  <si>
    <t>#FNECTCP{13001,13009,15201,15205,11101,13301,13309,14301,14305,15611;03;6;;E}</t>
  </si>
  <si>
    <t>#FNECTCP{13101,13109,15501,15505,11101,13301,13309,14301,14305,15613;09;6;;E}</t>
  </si>
  <si>
    <t>#FNECTCP{13201,13209,15401,15405,11101,13301,13309,14301,14305;04;6;;E}</t>
  </si>
  <si>
    <t>#FNECTCP{12301,12309,14701,14705,11101,13301,13309,14301,14305;01;6;;E}</t>
  </si>
  <si>
    <t>#FNECTCP{12401,12409,14801,14809,11101,13301,13309,14301,14305;12;7;;E}</t>
  </si>
  <si>
    <t>#FNECTCP{12501,12509,14901,14905,11101,13301,13309,14301,14305,15603;08;7;;E}</t>
  </si>
  <si>
    <t xml:space="preserve">Срочные депозиты  юридических лиц (206, 208, 210)-Начисленные % </t>
  </si>
  <si>
    <t>#FN31{4;1-30}</t>
  </si>
  <si>
    <t>#FN31{4;31-180}</t>
  </si>
  <si>
    <t>#FN31{4;181-365}</t>
  </si>
  <si>
    <t>#FN31{4;&gt;365}</t>
  </si>
  <si>
    <t>Срочные депозиты физических лиц-Начисленные %</t>
  </si>
  <si>
    <t>#FNSDPSLD{20606%;;}/1000</t>
  </si>
  <si>
    <t>#FNSDPSLD{20606%;;30}/1000</t>
  </si>
  <si>
    <t>#FNSDPSLD{20606%;31;180}/1000</t>
  </si>
  <si>
    <t xml:space="preserve">    ж. Процентные доходы по обяз-вам клиентов по непогашенным акцептам этого банка </t>
  </si>
  <si>
    <t xml:space="preserve">     б. Прибыль в иностранной валюте</t>
  </si>
  <si>
    <t>Другие активы, чистые</t>
  </si>
  <si>
    <t>Общая сумма балансовых активов согласно Инструкции</t>
  </si>
  <si>
    <t>#FN4{6;13201-13209,15401-15405}</t>
  </si>
  <si>
    <t>#FN4{6;12301-12309,14701,14705}</t>
  </si>
  <si>
    <t>#FNECTCOP{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4;;E}</t>
  </si>
  <si>
    <t>#FNSDPSLD{20606%;181;365}/1000</t>
  </si>
  <si>
    <t>#FNSDPSLD{20606%;365;}/1000</t>
  </si>
  <si>
    <t>Ссуды к оплате(216,220) - начисленные %</t>
  </si>
  <si>
    <t>#FN31{2;1-30}</t>
  </si>
  <si>
    <t>#FN31{2;31-180}</t>
  </si>
  <si>
    <t>#FN31{2;181-365}</t>
  </si>
  <si>
    <t>#FN31{2;&gt;365}</t>
  </si>
  <si>
    <t>-</t>
  </si>
  <si>
    <t>Начисленные проценты по срокам</t>
  </si>
  <si>
    <t>Ценные бумагт выпущенные, начисленные %</t>
  </si>
  <si>
    <t>VII</t>
  </si>
  <si>
    <t>#FN11{1}</t>
  </si>
  <si>
    <t>5. Поправки</t>
  </si>
  <si>
    <t>6 Заложенные ценные бумаги/ Общая сумма ценных бумаг</t>
  </si>
  <si>
    <t>Часть 3. Экономические нормативы - Ликвидность</t>
  </si>
  <si>
    <t>Примечание:</t>
  </si>
  <si>
    <t xml:space="preserve">    ж. Страхование, налоги и другие расходы</t>
  </si>
  <si>
    <t xml:space="preserve">    з. Итого операционных расходов</t>
  </si>
  <si>
    <t xml:space="preserve">  </t>
  </si>
  <si>
    <t>Текущая ссудная задолженность</t>
  </si>
  <si>
    <t>Отрасль экономики</t>
  </si>
  <si>
    <t xml:space="preserve">     б. Убытки в иностранной валюте</t>
  </si>
  <si>
    <t>#FNOBES{13101,13109,15501,15505,11101,13301,13309,14301,14305,15613;09;5;31,32,33,34,35,36,37;;E}</t>
  </si>
  <si>
    <t>#FNECTC{12701,12709,15101,15105,11101,13301,13309,14301,14305,15607;02;7;;E}</t>
  </si>
  <si>
    <t>#FNECTC{12901,12909,15301,15305,11101,13301,13309,14301,14305,15609;10;7;;E}</t>
  </si>
  <si>
    <t>#FNECTCP{12601,12609,15001,15005,11101,13301,13309,14301,14305,15605;11;7;;E}</t>
  </si>
  <si>
    <t>#FNECTCP{12701,12709,15101,15105,11101,13301,13309,14301,14305,15607;02;7;;E}</t>
  </si>
  <si>
    <t>#FNECTCP{12901,12909,15301,15305,11101,13301,13309,14301,14305,15609;10;7;;E}</t>
  </si>
  <si>
    <t>#FNECTCP{13001,13009,15201,15205,11101,13301,13309,14301,14305,15611;03;7;;E}</t>
  </si>
  <si>
    <t>#FN1{30309,30315}-#FN1{30303,30321}</t>
  </si>
  <si>
    <t>#FN1{402}</t>
  </si>
  <si>
    <t>#FN1{404}</t>
  </si>
  <si>
    <t>#FN1{408}</t>
  </si>
  <si>
    <t>#FN1{448}</t>
  </si>
  <si>
    <t>#FN1{406,407}</t>
  </si>
  <si>
    <t>#FN1{410}</t>
  </si>
  <si>
    <t>#FN1{412}</t>
  </si>
  <si>
    <t>#FNECTCP{11103,11105,12405,13305,15617,15701,15705;12;2;;E}</t>
  </si>
  <si>
    <t>#FNOBES{12401,12409,14801,14809,11101,13301,13309,14301,14305;12;1;26;;E}</t>
  </si>
  <si>
    <t>#FNOBES{12401,12409,14801,14809,11101,13301,13309,14301,14305;12;1;24;;E}</t>
  </si>
  <si>
    <t>#FNOBES{12401,12409,14801,14809,11101,13301,13309,14301,14305;12;1;31,32,33,34,35,36,37;;E}</t>
  </si>
  <si>
    <t>#FNOBES{12401,12409,14801,14809,11101,13301,13309,14301,14305;12;1;29;;E}</t>
  </si>
  <si>
    <t>#FNOBES{12401,12409,14801,14809,11101,13301,13309,14301,14305;12;1;42;;E}</t>
  </si>
  <si>
    <t>#FN1{526}</t>
  </si>
  <si>
    <t xml:space="preserve">     в. Процентные расходы по срочным депозитам</t>
  </si>
  <si>
    <t>ж. ИТОГО ПРОЦЕНТНЫХ ДОХОДОВ ПО СЧЕТАМ КУПЛИ-ПРОДАЖИ Ц/Б</t>
  </si>
  <si>
    <t>4.  ПРОЦЕНТНЫЕ ДОХОДЫ ПО ИНВЕСТИЦИЯМ</t>
  </si>
  <si>
    <t>а.  Государственные облигации</t>
  </si>
  <si>
    <t>в.  Частные  облигации</t>
  </si>
  <si>
    <t>Промышленность</t>
  </si>
  <si>
    <t xml:space="preserve">     б. Условная стоимость обменного свопа (Валютный своп)</t>
  </si>
  <si>
    <t xml:space="preserve">     в. Фьючерсные, Форвардные и Опционные контракты</t>
  </si>
  <si>
    <t>7.  Общее количество отделений банка, включая административный, филиалы,</t>
  </si>
  <si>
    <t>#FNOBES{13001,13009,15201,15205,11101,13301,13309,14301,14305,15611;03;2;23;;E}</t>
  </si>
  <si>
    <t>#FNOBES{13001,13009,15201,15205,11101,13301,13309,14301,14305,15611;03;2;26;;E}</t>
  </si>
  <si>
    <t>#FNOBES{13001,13009,15201,15205,11101,13301,13309,14301,14305,15611;03;2;24;;E}</t>
  </si>
  <si>
    <t>#FNOBES{12901,12909,15301,15305,11101,13301,13309,14301,14305,15609;10;2;24;;E}</t>
  </si>
  <si>
    <t>#FNOBES{12901,12909,15301,15305,11101,13301,13309,14301,14305,15609;10;2;31,32,33,34,35,36,37;;E}</t>
  </si>
  <si>
    <t>#FN5{5;12105,12305,12505,12605,12705,12905,13005,13105,13205,13305,15617,11103;61-90}</t>
  </si>
  <si>
    <t>#FN5{5;12105,12305,12505,12605,12705,12905,13005,13105,13205,13305,15617,11103;91-180}</t>
  </si>
  <si>
    <t>#FN5{5;12105,12305,12505,12605,12705,12905,13005,13105,13205,13305,15617,11103;181-365}</t>
  </si>
  <si>
    <t>#FN5{5;12105,12305,12505,12605,12705,12905,13005,13105,13205,13305,15617,11103;166-730}</t>
  </si>
  <si>
    <t>#FN5{6;12105,12305,12505,12605,12705,12905,13005,13105,13205,13305,15617,11103;1-30}</t>
  </si>
  <si>
    <t>#FN5{6;12105,12305,12505,12605,12705,12905,13005,13105,13205,13305,15617,11103;31-60}</t>
  </si>
  <si>
    <t>ручной ввод</t>
  </si>
  <si>
    <t>АКТИВЫ</t>
  </si>
  <si>
    <t>в тыс.сум</t>
  </si>
  <si>
    <t>Контроль</t>
  </si>
  <si>
    <t xml:space="preserve">    д. Репрезентация и благотворительность</t>
  </si>
  <si>
    <t xml:space="preserve">    е. Расходы на износ</t>
  </si>
  <si>
    <t>Подпись Руководителя:</t>
  </si>
  <si>
    <t>#FN1{10397}</t>
  </si>
  <si>
    <t>#FNECTC{12909,15305,13309,14305,15619;10;;;E}</t>
  </si>
  <si>
    <t>Просрочка</t>
  </si>
  <si>
    <t>#FNECTC{15701,15705;02;5;;E}</t>
  </si>
  <si>
    <t>#FNECTC{15701,15705;10;5;;E}</t>
  </si>
  <si>
    <t>#FNECTC{15701,15705;03;5;;E}</t>
  </si>
  <si>
    <t>#FNECTC{15701,15705;09;5;;E}</t>
  </si>
  <si>
    <t>#FNECTC{15701,15705;04;5;;E}</t>
  </si>
  <si>
    <t>#FNECTC{15701,15705;01;5;;E}</t>
  </si>
  <si>
    <t>#FNECTC{15701,15705;12;6;;E}</t>
  </si>
  <si>
    <t>#FNECTC{15701,15705;08;6;;E}</t>
  </si>
  <si>
    <t>#FNECTC{13201,13209,15401,15405,11101,13301,13309,14301,14305;04;5;;E}</t>
  </si>
  <si>
    <t>#FNECTC{12301,12309,14701,14705,11101,13301,13309,14301,14305;01;5;;E}</t>
  </si>
  <si>
    <t>#FNECTC{12401,12409,14801,14809,11101,13301,13309,14301,14305;12;6;;E}</t>
  </si>
  <si>
    <t>#FNECTC{12501,12509,14901,14905,11101,13301,13309,14301,14305,15603;08;6;;E}</t>
  </si>
  <si>
    <t>#FNECTC{12601,12609,15001,15005,11101,13301,13309,14301,14305,15605;11;6;;E}</t>
  </si>
  <si>
    <t>#FNECTC{12701,12709,15101,15105,11101,13301,13309,14301,14305,15607;02;6;;E}</t>
  </si>
  <si>
    <t>#FNECTC{12901,12909,15301,15305,11101,13301,13309,14301,14305,15609;10;6;;E}</t>
  </si>
  <si>
    <t>#FNECTC{13001,13009,15201,15205,11101,13301,13309,14301,14305,15611;03;6;;E}</t>
  </si>
  <si>
    <t>#FNOBES{12101,12109,14501,14505,11101,13301,13309,14301,14305,15601;07;;25;;E}</t>
  </si>
  <si>
    <t>#FNOBES{12101,12109,14501,14505,11101,13301,13309,14301,14305,15601;07;;23;;E}</t>
  </si>
  <si>
    <t>#FNOBES{12101,12109,14501,14505,11101,13301,13309,14301,14305,15601;07;;26;;E}</t>
  </si>
  <si>
    <t>#FNOBES{12101,12109,14501,14505,11101,13301,13309,14301,14305,15601;07;;24;;E}</t>
  </si>
  <si>
    <t>#FNOBES{12101,12109,14501,14505,11101,13301,13309,14301,14305,15601;07;;31,32,33,34,35,36,37;;E}</t>
  </si>
  <si>
    <t>#FNOBES{12101,12109,14501,14505,11101,13301,13309,14301,14305,15601;07;;29;;E}</t>
  </si>
  <si>
    <t>#FNOBES{12101,12109,14501,14505,11101,13301,13309,14301,14305,15601;07;;42;;E}</t>
  </si>
  <si>
    <t>#FNOBES{12101,12109,14501,14505,11101,13301,13309,14301,14305,15601;07;;61;;E}</t>
  </si>
  <si>
    <t>#FNOBES{12901,12909,15301,15305,11101,13301,13309,14301,14305,15609;10;5;42;;E}</t>
  </si>
  <si>
    <t>#FNECTCP{12301,12309,14701,14705,11101,13301,13309,14301,14305;01;8;;E}</t>
  </si>
  <si>
    <t>#FNOBES{12901,12909,15301,15305,11101,13301,13309,14301,14305,15609;10;1;25;;E}</t>
  </si>
  <si>
    <t>#FNOBES{12901,12909,15301,15305,11101,13301,13309,14301,14305,15609;10;1;23;;E}</t>
  </si>
  <si>
    <t>#FNOBES{12901,12909,15301,15305,11101,13301,13309,14301,14305,15609;10;1;26;;E}</t>
  </si>
  <si>
    <t>#FNOBES{12901,12909,15301,15305,11101,13301,13309,14301,14305,15609;10;1;24;;E}</t>
  </si>
  <si>
    <t>#FNECTC{15701,15705;09;1;;E}</t>
  </si>
  <si>
    <t>#FNECTC{15701,15705;04;1;;E}</t>
  </si>
  <si>
    <t>#FNECTC{15701,15705;01;1;;E}</t>
  </si>
  <si>
    <t>#FNECTC{15701,15705;12;2;;E}</t>
  </si>
  <si>
    <t>#FNOBES{13001,13009,15201,15205,11101,13301,13309,14301,14305,15611;03;9;31,32,33,34,35,36,37;;E}</t>
  </si>
  <si>
    <t>#FNOBES{13001,13009,15201,15205,11101,13301,13309,14301,14305,15611;03;9;29;;E}</t>
  </si>
  <si>
    <t>#FNOBES{13001,13009,15201,15205,11101,13301,13309,14301,14305,15611;03;9;42;;E}</t>
  </si>
  <si>
    <t>#FNOBES{13001,13009,15201,15205,11101,13301,13309,14301,14305,15611;03;9;61;;E}</t>
  </si>
  <si>
    <t>#FNECTCP{11103,11105,13005,13305,15617,15701,15705;03;9;;E}</t>
  </si>
  <si>
    <t>#FNECTC{13201,13209,15401,15405,11101,13301,13309,14301,14305;04;9;;E}</t>
  </si>
  <si>
    <t>#FNECTC{15701,15705;04;9;;E}</t>
  </si>
  <si>
    <t>#FNECTCP{13201,13209,15401,15405,11101,13301,13309,14301,14305;04;9;;E}</t>
  </si>
  <si>
    <t>#FNOBES{13201,13209,15401,15405,11101,13301,13309,14301,14305;04;9;25;;E}</t>
  </si>
  <si>
    <t>#FNOBES{13201,13209,15401,15405,11101,13301,13309,14301,14305;04;9;23;;E}</t>
  </si>
  <si>
    <t>#FNOBES{13201,13209,15401,15405,11101,13301,13309,14301,14305;04;9;26;;E}</t>
  </si>
  <si>
    <t>#FNOBES{13201,13209,15401,15405,11101,13301,13309,14301,14305;04;9;21,22;;E}</t>
  </si>
  <si>
    <t>#FNOBES{13201,13209,15401,15405,11101,13301,13309,14301,14305;04;9;24;;E}</t>
  </si>
  <si>
    <t>#FNOBES{13201,13209,15401,15405,11101,13301,13309,14301,14305;04;9;31,32,33,34,35,36,37;;E}</t>
  </si>
  <si>
    <t>#FNOBES{13201,13209,15401,15405,11101,13301,13309,14301,14305;04;9;29;;E}</t>
  </si>
  <si>
    <t>#FNOBES{13201,13209,15401,15405,11101,13301,13309,14301,14305;04;9;42;;E}</t>
  </si>
  <si>
    <t>#FNOBES{13201,13209,15401,15405,11101,13301,13309,14301,14305;04;9;61;;E}</t>
  </si>
  <si>
    <t>#FNECTCP{11103,11105,13205,13305,15617,15701,15705;04;9;;E}</t>
  </si>
  <si>
    <t>Кредитные и лизинговые операции</t>
  </si>
  <si>
    <t>в</t>
  </si>
  <si>
    <t>г</t>
  </si>
  <si>
    <t>Ценные бумаги купленные по соглашению с обратным выкупом</t>
  </si>
  <si>
    <t>#FN1{56802}</t>
  </si>
  <si>
    <t>#FN1{40601,40605,40701,40705}</t>
  </si>
  <si>
    <t>#FN1{40609,40709}</t>
  </si>
  <si>
    <t>#FN1{105,121,145}</t>
  </si>
  <si>
    <t>#FN1{10701,10705,10709,10801,10805,10809}</t>
  </si>
  <si>
    <t>#FNECTCP{12101,12109,14501,14505,11101,13301,13309,14301,14305,15601;07;2;;E}</t>
  </si>
  <si>
    <t>#FNOBES{12101,12109,14501,14505,11101,13301,13309,14301,14305,15601;07;2;25;;E}</t>
  </si>
  <si>
    <t>#FNOBES{12101,12109,14501,14505,11101,13301,13309,14301,14305,15601;07;2;23;;E}</t>
  </si>
  <si>
    <t>1.  Назначал ли банк новых администраторов (начальников, директоров, членов</t>
  </si>
  <si>
    <t xml:space="preserve">     аудиторского комитета) в течение месяца?</t>
  </si>
  <si>
    <t>2.  Покупали ли физические или юридические лица или группы физических</t>
  </si>
  <si>
    <t>#FN9{20408}</t>
  </si>
  <si>
    <t>#FN9{20610}</t>
  </si>
  <si>
    <t>#FN9{20614}</t>
  </si>
  <si>
    <t>#FN9{20608}</t>
  </si>
  <si>
    <t xml:space="preserve">    б. Процентные доходы по счетам в других банках</t>
  </si>
  <si>
    <t xml:space="preserve"> #FN1A{4,5,31206,30907,30909}</t>
  </si>
  <si>
    <t>#FNOBES{12901,12909,15301,15305,11101,13301,13309,14301,14305,15609;10;6;42;;E}</t>
  </si>
  <si>
    <t>#FNOBES{12901,12909,15301,15305,11101,13301,13309,14301,14305,15609;10;6;61;;E}</t>
  </si>
  <si>
    <t>#FNOBES{13001,13009,15201,15205,11101,13301,13309,14301,14305,15611;03;6;25;;E}</t>
  </si>
  <si>
    <t>#FNOBES{13001,13009,15201,15205,11101,13301,13309,14301,14305,15611;03;6;23;;E}</t>
  </si>
  <si>
    <t>#FNOBES{13001,13009,15201,15205,11101,13301,13309,14301,14305,15611;03;6;26;;E}</t>
  </si>
  <si>
    <t>#FN4{2;12701-12709,15101,15105}</t>
  </si>
  <si>
    <t>#FN4{2;12901-12909,15301,15305}</t>
  </si>
  <si>
    <t>#FNOBES{12701,12709,15101,15105,11101,13301,13309,14301,14305,15607;02;6;25;;E}</t>
  </si>
  <si>
    <t>#FNOBES{12701,12709,15101,15105,11101,13301,13309,14301,14305,15607;02;6;23;;E}</t>
  </si>
  <si>
    <t>#FN1{175}</t>
  </si>
  <si>
    <t xml:space="preserve"> -#FN1{45921}</t>
  </si>
  <si>
    <t>#FNOBES{12401,12409,14801,14809,11101,13301,13309,14301,14305;12;1;61;;E}</t>
  </si>
  <si>
    <t>#FN12{;20402-20405,20408-20496;366-3660}</t>
  </si>
  <si>
    <t>10. Чистая балансовая стоимость по счетам купли-продажи ц/б</t>
  </si>
  <si>
    <t>#FN1D{10101;B}</t>
  </si>
  <si>
    <t>#FN1D{10101E}</t>
  </si>
  <si>
    <t>мин 161, 222</t>
  </si>
  <si>
    <t>Пассивы</t>
  </si>
  <si>
    <t>#FN1{1}</t>
  </si>
  <si>
    <t>#FN1{2}</t>
  </si>
  <si>
    <t>Активы минус мин{161,222}</t>
  </si>
  <si>
    <t>Пассивы минус мин{161,222}</t>
  </si>
  <si>
    <t>#FN1{30303}</t>
  </si>
  <si>
    <t>#FN1{30306}</t>
  </si>
  <si>
    <t>#FN1{30309}</t>
  </si>
  <si>
    <t>#FN1{30312}</t>
  </si>
  <si>
    <t>#FN1{30315}</t>
  </si>
  <si>
    <t>#FN1{30318}</t>
  </si>
  <si>
    <t>#FN1{30331}</t>
  </si>
  <si>
    <t>4. Итого депозитов</t>
  </si>
  <si>
    <t>23. Начисленные проценты к оплате</t>
  </si>
  <si>
    <t>#FN4{6;12401-12409,14801,14809}</t>
  </si>
  <si>
    <t>#FN4{6;12601-12609,15001,15005}</t>
  </si>
  <si>
    <t>Мин</t>
  </si>
  <si>
    <t>Активы с учетом риска</t>
  </si>
  <si>
    <t>Коэффициент достаточности Капитала Уровня 1</t>
  </si>
  <si>
    <t>3. Минус: Списанные кредиты</t>
  </si>
  <si>
    <t xml:space="preserve">     д. Процентные расходы по счетам к оплате в другие банки</t>
  </si>
  <si>
    <t>8. Итого по счетам купли-продажи ценных бумаг</t>
  </si>
  <si>
    <t xml:space="preserve">    г. Административные расходы</t>
  </si>
  <si>
    <t>Прямые кредитные заменители</t>
  </si>
  <si>
    <t xml:space="preserve">Финансовый лизинг </t>
  </si>
  <si>
    <t>Основные средства, используемые в банковской деятельности (минус амортизация)</t>
  </si>
  <si>
    <t>1.</t>
  </si>
  <si>
    <t>Торговля и общественное питание</t>
  </si>
  <si>
    <t>#FNOBES{13101,13109,15501,15505,11101,13301,13309,14301,14305,15613;09;7;26;;E}</t>
  </si>
  <si>
    <t>#FNOBES{13101,13109,15501,15505,11101,13301,13309,14301,14305,15613;09;7;24;;E}</t>
  </si>
  <si>
    <t>#FNOBES{13101,13109,15501,15505,11101,13301,13309,14301,14305,15613;09;7;31,32,33,34,35,36,37;;E}</t>
  </si>
  <si>
    <t>#FNOBES{13101,13109,15501,15505,11101,13301,13309,14301,14305,15613;09;7;29;;E}</t>
  </si>
  <si>
    <t>#FNOBES{13101,13109,15501,15505,11101,13301,13309,14301,14305,15613;09;7;42;;E}</t>
  </si>
  <si>
    <t>#FNOBES{13101,13109,15501,15505,11101,13301,13309,14301,14305,15613;09;7;61;;E}</t>
  </si>
  <si>
    <t>#FNOBES{13201,13209,15401,15405,11101,13301,13309,14301,14305;04;7;25;;E}</t>
  </si>
  <si>
    <t>#FNOBES{13201,13209,15401,15405,11101,13301,13309,14301,14305;04;7;23;;E}</t>
  </si>
  <si>
    <t>#FNOBES{13201,13209,15401,15405,11101,13301,13309,14301,14305;04;7;26;;E}</t>
  </si>
  <si>
    <t>#FNOBES{13201,13209,15401,15405,11101,13301,13309,14301,14305;04;7;24;;E}</t>
  </si>
  <si>
    <t xml:space="preserve">Со оставшимся сроком погашения более двух лет до трех </t>
  </si>
  <si>
    <t>Валютные котракты и золото</t>
  </si>
  <si>
    <t>#FN1{10711,10715,10719,10779,10795}+#FN1{10813,10817,10821,10879,10889,10895}+#FN1{113,115,117,118}</t>
  </si>
  <si>
    <t>#FN1{165}</t>
  </si>
  <si>
    <t>#FN1{90993}</t>
  </si>
  <si>
    <t>Нереализованная прибыль или убытки по форвардным сделкам и другим отсроченным кредитам</t>
  </si>
  <si>
    <t>10.</t>
  </si>
  <si>
    <t>Клиринговые счета - кредитовый остаток</t>
  </si>
  <si>
    <t xml:space="preserve">     ж. Итого срочных депозитов</t>
  </si>
  <si>
    <t>* Примечание: Показать раздельно суммы</t>
  </si>
  <si>
    <t>Корреспондентского счета в ЦБРУ</t>
  </si>
  <si>
    <t>Счета Обязательного Резерва в ЦБРУ</t>
  </si>
  <si>
    <t xml:space="preserve">   -ручное заполнение</t>
  </si>
  <si>
    <t>г.  Еврооблигации</t>
  </si>
  <si>
    <t>#FNECTC{15701,15705;08;2;;E}</t>
  </si>
  <si>
    <t>#FNECTC{15701,15705;02;2;;E}</t>
  </si>
  <si>
    <t>#FNECTC{15701,15705;10;2;;E}</t>
  </si>
  <si>
    <t>7. ОПЕРАЦИОННЫЕ РАСХОДЫ</t>
  </si>
  <si>
    <t>Другие обязательства</t>
  </si>
  <si>
    <t>ИТОГО ОБЯЗАТЕЛЬСТВ</t>
  </si>
  <si>
    <t>РАСЧЕТ ЭКОНОМИЧЕСКИХ НОРМАТИВОВ</t>
  </si>
  <si>
    <t>г. Чистые активы, приобретенные при ссудных расчетах</t>
  </si>
  <si>
    <t>13. Другие активы</t>
  </si>
  <si>
    <t>14. Итого активов</t>
  </si>
  <si>
    <t>ОБЯЗАТЕЛЬСТВА И АКЦИОНЕРНЫЙ КАПИТАЛ</t>
  </si>
  <si>
    <t>#FN12{;12101,12109,14501,14505, 15601;1-30}</t>
  </si>
  <si>
    <t>#FN12{;12101,12109,14501,14505,15601;31-180}</t>
  </si>
  <si>
    <t>#FN12{;12101,12109,14501,14505,15601;180-365}</t>
  </si>
  <si>
    <t>#FN1{121,145,15601}</t>
  </si>
  <si>
    <t>Анализ просроченных ссуд к получению и лизинговых операций</t>
  </si>
  <si>
    <t>#FN1{92802}</t>
  </si>
  <si>
    <t>#FN1{10719,10821}</t>
  </si>
  <si>
    <t>#FN1{10779,10879}</t>
  </si>
  <si>
    <t>#FN1{10711,10813,11301,11305,11309,11311,11319}</t>
  </si>
  <si>
    <t xml:space="preserve">Общая сумма забалансовых активов </t>
  </si>
  <si>
    <t xml:space="preserve"> </t>
  </si>
  <si>
    <t>#FN1D{30908;B}</t>
  </si>
  <si>
    <t>#FN1D{30908;E}</t>
  </si>
  <si>
    <t>10101-b</t>
  </si>
  <si>
    <t>10101-e</t>
  </si>
  <si>
    <t>fn1 303</t>
  </si>
  <si>
    <t xml:space="preserve">    Б. Сберегательные депозиты</t>
  </si>
  <si>
    <t xml:space="preserve">      ж. Итого процентных расходов по сберегательным депозитам</t>
  </si>
  <si>
    <t xml:space="preserve">    В. Срочные депозиты</t>
  </si>
  <si>
    <t>#FN1{ 92701-92728}</t>
  </si>
  <si>
    <t>#FNECTCP{11103,11105,13205,13305,15617,15701,15705;04;;;E}</t>
  </si>
  <si>
    <t>#FNECTCP{11103,11105,12105,15617,15701,15705;07;;;E}</t>
  </si>
  <si>
    <t>#FNECTCP{11103,11105,12305,15617,15701,15705;01;;;E}</t>
  </si>
  <si>
    <t>25. Итого обязательств</t>
  </si>
  <si>
    <t>#FN4{;12901-12909,15301,15305}</t>
  </si>
  <si>
    <t>#FN4{;13001-13009, 15201,15205}</t>
  </si>
  <si>
    <t>#FN1{4,5,31203,31206}</t>
  </si>
  <si>
    <t>#FN1D{30903,30904,30907,312,30905,30909;B}</t>
  </si>
  <si>
    <t>#FNOBES{12501,12509,14901,14905,11101,13301,13309,14301,14305,15603;08;7;21,22;;E}</t>
  </si>
  <si>
    <t>#FNOBES{12601,12609,15001,15005,11101,13301,13309,14301,14305,15605;11;7;21,22;;E}</t>
  </si>
  <si>
    <t>д.  Ссуды государственным предприятиям и лизинговые операции</t>
  </si>
  <si>
    <t>Акции</t>
  </si>
  <si>
    <t>Гарантия третьей стороны</t>
  </si>
  <si>
    <t>#FNOBES{13001,13009,15201,15205,11101,13301,13309,14301,14305,15611;03;2;31,32,33,34,35,36,37;;E}</t>
  </si>
  <si>
    <t>#FNOBES{13001,13009,15201,15205,11101,13301,13309,14301,14305,15611;03;2;29;;E}</t>
  </si>
  <si>
    <t>#FNOBES{13001,13009,15201,15205,11101,13301,13309,14301,14305,15611;03;2;42;;E}</t>
  </si>
  <si>
    <t>15701 на основном ссудном счете</t>
  </si>
  <si>
    <t>Средняя процентная ставка</t>
  </si>
  <si>
    <t>Депозиты</t>
  </si>
  <si>
    <t xml:space="preserve">     в. Прибыль от коммерческих операций </t>
  </si>
  <si>
    <t xml:space="preserve">     г. Прибыль и дивиденды от инвестиций</t>
  </si>
  <si>
    <t xml:space="preserve">     д. Другие беспроцентные доходы</t>
  </si>
  <si>
    <t>#FN4{;12301-12309,14701,14705}</t>
  </si>
  <si>
    <t>#FN5{;12105;1-30}</t>
  </si>
  <si>
    <t>#FN5{;12105;31-60}</t>
  </si>
  <si>
    <t>#FN5{;12105;61-90}</t>
  </si>
  <si>
    <t>#FN5{;12105;91-180}</t>
  </si>
  <si>
    <t>#FN5{;12105;181-365}</t>
  </si>
  <si>
    <t>#FN5{;12105;366-730}</t>
  </si>
  <si>
    <t>#FN5{;12305;1-30}</t>
  </si>
  <si>
    <t>#FN5{;12305;31-60}</t>
  </si>
  <si>
    <t>#FN5{;12305;61-90}</t>
  </si>
  <si>
    <t>#FN5{;12305;91-180}</t>
  </si>
  <si>
    <t>#FN5{;12305;181-365}</t>
  </si>
  <si>
    <t>#FN5{;12305;366-730}</t>
  </si>
  <si>
    <t>#FN5{;12405;1-30}</t>
  </si>
  <si>
    <t>#FN5{;12405;31-60}</t>
  </si>
  <si>
    <t>#FN4{5;12701-12709,15101,15105}</t>
  </si>
  <si>
    <t>#FN1D{303;B}</t>
  </si>
  <si>
    <t>#FN1D{303;E}</t>
  </si>
  <si>
    <t>#FN1D{306;B}</t>
  </si>
  <si>
    <t>#FN1D{306;E}</t>
  </si>
  <si>
    <t>#FN1D{309;B}</t>
  </si>
  <si>
    <t>#FN1D{309;E}</t>
  </si>
  <si>
    <t>#FN1D{312;B}</t>
  </si>
  <si>
    <t>#FN1D{312;E}</t>
  </si>
  <si>
    <t xml:space="preserve">    б. Аренда и содержание</t>
  </si>
  <si>
    <t>от 31 до180</t>
  </si>
  <si>
    <t>от 181до 365</t>
  </si>
  <si>
    <t>Свыше 365</t>
  </si>
  <si>
    <t>ВСЕГО</t>
  </si>
  <si>
    <t>(А)</t>
  </si>
  <si>
    <t>#FN4{7;12901-12909,15301,15305}</t>
  </si>
  <si>
    <t>#FN4{7;13001-13009,15201-15205}</t>
  </si>
  <si>
    <t>#FN4{7;13101-13109,15501-15505}</t>
  </si>
  <si>
    <t>#FN4{7;13201-13209,15401-15405}</t>
  </si>
  <si>
    <t>#FN5{5;12105,12305,12505,12605,12705,12905,13005,13105,13205,13305,15617,11103;1-30}</t>
  </si>
  <si>
    <t>#FN5{5;12105,12305,12505,12605,12705,12905,13005,13105,13205,13305,15617,11103;31-60}</t>
  </si>
  <si>
    <t>#FN1{4,5,30903,30904,30907,312,30905,30909}</t>
  </si>
  <si>
    <t>#FN4{2;13201-13209,15401-15405}</t>
  </si>
  <si>
    <t>#FNOBES{12401,12409,14801,14809,11101,13301,13309,14301,14305;12;;25;;E}</t>
  </si>
  <si>
    <t>#FNOBES{12401,12409,14801,14809,11101,13301,13309,14301,14305;12;;23;;E}</t>
  </si>
  <si>
    <t>#FNOBES{12401,12409,14801,14809,11101,13301,13309,14301,14305;12;;26;;E}</t>
  </si>
  <si>
    <t>#FNOBES{12401,12409,14801,14809,11101,13301,13309,14301,14305;12;;24;;E}</t>
  </si>
  <si>
    <t>#FNOBES{12401,12409,14801,14809,11101,13301,13309,14301,14305;12;;31,32,33,34,35,36,37;;E}</t>
  </si>
  <si>
    <t>#FNOBES{13001,13009,15201,15205,11101,13301,13309,14301,14305,15611;03;;42;;E}</t>
  </si>
  <si>
    <t>#FNOBES{13001,13009,15201,15205,11101,13301,13309,14301,14305,15611;03;;61;;E}</t>
  </si>
  <si>
    <t>#FNOBES{13101,13109,15501,15505,11101,13301,13309,14301,14305,15613;09;;25;;E}</t>
  </si>
  <si>
    <t>#FNOBES{13101,13109,15501,15505,11101,13301,13309,14301,14305,15613;09;;23;;E}</t>
  </si>
  <si>
    <t>#FNOBES{13101,13109,15501,15505,11101,13301,13309,14301,14305,15613;09;;26;;E}</t>
  </si>
  <si>
    <t>#FNOBES{13101,13109,15501,15505,11101,13301,13309,14301,14305,15613;09;;24;;E}</t>
  </si>
  <si>
    <t>#FNOBES{13101,13109,15501,15505,11101,13301,13309,14301,14305,15613;09;;31,32,33,34,35,36,37;;E}</t>
  </si>
  <si>
    <t>#FNOBES{13101,13109,15501,15505,11101,13301,13309,14301,14305,15613;09;;29;;E}</t>
  </si>
  <si>
    <t>#FNOBES{13101,13109,15501,15505,11101,13301,13309,14301,14305,15613;09;;42;;E}</t>
  </si>
  <si>
    <t>#FNOBES{13101,13109,15501,15505,11101,13301,13309,14301,14305,15613;09;;61;;E}</t>
  </si>
  <si>
    <t>#FNOBES{13201,13209,15401,15405,11101,13301,13309,14301,14305;04;;25;;E}</t>
  </si>
  <si>
    <t>#FNOBES{13201,13209,15401,15405,11101,13301,13309,14301,14305;04;;23;;E}</t>
  </si>
  <si>
    <t xml:space="preserve"> #FN1{101}</t>
  </si>
  <si>
    <t xml:space="preserve"> #FN1{105}</t>
  </si>
  <si>
    <t>#FN1{15801-15821,15901-15993}</t>
  </si>
  <si>
    <t xml:space="preserve"> #FN1{118}</t>
  </si>
  <si>
    <t>#FN1{408,410,412,449}</t>
  </si>
  <si>
    <t>#FN1{50601,50603,50604,50605,50607}</t>
  </si>
  <si>
    <t>{Б)</t>
  </si>
  <si>
    <t>{В)</t>
  </si>
  <si>
    <t>{Г)</t>
  </si>
  <si>
    <t>Дата погашения {в днях)</t>
  </si>
  <si>
    <t>{А)</t>
  </si>
  <si>
    <t>{Д)</t>
  </si>
  <si>
    <t>{Е)</t>
  </si>
  <si>
    <t>{Ж)</t>
  </si>
  <si>
    <t xml:space="preserve">         Небанковские финансовые институты</t>
  </si>
  <si>
    <t xml:space="preserve">         Предприниматели без обр. юр.лица</t>
  </si>
  <si>
    <t>АНАЛИЗ ЛИКВИДНОСТИ</t>
  </si>
  <si>
    <t xml:space="preserve">      ж. Итого процентных расходов по срочным депозитам</t>
  </si>
  <si>
    <t>Значение риска</t>
  </si>
  <si>
    <t>12.</t>
  </si>
  <si>
    <t>Инвестиции, чистые</t>
  </si>
  <si>
    <t>13.</t>
  </si>
  <si>
    <t>4. Счета купли и продажи</t>
  </si>
  <si>
    <t>#FNP{date_end}</t>
  </si>
  <si>
    <t>1. Драгоценные металлы</t>
  </si>
  <si>
    <t>2. Драгоценные камни</t>
  </si>
  <si>
    <t>3. Драгоценные монеты</t>
  </si>
  <si>
    <t>Итого ценных бумаг заложенных для общественных депозитов</t>
  </si>
  <si>
    <t>Портфель инвестиций в ценные бумаги</t>
  </si>
  <si>
    <t>#FN1{450}</t>
  </si>
  <si>
    <t>#FN1{449}</t>
  </si>
  <si>
    <t>#FN1{501}</t>
  </si>
  <si>
    <t>#FN1{506,54204}</t>
  </si>
  <si>
    <t>Цель ссуды</t>
  </si>
  <si>
    <t>Тип залога</t>
  </si>
  <si>
    <t>Классификация</t>
  </si>
  <si>
    <t>Дополнительный {Уровень 2}</t>
  </si>
  <si>
    <t>#FNOBES{13001,13009,15201,15205,11101,13301,13309,14301,14305,15611;03;5;24;;E}</t>
  </si>
  <si>
    <t>#FNOBES{13001,13009,15201,15205,11101,13301,13309,14301,14305,15611;03;5;31,32,33,34,35,36,37;;E}</t>
  </si>
  <si>
    <t>#FNOBES{13001,13009,15201,15205,11101,13301,13309,14301,14305,15611;03;5;29;;E}</t>
  </si>
  <si>
    <t>#FNECTCP{11103,11105,12405,13305,15617,15701,15705;12;;;E}</t>
  </si>
  <si>
    <t>#FNECTCP{11103,11105,12505,13305,15617,15703,15705;08;;;E}</t>
  </si>
  <si>
    <t>#FNECTCP{11103,11105,12605,13305,15617,15701,15705;11;;;E}</t>
  </si>
  <si>
    <t>#FNECTCP{11103,11105,12705,13305,15617,15701,15705;02;;;E}</t>
  </si>
  <si>
    <t>#FNECTCP{11103,11105,12905,13305,15617,15701,15705;10;;;E}</t>
  </si>
  <si>
    <t>#FNECTCP{11103,11105,13005,13305,15617,15701,15705;03;;;E}</t>
  </si>
  <si>
    <t>#FNECTCP{11103,11105,13105,13305,15617,15701,15705;09;;;E}</t>
  </si>
  <si>
    <t>Капитал Уровня I</t>
  </si>
  <si>
    <t>Левераж</t>
  </si>
  <si>
    <t>Показатель ликвидности</t>
  </si>
  <si>
    <t>2.1</t>
  </si>
  <si>
    <t>Транспорт и коммуникации</t>
  </si>
  <si>
    <t>5.  Нарушались ли банком экономические нормативы в</t>
  </si>
  <si>
    <t xml:space="preserve">     в. Коммерческие аккредитивы (документарные)</t>
  </si>
  <si>
    <t xml:space="preserve">Максимальный общий размер инвестиций в ценные бумаги для купли- продажи  </t>
  </si>
  <si>
    <t>#FNOBES{12701,12709,15101,15105,11101,13301,13309,14301,14305,15607;02;5;26;;E}</t>
  </si>
  <si>
    <t>#FNOBES{12701,12709,15101,15105,11101,13301,13309,14301,14305,15607;02;5;24;;E}</t>
  </si>
  <si>
    <t>#FN4{2;13101-13109,15501-15505}</t>
  </si>
  <si>
    <t>#FN4{2;12101-12109,14501,14505}</t>
  </si>
  <si>
    <t>#FN4{2;12301-12309,14701,14705}</t>
  </si>
  <si>
    <t>#FNOBES{12501,12509,14901,14905,11101,13301,13309,14301,14305,15603;08;1;31,32,33,34,35,36,37;;E}</t>
  </si>
  <si>
    <t>#FNOBES{12501,12509,14901,14905,11101,13301,13309,14301,14305,15603;08;1;29;;E}</t>
  </si>
  <si>
    <t>Показатели достаточности капитала</t>
  </si>
  <si>
    <t>#FNSDSAL2{20406%;;30;;E}/1000</t>
  </si>
  <si>
    <t>#FNSDSAL2{20406%;31;180;;E}/1000</t>
  </si>
  <si>
    <t>#FNSDSAL2{20406%;181;365;;E}/1000</t>
  </si>
  <si>
    <t>#FNSDSAL2{20406%;366;3660;;E}/1000</t>
  </si>
  <si>
    <t>#FNSDSAL2{20606%;;30;;E}/1000</t>
  </si>
  <si>
    <t>#FNSDSAL2{20606%;31;180;;E}/1000</t>
  </si>
  <si>
    <t>#FNSDSAL2{20606%;181;365;;E}/1000</t>
  </si>
  <si>
    <t>#FNSDSAL2{20606%;366;3660;;E}/1001</t>
  </si>
  <si>
    <t>#FN4{7;12701-12709,15101,15105}</t>
  </si>
  <si>
    <t>#FN4{;12401-12409,14801,14809}</t>
  </si>
  <si>
    <t>#FNOBES{12901,12909,15301,15305,11101,13301,13309,14301,14305,15609;10;6;24;;E}</t>
  </si>
  <si>
    <t xml:space="preserve"> 1- срочная</t>
  </si>
  <si>
    <t>1- просрочка</t>
  </si>
  <si>
    <t xml:space="preserve"> 3- срочная</t>
  </si>
  <si>
    <t>3- просрочка</t>
  </si>
  <si>
    <t xml:space="preserve"> 2- срочная</t>
  </si>
  <si>
    <t>2- просрочка</t>
  </si>
  <si>
    <t xml:space="preserve"> 4 - срочная</t>
  </si>
  <si>
    <t>4- просрочка</t>
  </si>
  <si>
    <t>#FN4{2;12401-12409,14801,14809}</t>
  </si>
  <si>
    <t>#FN4{2;12601-12609,15001,15005}</t>
  </si>
  <si>
    <t>#FNOBES{13201,13209,15401,15405,11101,13301,13309,14301,14305;04;5;24;;E}</t>
  </si>
  <si>
    <t>#FNOBES{13201,13209,15401,15405,11101,13301,13309,14301,14305;04;5;31,32,33,34,35,36,37;;E}</t>
  </si>
  <si>
    <t>#FNOBES{13201,13209,15401,15405,11101,13301,13309,14301,14305;04;5;29;;E}</t>
  </si>
  <si>
    <t>#FNOBES{13201,13209,15401,15405,11101,13301,13309,14301,14305;04;5;42;;E}</t>
  </si>
  <si>
    <t>#FNOBES{13201,13209,15401,15405,11101,13301,13309,14301,14305;04;5;61;;E}</t>
  </si>
  <si>
    <t>#FNOBES{12301,12309,14701,14705,11101,13301,13309,14301,14305;01;5;25;;E}</t>
  </si>
  <si>
    <t>#FNOBES{12301,12309,14701,14705,11101,13301,13309,14301,14305;01;5;23;;E}</t>
  </si>
  <si>
    <t>#FNOBES{12301,12309,14701,14705,11101,13301,13309,14301,14305;01;5;26;;E}</t>
  </si>
  <si>
    <t>#FNOBES{12301,12309,14701,14705,11101,13301,13309,14301,14305;01;5;24;;E}</t>
  </si>
  <si>
    <t>#FNOBES{12301,12309,14701,14705,11101,13301,13309,14301,14305;01;5;31,32,33,34,35,36,37;;E}</t>
  </si>
  <si>
    <t>#FNOBES{12301,12309,14701,14705,11101,13301,13309,14301,14305;01;5;29;;E}</t>
  </si>
  <si>
    <t>#FNOBES{12301,12309,14701,14705,11101,13301,13309,14301,14305;01;5;42;;E}</t>
  </si>
  <si>
    <t>#FNOBES{12301,12309,14701,14705,11101,13301,13309,14301,14305;01;5;61;;E}</t>
  </si>
  <si>
    <t>#FNOBES{12401,12409,14801,14809,11101,13301,13309,14301,14305;12;6;25;;E}</t>
  </si>
  <si>
    <t>#FNOBES{12401,12409,14801,14809,11101,13301,13309,14301,14305;12;6;23;;E}</t>
  </si>
  <si>
    <t>Бюджетные организации</t>
  </si>
  <si>
    <t>2лет</t>
  </si>
  <si>
    <t>Общая сумма балансовых рисковых активов</t>
  </si>
  <si>
    <t>Фактор пересчета кредита</t>
  </si>
  <si>
    <t>(Е)</t>
  </si>
  <si>
    <t>(Ж)</t>
  </si>
  <si>
    <t xml:space="preserve">      б. Минус: Резерв возможных убытков по купленным векселям</t>
  </si>
  <si>
    <t>Наименование экономического норматива</t>
  </si>
  <si>
    <t>Формула</t>
  </si>
  <si>
    <t xml:space="preserve">Минус: Убыток за текущий год </t>
  </si>
  <si>
    <t xml:space="preserve">Итого нераспределенная прибыль </t>
  </si>
  <si>
    <t>22. Субординированные долговые обязательства</t>
  </si>
  <si>
    <t>Нормативы по операциям с ценными бумагами</t>
  </si>
  <si>
    <t>4.1</t>
  </si>
  <si>
    <t xml:space="preserve">Максимальный размер инвестиций в ценные бумаги одного эмитента </t>
  </si>
  <si>
    <t xml:space="preserve">     а. Ценные бумаги</t>
  </si>
  <si>
    <t xml:space="preserve">     б. Драгоценные металлы, монеты, камни</t>
  </si>
  <si>
    <t>е.  ИТОГО ПРОЦЕНТНЫХ ДОХОДОВ ПО ИНВЕСТИЦИЯМ</t>
  </si>
  <si>
    <t>5.  ДРУГИЕ ПРОЦЕНТНЫЕ ДОХОДЫ</t>
  </si>
  <si>
    <t>Клиент</t>
  </si>
  <si>
    <t>#FN5{2;12105,12305,12505,12605,12705,12905,13005,13105,13205,13305,15617,11103;1-30}</t>
  </si>
  <si>
    <t>#FN5{2;12105,12305,12505,12605,12705,12905,13005,13105,13205,13305,15617,11103;31-60}</t>
  </si>
  <si>
    <t>#FN5{2;12105,12305,12505,12605,12705,12905,13005,13105,13205,13305,15617,11103;61-90}</t>
  </si>
  <si>
    <t>#FN5{2;12105,12305,12505,12605,12705,12905,13005,13105,13205,13305,15617,11103;91-180}</t>
  </si>
  <si>
    <t>#FN5{2;12105,12305,12505,12605,12705,12905,13005,13105,13205,13305,15617,11103;181-365}</t>
  </si>
  <si>
    <t>#FN5{2;12105,12305,12505,12605,12705,12905,13005,13105,13205,13305,15617,11103;366-730}</t>
  </si>
  <si>
    <t>#FN1{20207,20212,20216-20296,22602,22604,22606,22608,22610,22612,22614,22619,22620,22622,22624,22626,22628,22696}</t>
  </si>
  <si>
    <t>#FN9{20207,20212,20216-20296,22602,22604,22606,22608,22610,22612,22614,22619,22620,22622,22624,22626,22628,22696}</t>
  </si>
  <si>
    <t>#FNECTC{15701,15705;03;2;;E}</t>
  </si>
  <si>
    <t>#FNECTC{15701,15705;09;2;;E}</t>
  </si>
  <si>
    <t>#FNECTC{15701,15705;04;2;;E}</t>
  </si>
  <si>
    <t>#FNECTC{15701,15705;01;2;;E}</t>
  </si>
  <si>
    <t>#FNECTC{15701,15705;12;5;;E}</t>
  </si>
  <si>
    <t>#FNECTC{15701,15705;08;5;;E}</t>
  </si>
  <si>
    <t>#FNECTC{15701,15705;11;5;;E}</t>
  </si>
  <si>
    <t>#FNECTC{12601,12609,15001,15005,11101,13301,13309,14301,14305,15605;11;;;E}</t>
  </si>
  <si>
    <t>#FNECTC{12701,12709,15101,15105,11101,13301,13309,14301,14305,15607;02;;;E}</t>
  </si>
  <si>
    <t>#FNOBES{12501,12509,14901,14905,11101,13301,13309,14301,14305,15603;08;1;26;;E}</t>
  </si>
  <si>
    <t>#FNOBES{12501,12509,14901,14905,11101,13301,13309,14301,14305,15603;08;1;24;;E}</t>
  </si>
  <si>
    <t>10. Равно: Текущий Баланс, Нераспределенная прибыль</t>
  </si>
  <si>
    <t>из них</t>
  </si>
  <si>
    <t>#FN4{;12501-12509,14901,14905}</t>
  </si>
  <si>
    <t>#FN4{;12601-12609,15001,15005}</t>
  </si>
  <si>
    <t>#FN4{;12701-12709,15101,15105}</t>
  </si>
  <si>
    <t>{A}</t>
  </si>
  <si>
    <t>8.  ОЦЕНКА НЕКРЕДИТНЫХ УБЫТКОВ</t>
  </si>
  <si>
    <t>#FN1{452}</t>
  </si>
  <si>
    <t>#FN1{454}</t>
  </si>
  <si>
    <t>#FN1{456}</t>
  </si>
  <si>
    <t>#FN1{457,458}</t>
  </si>
  <si>
    <t>#FN1{459}</t>
  </si>
  <si>
    <t>#FN1{551}</t>
  </si>
  <si>
    <t>#FN1{553}</t>
  </si>
  <si>
    <t>#FN1{556}</t>
  </si>
  <si>
    <t>#FN1{557,558}</t>
  </si>
  <si>
    <t>#FN1{559}</t>
  </si>
  <si>
    <t>#FN1{561}</t>
  </si>
  <si>
    <t>#FN1{562}</t>
  </si>
  <si>
    <t>#FN1{563}</t>
  </si>
  <si>
    <t>#FN1{564}</t>
  </si>
  <si>
    <t>#FN5{6;12105,12305,12505,12605,12705,12905,13005,13105,13205,13305,15617,11103;91-180}</t>
  </si>
  <si>
    <t>#FNOBES{12601,12609,15001,15005,11101,13301,13309,14301,14305,15605;11;;42;;E}</t>
  </si>
  <si>
    <t>#FNOBES{12601,12609,15001,15005,11101,13301,13309,14301,14305,15605;11;;61;;E}</t>
  </si>
  <si>
    <t>#FNOBES{12701,12709,15101,15105,11101,13301,13309,14301,14305,15607;02;;25;;E}</t>
  </si>
  <si>
    <t>#FNECTCP{11103,11105,13005,13305,15617,15701,15705;03;1;;E}</t>
  </si>
  <si>
    <t>#FNECTCP{11103,11105,13105,13305,15617,15701,15705;09;1;;E}</t>
  </si>
  <si>
    <t>#FNECTCP{11103,11105,13205,13305,15617,15701,15705;04;1;;E}</t>
  </si>
  <si>
    <t>#FN1{10709-10799,10809-10899,158,15909-15999}</t>
  </si>
  <si>
    <t xml:space="preserve"> 5 - срочная</t>
  </si>
  <si>
    <t>5- просрочка</t>
  </si>
  <si>
    <t>#FN1{10301,10305,10307,10311}</t>
  </si>
  <si>
    <t>#FN1{21002,21006,21008}</t>
  </si>
  <si>
    <t>#FNOBES{13001,13009,15201,15205,11101,13301,13309,14301,14305,15611;03;2;61;;E}</t>
  </si>
  <si>
    <t>#FNOBES{12701,12709,15101,15105,11101,13301,13309,14301,14305,15607;02;1;25;;E}</t>
  </si>
  <si>
    <t>#FNOBES{12701,12709,15101,15105,11101,13301,13309,14301,14305,15607;02;1;23;;E}</t>
  </si>
  <si>
    <t>#FNECTCP{12901,12909,15301,15305,11101,13301,13309,14301,14305,15609;10;;;E}</t>
  </si>
  <si>
    <t>#FNECTCP{13001,13009,15201,15205,11101,13301,13309,14301,14305,15611;03;;;E}</t>
  </si>
  <si>
    <t>#FNECTCP{13201,13209,15401,15405,11101,13301,13309,14301,14305;04;;;E}</t>
  </si>
  <si>
    <t>#FNOBES{12401,12409,14801,14809,11101,13301,13309,14301,14305;12;;42;;E}</t>
  </si>
  <si>
    <t>#FNOBES{12401,12409,14801,14809,11101,13301,13309,14301,14305;12;;61;;E}</t>
  </si>
  <si>
    <t>#FNECTCP{11103,11105,13105,13305,15617,15701,15705;09;2;;E}</t>
  </si>
  <si>
    <t>#FNECTC{12901,12909,15301,15305,11101,13301,13309,14301,14305,15609;10;;;E}</t>
  </si>
  <si>
    <t>#FNECTC{13001,13009,15201,15205,11101,13301,13309,14301,14305,15611;03;;;E}</t>
  </si>
  <si>
    <t>#FNECTC{13201,13209,15401,15405,11101,13301,13309,14301,14305;04;;;E}</t>
  </si>
  <si>
    <t>#FN5{6;12105,12305,12505,12605,12705,12905,13005,13105,13205,13305,15617,11103;181-365}</t>
  </si>
  <si>
    <t>#FNECTCP{11103,11105,12305,13305,15617,15701,15705;01;1;;E}</t>
  </si>
  <si>
    <t>#FNOBES{12901,12909,15301,15305,11101,13301,13309,14301,14305,15609;10;;42;;E}</t>
  </si>
  <si>
    <t>#FNOBES{12901,12909,15301,15305,11101,13301,13309,14301,14305,15609;10;;61;;E}</t>
  </si>
  <si>
    <t>#FNOBES{13001,13009,15201,15205,11101,13301,13309,14301,14305,15611;03;;25;;E}</t>
  </si>
  <si>
    <t>#FNOBES{13001,13009,15201,15205,11101,13301,13309,14301,14305,15611;03;;23;;E}</t>
  </si>
  <si>
    <t>#FNOBES{13001,13009,15201,15205,11101,13301,13309,14301,14305,15611;03;;26;;E}</t>
  </si>
  <si>
    <t>#FNOBES{13001,13009,15201,15205,11101,13301,13309,14301,14305,15611;03;;24;;E}</t>
  </si>
  <si>
    <t>#FN1{90944,90951}</t>
  </si>
  <si>
    <t>#FN1{927}</t>
  </si>
  <si>
    <t>#FN1{101,109}</t>
  </si>
  <si>
    <t xml:space="preserve">    в. Процентные доходы по купленным векселям</t>
  </si>
  <si>
    <t xml:space="preserve">    г. Процентные доходы по инвестициям       </t>
  </si>
  <si>
    <t xml:space="preserve">    д. Процентные доходы по счетам купли-продажи ценных бумаг</t>
  </si>
  <si>
    <t xml:space="preserve">     к. Итого процентных расходов по займам</t>
  </si>
  <si>
    <t xml:space="preserve">     л. Итого процентных расходов</t>
  </si>
  <si>
    <t>Общая сумма балансовых рисковых активов, по группам риска</t>
  </si>
  <si>
    <t xml:space="preserve">      а. Брутто ссуды</t>
  </si>
  <si>
    <t xml:space="preserve">      б. Лизинговые операции, Брутто</t>
  </si>
  <si>
    <t>#FN1{10999}</t>
  </si>
  <si>
    <t>хорошие</t>
  </si>
  <si>
    <t xml:space="preserve">3. К получению из других банков </t>
  </si>
  <si>
    <t>#FNECTCP{11103,11105,13205,13305,15617,15701,15705;04;2;;E}</t>
  </si>
  <si>
    <t>#FNECTCP{11103,11105,12305,13305,15617,15701,15705;01;2;;E}</t>
  </si>
  <si>
    <t>#FNECTCP{11103,11105,12405,13305,15617,15701,15705;12;5;;E}</t>
  </si>
  <si>
    <t>#FNECTCP{11103,11105,12505,13305,15617,15703,15705;08;5;;E}</t>
  </si>
  <si>
    <t>#FNECTCP{11103,11105,12605,13305,15617,15701,15705;11;5;;E}</t>
  </si>
  <si>
    <t>#FNECTCP{11103,11105,12705,13305,15617,15701,15705;02;5;;E}</t>
  </si>
  <si>
    <t>#FNECTCP{11103,11105,12905,13305,15617,15701,15705;10;5;;E}</t>
  </si>
  <si>
    <t>#FNOBES{12901,12909,15301,15305,11101,13301,13309,14301,14305,15609;10;1;21,22;;E}</t>
  </si>
  <si>
    <t>#FNOBES{13001,13009,15201,15205,11101,13301,13309,14301,14305,15611;03;1;21,22;;E}</t>
  </si>
  <si>
    <t>#FNOBES{13101,13109,15501,15505,11101,13301,13309,14301,14305,15613;09;1;21,22;;E}</t>
  </si>
  <si>
    <t>#FNOBES{13201,13209,15401,15405,11101,13301,13309,14301,14305;04;1;21,22;;E}</t>
  </si>
  <si>
    <t>#FNOBES{12301,12309,14701,14705,11101,13301,13309,14301,14305;01;1;21,22;;E}</t>
  </si>
  <si>
    <t>#FNOBES{12401,12409,14801,14809,11101,13301,13309,14301,14305;12;2;21,22;;E}</t>
  </si>
  <si>
    <t>#FNOBES{12501,12509,14901,14905,11101,13301,13309,14301,14305,15603;08;2;21,22;;E}</t>
  </si>
  <si>
    <t>#FNOBES{12601,12609,15001,15005,11101,13301,13309,14301,14305,15605;11;2;21,22;;E}</t>
  </si>
  <si>
    <t>#FNOBES{12701,12709,15101,15105,11101,13301,13309,14301,14305,15607;02;2;21,22;;E}</t>
  </si>
  <si>
    <t>#FNOBES{12901,12909,15301,15305,11101,13301,13309,14301,14305,15609;10;2;21,22;;E}</t>
  </si>
  <si>
    <t>#FNOBES{13001,13009,15201,15205,11101,13301,13309,14301,14305,15611;03;2;21,22;;E}</t>
  </si>
  <si>
    <t>#FNOBES{13101,13109,15501,15505,11101,13301,13309,14301,14305,15613;09;2;21,22;;E}</t>
  </si>
  <si>
    <t>#FNOBES{13201,13209,15401,15405,11101,13301,13309,14301,14305;04;2;21,22;;E}</t>
  </si>
  <si>
    <t>#FNOBES{12301,12309,14701,14705,11101,13301,13309,14301,14305;01;2;21,22;;E}</t>
  </si>
  <si>
    <t>#FNOBES{12401,12409,14801,14809,11101,13301,13309,14301,14305;12;5;21,22;;E}</t>
  </si>
  <si>
    <t>#FNOBES{12501,12509,14901,14905,11101,13301,13309,14301,14305,15603;08;5;21,22;;E}</t>
  </si>
  <si>
    <t>#FNOBES{12601,12609,15001,15005,11101,13301,13309,14301,14305,15605;11;5;21,22;;E}</t>
  </si>
  <si>
    <t>#FNOBES{111,123,124,125,126,127,129,130,131,132,133;;;25;;E}</t>
  </si>
  <si>
    <t>#FNOBES{143,147,148,149,150,151,152,153,154,155,156,157;;;25;;E}</t>
  </si>
  <si>
    <t>#FNOBES{111,123,124,125,126,127,129,130,131,132,133;;;31;;E}</t>
  </si>
  <si>
    <t>10. Основные средства, чистые</t>
  </si>
  <si>
    <t>11. Начисленные проценты к получению</t>
  </si>
  <si>
    <t>#FNOBES{12501,12509,14901,14905,11101,13301,13309,14301,14305,15603;08;1;25;;E}</t>
  </si>
  <si>
    <t>#FNOBES{12501,12509,14901,14905,11101,13301,13309,14301,14305,15603;08;1;23;;E}</t>
  </si>
  <si>
    <t>#FNOBES{13001,13009,15201,15205,11101,13301,13309,14301,14305,15611;03;6;24;;E}</t>
  </si>
  <si>
    <t>#FNOBES{13001,13009,15201,15205,11101,13301,13309,14301,14305,15611;03;6;31,32,33,34,35,36,37;;E}</t>
  </si>
  <si>
    <t>#FNOBES{13001,13009,15201,15205,11101,13301,13309,14301,14305,15611;03;6;29;;E}</t>
  </si>
  <si>
    <t>#FNOBES{13001,13009,15201,15205,11101,13301,13309,14301,14305,15611;03;6;42;;E}</t>
  </si>
  <si>
    <t>#FNOBES{13001,13009,15201,15205,11101,13301,13309,14301,14305,15611;03;6;61;;E}</t>
  </si>
  <si>
    <t>#FNOBES{13101,13109,15501,15505,11101,13301,13309,14301,14305,15613;09;6;25;;E}</t>
  </si>
  <si>
    <t>#FNOBES{13101,13109,15501,15505,11101,13301,13309,14301,14305,15613;09;6;23;;E}</t>
  </si>
  <si>
    <t>#FNOBES{13101,13109,15501,15505,11101,13301,13309,14301,14305,15613;09;6;26;;E}</t>
  </si>
  <si>
    <t>#FNOBES{13101,13109,15501,15505,11101,13301,13309,14301,14305,15613;09;6;24;;E}</t>
  </si>
  <si>
    <t>#FNOBES{13101,13109,15501,15505,11101,13301,13309,14301,14305,15613;09;6;31,32,33,34,35,36,37;;E}</t>
  </si>
  <si>
    <t>#FNOBES{13101,13109,15501,15505,11101,13301,13309,14301,14305,15613;09;6;29;;E}</t>
  </si>
  <si>
    <t>#FNOBES{13101,13109,15501,15505,11101,13301,13309,14301,14305,15613;09;6;42;;E}</t>
  </si>
  <si>
    <t>#FN5{9;12105,12305,12505,12605,12705,12905,13005,13105,13205,13305,15617,11103;1-30}</t>
  </si>
  <si>
    <t>#FN5{9;12105,12305,12505,12605,12705,12905,13005,13105,13205,13305,15617,11103;31-60}</t>
  </si>
  <si>
    <t>#FN5{9;12105,12305,12505,12605,12705,12905,13005,13105,13205,13305,15617,11103;61-90}</t>
  </si>
  <si>
    <t>#FN5{9;12105,12305,12505,12605,12705,12905,13005,13105,13205,13305,15617,11103;366-730}</t>
  </si>
  <si>
    <t>#FNECTCO{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5;;E}</t>
  </si>
  <si>
    <t>#FNECTCR{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5;;E}</t>
  </si>
  <si>
    <t xml:space="preserve">      в. Купленные векселя, чистые</t>
  </si>
  <si>
    <t>#FNOBES{12601,12609,15001,15005,11101,13301,13309,14301,14305,15605;11;5;26;;E}</t>
  </si>
  <si>
    <t>#FNOBES{12601,12609,15001,15005,11101,13301,13309,14301,14305,15605;11;5;24;;E}</t>
  </si>
  <si>
    <t>сумма В и Г</t>
  </si>
  <si>
    <t>4. Итого драгоценных металлов</t>
  </si>
  <si>
    <t>5. Минус: Резерв возможных убытков</t>
  </si>
  <si>
    <t>Изменения в резерве возможных убытков по ссудам и лизингу</t>
  </si>
  <si>
    <t>1. Остаток на начало текущего года</t>
  </si>
  <si>
    <t>2. Плюс: Возвращенные платежи</t>
  </si>
  <si>
    <t>Были ли случаи, что банк не смог выплатить вкладчику основную сумму вклада или же процент в течение квартала?</t>
  </si>
  <si>
    <t>н</t>
  </si>
  <si>
    <t>9. Обязательства клиентов по финансовым инструментам</t>
  </si>
  <si>
    <t>#FNOBES{12901,12909,15301,15305,11101,13301,13309,14301,14305,15609;10;5;24;;E}</t>
  </si>
  <si>
    <t>#FNOBES{12901,12909,15301,15305,11101,13301,13309,14301,14305,15609;10;5;31,32,33,34,35,36,37;;E}</t>
  </si>
  <si>
    <t>#FNOBES{12901,12909,15301,15305,11101,13301,13309,14301,14305,15609;10;5;29;;E}</t>
  </si>
  <si>
    <t>#FNOBES{12901,12909,15301,15305,11101,13301,13309,14301,14305,15609;10;5;61;;E}</t>
  </si>
  <si>
    <t>#FNECTC{15701,15705;11;6;;E}</t>
  </si>
  <si>
    <t>#FNOBES{12601,12609,15001,15005,11101,13301,13309,14301,14305,15605;11;9;42;;E}</t>
  </si>
  <si>
    <t>#FNOBES{12601,12609,15001,15005,11101,13301,13309,14301,14305,15605;11;9;61;;E}</t>
  </si>
  <si>
    <t>#FNECTCP{11103,11105,12605,13305,15617,15701,15705;11;9;;E}</t>
  </si>
  <si>
    <t>#FNECTC{13001,13009,15201,15205,11101,13301,13309,14301,14305,15611;03;9;;E}</t>
  </si>
  <si>
    <t>#FNECTC{15701,15705;03;9;;E}</t>
  </si>
  <si>
    <t>#FNECTCP{13001,13009,15201,15205,11101,13301,13309,14301,14305,15611;03;9;;E}</t>
  </si>
  <si>
    <t>#FNOBES{13001,13009,15201,15205,11101,13301,13309,14301,14305,15611;03;9;25;;E}</t>
  </si>
  <si>
    <t>#FNOBES{13001,13009,15201,15205,11101,13301,13309,14301,14305,15611;03;9;23;;E}</t>
  </si>
  <si>
    <t>#FNOBES{13001,13009,15201,15205,11101,13301,13309,14301,14305,15611;03;9;26;;E}</t>
  </si>
  <si>
    <t>#FNOBES{13001,13009,15201,15205,11101,13301,13309,14301,14305,15611;03;9;21,22;;E}</t>
  </si>
  <si>
    <t>#FNOBES{13001,13009,15201,15205,11101,13301,13309,14301,14305,15611;03;9;24;;E}</t>
  </si>
  <si>
    <t>Нормативы по лизинговым услугам оказываемых банками</t>
  </si>
  <si>
    <t>срочные+рестр</t>
  </si>
  <si>
    <t>#FNOBES{12301,12309,14701,14705,11101,13301,13309,14301,14305;01;8;24;;E}</t>
  </si>
  <si>
    <t>#FNOBES{12301,12309,14701,14705,11101,13301,13309,14301,14305;01;8;31,32,33,34,35,36,37;;E}</t>
  </si>
  <si>
    <t>#FNOBES{12301,12309,14701,14705,11101,13301,13309,14301,14305;01;8;29;;E}</t>
  </si>
  <si>
    <t xml:space="preserve">     и. Другие процентные расходы</t>
  </si>
  <si>
    <t>4. Плюс или Минус: Кумулятивная чистая прибыль (Убытки) в текущем году</t>
  </si>
  <si>
    <t>5. Минус: Денежные дивиденды объявленные по обыкновенным акциям</t>
  </si>
  <si>
    <t>#FNOBES{13001,13009,15201,15205,11101,13301,13309,14301,14305,15611;03;1;23;;E}</t>
  </si>
  <si>
    <t>#FNOBES{13001,13009,15201,15205,11101,13301,13309,14301,14305,15611;03;1;26;;E}</t>
  </si>
  <si>
    <t>#FNOBES{13001,13009,15201,15205,11101,13301,13309,14301,14305,15611;03;1;24;;E}</t>
  </si>
  <si>
    <t>#FNOBES{13001,13009,15201,15205,11101,13301,13309,14301,14305,15611;03;1;31,32,33,34,35,36,37;;E}</t>
  </si>
  <si>
    <t>#FNOBES{13001,13009,15201,15205,11101,13301,13309,14301,14305,15611;03;1;29;;E}</t>
  </si>
  <si>
    <t>#FNOBES{13001,13009,15201,15205,11101,13301,13309,14301,14305,15611;03;1;42;;E}</t>
  </si>
  <si>
    <t>#FNOBES{13001,13009,15201,15205,11101,13301,13309,14301,14305,15611;03;1;61;;E}</t>
  </si>
  <si>
    <t>#FNOBES{13101,13109,15501,15505,11101,13301,13309,14301,14305,15613;09;1;25;;E}</t>
  </si>
  <si>
    <t>#FNOBES{13101,13109,15501,15505,11101,13301,13309,14301,14305,15613;09;1;23;;E}</t>
  </si>
  <si>
    <t>#FNOBES{13101,13109,15501,15505,11101,13301,13309,14301,14305,15613;09;1;26;;E}</t>
  </si>
  <si>
    <t>#FNOBES{13101,13109,15501,15505,11101,13301,13309,14301,14305,15613;09;1;24;;E}</t>
  </si>
  <si>
    <t>#FNOBES{13101,13109,15501,15505,11101,13301,13309,14301,14305,15613;09;1;31,32,33,34,35,36,37;;E}</t>
  </si>
  <si>
    <t>#FNOBES{13101,13109,15501,15505,11101,13301,13309,14301,14305,15613;09;1;29;;E}</t>
  </si>
  <si>
    <t>#FNOBES{13101,13109,15501,15505,11101,13301,13309,14301,14305,15613;09;1;42;;E}</t>
  </si>
  <si>
    <t>#FNOBES{13101,13109,15501,15505,11101,13301,13309,14301,14305,15613;09;1;61;;E}</t>
  </si>
  <si>
    <t>#FNOBES{13201,13209,15401,15405,11101,13301,13309,14301,14305;04;1;25;;E}</t>
  </si>
  <si>
    <t>Обязательства по выдаче кредита</t>
  </si>
  <si>
    <t>a</t>
  </si>
  <si>
    <t>#FNECTCP{11103,11105,12505,13305,15617,15703,15705;08;2;;E}</t>
  </si>
  <si>
    <t>#FNECTCP{11103,11105,12605,13305,15617,15701,15705;11;2;;E}</t>
  </si>
  <si>
    <t>#FNECTCP{11103,11105,12705,13305,15617,15701,15705;02;2;;E}</t>
  </si>
  <si>
    <t>#FN5{8;12105,12305,12505,12605,12705,12905,13005,13105,13205,13305,15617,11103;1-30}</t>
  </si>
  <si>
    <t>#FN5{8;12105,12305,12505,12605,12705,12905,13005,13105,13205,13305,15617,11103;31-60}</t>
  </si>
  <si>
    <t>#FN5{8;12105,12305,12505,12605,12705,12905,13005,13105,13205,13305,15617,11103;61-90}</t>
  </si>
  <si>
    <t>#FN5{8;12105,12305,12505,12605,12705,12905,13005,13105,13205,13305,15617,11103;91-180}</t>
  </si>
  <si>
    <t>#FN5{8;12105,12305,12505,12605,12705,12905,13005,13105,13205,13305,15617,11103;181-365}</t>
  </si>
  <si>
    <t>#FN5{8;12105,12305,12505,12605,12705,12905,13005,13105,13205,13305,15617,11103;366-730}</t>
  </si>
  <si>
    <t>ВЫВЕРКА НЕРАСПРЕДЕЛЕННОЙ ПРИБЫЛИ</t>
  </si>
  <si>
    <t>14.</t>
  </si>
  <si>
    <t>В</t>
  </si>
  <si>
    <t>Г</t>
  </si>
  <si>
    <t>Часть 1. Ликвидные активы</t>
  </si>
  <si>
    <t>в тыс. сум</t>
  </si>
  <si>
    <t>#FN1{50616,50618,50621,50626,54204}</t>
  </si>
  <si>
    <t>#FN1{51101,51103,51104,51105,51107}</t>
  </si>
  <si>
    <t>#FN1{51116,51118,51121,51126,54206}</t>
  </si>
  <si>
    <t>#FN9{20612,20616-20696,23606}</t>
  </si>
  <si>
    <t>#FN1{15913}</t>
  </si>
  <si>
    <t>#FNOBES{12701,12709,15101,15105,11101,13301,13309,14301,14305,15607;02;2;42;;E}</t>
  </si>
  <si>
    <t>#FNOBES{12701,12709,15101,15105,11101,13301,13309,14301,14305,15607;02;2;61;;E}</t>
  </si>
  <si>
    <t xml:space="preserve">     ж. Процентные расходы по ссудам к оплате</t>
  </si>
  <si>
    <t xml:space="preserve">      е. Другие депозиты</t>
  </si>
  <si>
    <t>#FNOBES{12501,12509,14901,14905,11101,13301,13309,14301,14305,15603;08;2;24;;E}</t>
  </si>
  <si>
    <t>#FNOBES{12501,12509,14901,14905,11101,13301,13309,14301,14305,15603;08;2;31,32,33,34,35,36,37;;E}</t>
  </si>
  <si>
    <t>#FNOBES{12501,12509,14901,14905,11101,13301,13309,14301,14305,15603;08;2;29;;E}</t>
  </si>
  <si>
    <t>#FNOBES{12501,12509,14901,14905,11101,13301,13309,14301,14305,15603;08;2;42;;E}</t>
  </si>
  <si>
    <t>#FNOBES{12501,12509,14901,14905,11101,13301,13309,14301,14305,15603;08;2;61;;E}</t>
  </si>
  <si>
    <t>#FNOBES{12601,12609,15001,15005,11101,13301,13309,14301,14305,15605;11;2;25;;E}</t>
  </si>
  <si>
    <t>#FNOBES{12601,12609,15001,15005,11101,13301,13309,14301,14305,15605;11;2;23;;E}</t>
  </si>
  <si>
    <t>#FNOBES{12601,12609,15001,15005,11101,13301,13309,14301,14305,15605;11;2;26;;E}</t>
  </si>
  <si>
    <t>#FNOBES{12601,12609,15001,15005,11101,13301,13309,14301,14305,15605;11;2;24;;E}</t>
  </si>
  <si>
    <t>Нормативное значение</t>
  </si>
  <si>
    <t>Отклонение</t>
  </si>
  <si>
    <t xml:space="preserve">                              A</t>
  </si>
  <si>
    <t>Б</t>
  </si>
  <si>
    <t>#FN1{20614}</t>
  </si>
  <si>
    <t>#FN1{20608}</t>
  </si>
  <si>
    <t xml:space="preserve">         Центральный банк</t>
  </si>
  <si>
    <t xml:space="preserve">         Другие банки</t>
  </si>
  <si>
    <t xml:space="preserve">         Правительство</t>
  </si>
  <si>
    <t xml:space="preserve">       б. Другие поправки к прибыли, чистые</t>
  </si>
  <si>
    <t>Счета купли-продажи драгоценных предметов</t>
  </si>
  <si>
    <t>Formulas are for Original Cost only.</t>
  </si>
  <si>
    <t>ОТЧЕТ О ПРИБЫЛЯХ И УБЫТКАХ</t>
  </si>
  <si>
    <t>Категории</t>
  </si>
  <si>
    <t>Связанные со сделками</t>
  </si>
  <si>
    <t>в том числе в иностранной валюте</t>
  </si>
  <si>
    <t>#FN4{7;12301-12309,14701,14705}</t>
  </si>
  <si>
    <t>#FNOBES{12301,12309,14701,14705,11101,13301,13309,14301,14305;01;2;31,32,33,34,35,36,37;;E}</t>
  </si>
  <si>
    <t>#FN4{1;12901-12909,15301,15305}</t>
  </si>
  <si>
    <t>#FN4{1;13001-13009,15201-15205}</t>
  </si>
  <si>
    <t>#FN4{1;13101-13109,15501-15505}</t>
  </si>
  <si>
    <t>#FN4{1;13201-13209,15401-15405}</t>
  </si>
  <si>
    <t>#FNOBES{12701,12709,15101,15105,11101,13301,13309,14301,14305,15607;02;1;24;;E}</t>
  </si>
  <si>
    <t>#FNOBES{12701,12709,15101,15105,11101,13301,13309,14301,14305,15607;02;1;31,32,33,34,35,36,37;;E}</t>
  </si>
  <si>
    <t>#FNOBES{12701,12709,15101,15105,11101,13301,13309,14301,14305,15607;02;1;29;;E}</t>
  </si>
  <si>
    <t>#FNOBES{12701,12709,15101,15105,11101,13301,13309,14301,14305,15607;02;1;42;;E}</t>
  </si>
  <si>
    <t>#FNOBES{12701,12709,15101,15105,11101,13301,13309,14301,14305,15607;02;1;61;;E}</t>
  </si>
  <si>
    <t>#FNOBES{12701,12709,15101,15105,11101,13301,13309,14301,14305,15607;02;5;21,22;;E}</t>
  </si>
  <si>
    <t>#FNOBES{12901,12909,15301,15305,11101,13301,13309,14301,14305,15609;10;5;21,22;;E}</t>
  </si>
  <si>
    <t>#FNOBES{13001,13009,15201,15205,11101,13301,13309,14301,14305,15611;03;5;21,22;;E}</t>
  </si>
  <si>
    <t>#FNOBES{13101,13109,15501,15505,11101,13301,13309,14301,14305,15613;09;5;21,22;;E}</t>
  </si>
  <si>
    <t>#FNOBES{13201,13209,15401,15405,11101,13301,13309,14301,14305;04;5;21,22;;E}</t>
  </si>
  <si>
    <t>#FNOBES{12301,12309,14701,14705,11101,13301,13309,14301,14305;01;5;21,22;;E}</t>
  </si>
  <si>
    <t>#FN1{15601-15619,15705}</t>
  </si>
  <si>
    <t>Д</t>
  </si>
  <si>
    <t>Максимальный размер риска лизинговых услуг оказываемых банками</t>
  </si>
  <si>
    <t xml:space="preserve"> 6.1</t>
  </si>
  <si>
    <t xml:space="preserve"> 7.1</t>
  </si>
  <si>
    <t>Нормативы по банковским гарантиям</t>
  </si>
  <si>
    <t>#FNOBES{12901,12909,15301,15305,11101,13301,13309,14301,14305,15609;10;2;25;;E}</t>
  </si>
  <si>
    <t>#FNOBES{12901,12909,15301,15305,11101,13301,13309,14301,14305,15609;10;2;23;;E}</t>
  </si>
  <si>
    <t>#FNOBES{12901,12909,15301,15305,11101,13301,13309,14301,14305,15609;10;2;26;;E}</t>
  </si>
  <si>
    <t xml:space="preserve">#FN12{;111,12301,12309,12401,12409,12501,12509,12601,12609,12701,12709,12901,12909,13001,13009,13101,13109,13201,13209,13301,13309,1430,1470,1480,1490,1500,1510,1520,1530,1540,1550,15603-15619;31-180} </t>
  </si>
  <si>
    <t>Другие ценные бумаги</t>
  </si>
  <si>
    <t xml:space="preserve">#FN12{;111,12301,12309,12401,12409,12501,12509,12601,12609,12701,12709,12901,12909,13001,13009,13101,13109,13201,13209,13301,13309,1430,1470,1480,1490,1500,1510,1520,1530,1540,1550,15603-15619;181-365} </t>
  </si>
  <si>
    <t>Начисленные проценты к получению</t>
  </si>
  <si>
    <t>#FN31{1;1-30}</t>
  </si>
  <si>
    <t>#FN31{1;31-180}</t>
  </si>
  <si>
    <t>#FN31{1;181-365}</t>
  </si>
  <si>
    <t>#FN31{1;&gt;365}</t>
  </si>
  <si>
    <t>10. Чистая балансовая стоимость инвестиций</t>
  </si>
  <si>
    <t>#FNOBES{12701,12709,15101,15105,11101,13301,13309,14301,14305,15607;02;1;26;;E}</t>
  </si>
  <si>
    <t xml:space="preserve">Нераспределенная прибыль </t>
  </si>
  <si>
    <t>Другое обеспечение</t>
  </si>
  <si>
    <t>Код</t>
  </si>
  <si>
    <t>Нереализованная прибыль при ревальвации по сделкам "форвард"</t>
  </si>
  <si>
    <t>17.</t>
  </si>
  <si>
    <t>Счета купли-продажи валюты и валютные позиции</t>
  </si>
  <si>
    <t>18.</t>
  </si>
  <si>
    <t xml:space="preserve">Клиринговые счета </t>
  </si>
  <si>
    <t>Макс</t>
  </si>
  <si>
    <t>3.2</t>
  </si>
  <si>
    <t xml:space="preserve">в.  Ссуды Правительству и лизинговые операции </t>
  </si>
  <si>
    <t>в.  ИТОГО ПРОЦЕНТНЫХ ДОХОДОВ ПО КОР. СЧЕТАМ</t>
  </si>
  <si>
    <t>#FN1{44809}</t>
  </si>
  <si>
    <t>#FN1{44813}</t>
  </si>
  <si>
    <t>#FN1{10101-10107,10111,10198,109}</t>
  </si>
  <si>
    <t>#FN1{11105,157}</t>
  </si>
  <si>
    <t>#FN1{11103,12105,12305,12405,12505,12605,12705,12905,13005,13105,13205,13305,15617}</t>
  </si>
  <si>
    <t>#FN1{156}</t>
  </si>
  <si>
    <t>#FNOBES{12701,12709,15101,15105,11101,13301,13309,14301,14305,15607;02;7;21,22;;E}</t>
  </si>
  <si>
    <t>#FNOBES{12901,12909,15301,15305,11101,13301,13309,14301,14305,15609;10;7;21,22;;E}</t>
  </si>
  <si>
    <t>#FNOBES{13001,13009,15201,15205,11101,13301,13309,14301,14305,15611;03;7;21,22;;E}</t>
  </si>
  <si>
    <t>#FNOBES{13101,13109,15501,15505,11101,13301,13309,14301,14305,15613;09;7;21,22;;E}</t>
  </si>
  <si>
    <t>#FNOBES{13201,13209,15401,15405,11101,13301,13309,14301,14305;04;7;21,22;;E}</t>
  </si>
  <si>
    <t>#FNOBES{12301,12309,14701,14705,11101,13301,13309,14301,14305;01;7;21,22;;E}</t>
  </si>
  <si>
    <t>#FNOBES{12401,12409,14801,14809,11101,13301,13309,14301,14305;12;;21,22;;E}</t>
  </si>
  <si>
    <t>#FNOBES{12501,12509,14901,14905,11101,13301,13309,14301,14305,15603;08;;21,22;;E}</t>
  </si>
  <si>
    <t>#FNOBES{12601,12609,15001,15005,11101,13301,13309,14301,14305,15605;11;;21,22;;E}</t>
  </si>
  <si>
    <t>#FNOBES{12701,12709,15101,15105,11101,13301,13309,14301,14305,15607;02;;21,22;;E}</t>
  </si>
  <si>
    <t>#FNOBES{12901,12909,15301,15305,11101,13301,13309,14301,14305,15609;10;;21,22;;E}</t>
  </si>
  <si>
    <t>#FNOBES{13001,13009,15201,15205,11101,13301,13309,14301,14305,15611;03;;21,22;;E}</t>
  </si>
  <si>
    <t>#FNOBES{13101,13109,15501,15505,11101,13301,13309,14301,14305,15613;09;;21,22;;E}</t>
  </si>
  <si>
    <t>#FNOBES{13201,13209,15401,15405,11101,13301,13309,14301,14305;04;;21,22;;E}</t>
  </si>
  <si>
    <t>#FNOBES{12101,12109,14501,14505,11101,13301,13309,14301,14305,15601;07;;21,22;;E}</t>
  </si>
  <si>
    <t>#FNOBES{12301,12309,14701,14705,11101,13301,13309,14301,14305;01;;21,22;;E}</t>
  </si>
  <si>
    <t>б. Другие процентные доходы</t>
  </si>
  <si>
    <t>6.  ИТОГО ПРОЦЕНТНЫХ ДОХОДОВ</t>
  </si>
  <si>
    <t>7. ПРОЦЕНТНЫЕ РАСХОДЫ ПО ДЕПОЗИТАМ</t>
  </si>
  <si>
    <t>11. ЧИСТАЯ ПРИБЫЛЬ (УБЫТКИ)</t>
  </si>
  <si>
    <t>{В}</t>
  </si>
  <si>
    <t>{Г}</t>
  </si>
  <si>
    <t>{Д}</t>
  </si>
  <si>
    <t>{Е}</t>
  </si>
  <si>
    <t>{Ж}</t>
  </si>
  <si>
    <t>#FNOBES{13101,13109,15501,15505,11101,13301,13309,14301,14305,15613;09;5;29;;E}</t>
  </si>
  <si>
    <t>#FNOBES{13101,13109,15501,15505,11101,13301,13309,14301,14305,15613;09;5;42;;E}</t>
  </si>
  <si>
    <t>#FNOBES{13101,13109,15501,15505,11101,13301,13309,14301,14305,15613;09;5;61;;E}</t>
  </si>
  <si>
    <t>#FNOBES{13201,13209,15401,15405,11101,13301,13309,14301,14305;04;5;25;;E}</t>
  </si>
  <si>
    <t>#FNOBES{13201,13209,15401,15405,11101,13301,13309,14301,14305;04;5;23;;E}</t>
  </si>
  <si>
    <t>#FNOBES{13201,13209,15401,15405,11101,13301,13309,14301,14305;04;5;26;;E}</t>
  </si>
  <si>
    <t>#FN1{20602-20605}</t>
  </si>
  <si>
    <t>#FN9{20602-20605}</t>
  </si>
  <si>
    <t>#FNOBES{12401,12409,14801,14809,11101,13301,13309,14301,14305;12;1;25;;E}</t>
  </si>
  <si>
    <t>#FNOBES{12401,12409,14801,14809,11101,13301,13309,14301,14305;12;1;23;;E}</t>
  </si>
  <si>
    <t>#FNOBES{12501,12509,14901,14905,11101,13301,13309,14301,14305,15603;08;;24;;E}</t>
  </si>
  <si>
    <t>#FNOBES{12501,12509,14901,14905,11101,13301,13309,14301,14305,15603;08;;31,32,33,34,35,36,37;;E}</t>
  </si>
  <si>
    <t>#FNOBES{12501,12509,14901,14905,11101,13301,13309,14301,14305,15603;08;;29;;E}</t>
  </si>
  <si>
    <t>#FNOBES{12501,12509,14901,14905,11101,13301,13309,14301,14305,15603;08;;42;;E}</t>
  </si>
  <si>
    <t>#FNECTC{12109,14505,13309,14305,15619;07;;;E}</t>
  </si>
  <si>
    <t>#FNECTC{12309,14705,13309,14305,15619;01;;;E}</t>
  </si>
  <si>
    <t>#FNECTC{12409,14809,13309,14305,15619;12;;;E}</t>
  </si>
  <si>
    <t>#FNECTC{12609,15005,13309,14305,15619;11;;;E}</t>
  </si>
  <si>
    <t>#FNECTC{12709,15105,13309,14305,15619;02;;;E}</t>
  </si>
  <si>
    <t>#FNOBES{12901,12909,15301,15305,11101,13301,13309,14301,14305,15609;10;2;29;;E}</t>
  </si>
  <si>
    <t>#FNECTC{15701,15705;12;1;;E}</t>
  </si>
  <si>
    <t>#FNECTC{15701,15705;08;1;;E}</t>
  </si>
  <si>
    <t>#FNECTC{15701,15705;11;1;;E}</t>
  </si>
  <si>
    <t>#FNECTC{15701,15705;02;1;;E}</t>
  </si>
  <si>
    <t>#FNECTC{15701,15705;10;1;;E}</t>
  </si>
  <si>
    <t>#FNECTCO{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4;;E}</t>
  </si>
  <si>
    <t>Наличность и другие кассовые документы</t>
  </si>
  <si>
    <t>2.</t>
  </si>
  <si>
    <t>3.</t>
  </si>
  <si>
    <t>К получению из других банков</t>
  </si>
  <si>
    <t>4.</t>
  </si>
  <si>
    <t>Счета купли и продажи, чистые</t>
  </si>
  <si>
    <t>5.</t>
  </si>
  <si>
    <t>Купленные векселя, чистые</t>
  </si>
  <si>
    <t>6.</t>
  </si>
  <si>
    <t>#FN1{15901,15905}</t>
  </si>
  <si>
    <t>а. Процентные доходы по соглашениям о покупке ц/б c обратным выкупом</t>
  </si>
  <si>
    <t>Инвестиции в капитал неконсолидированных банковских и небанковских финансовых дочерних компаний и всех нефинансовых предприятий</t>
  </si>
  <si>
    <t>Все другие инвестиции, чистые</t>
  </si>
  <si>
    <t>#FN1{15909}</t>
  </si>
  <si>
    <t>#FN1{15911}</t>
  </si>
  <si>
    <t>#FN1{15899,15999}</t>
  </si>
  <si>
    <t xml:space="preserve">б.  Ссуды  другим банкам и лизинговые операции </t>
  </si>
  <si>
    <t>РАЗНАЯ ИНФОРМАЦИЯ</t>
  </si>
  <si>
    <t>#FNECTCP{12701,12709,15101,15105,11101,13301,13309,14301,14305,15607;02;;;E}</t>
  </si>
  <si>
    <t>#FNECTC{13101,13109,15501,15505,11101,13301,13309,14301,14305,15613;09;6;;E}</t>
  </si>
  <si>
    <t>#FNECTC{13201,13209,15401,15405,11101,13301,13309,14301,14305;04;6;;E}</t>
  </si>
  <si>
    <t>#FNECTC{12301,12309,14701,14705,11101,13301,13309,14301,14305;01;6;;E}</t>
  </si>
  <si>
    <t>#FNECTC{12401,12409,14801,14809,11101,13301,13309,14301,14305;12;7;;E}</t>
  </si>
  <si>
    <t>#FNECTC{12501,12509,14901,14905,11101,13301,13309,14301,14305,15603;08;7;;E}</t>
  </si>
  <si>
    <t>#FNECTC{12601,12609,15001,15005,11101,13301,13309,14301,14305,15605;11;7;;E}</t>
  </si>
  <si>
    <t xml:space="preserve"> #FN1{10701-10795,10801-10895}</t>
  </si>
  <si>
    <t>#FNOBES{12301,12309,14701,14705,11101,13301,13309,14301,14305;01;7;25;;E}</t>
  </si>
  <si>
    <t>#FNOBES{12301,12309,14701,14705,11101,13301,13309,14301,14305;01;7;23;;E}</t>
  </si>
  <si>
    <t>#FNECTC{13201,13209,15401,15405,11101,13301,13309,14301,14305;04;7;;E}</t>
  </si>
  <si>
    <t>#FNECTC{15701,15705;02;7;;E}</t>
  </si>
  <si>
    <t>#FNECTC{15701,15705;10;7;;E}</t>
  </si>
  <si>
    <t>#FNECTC{15701,15705;03;7;;E}</t>
  </si>
  <si>
    <t>#FNECTC{15701,15705;09;7;;E}</t>
  </si>
  <si>
    <t>#FNECTC{15701,15705;04;7;;E}</t>
  </si>
  <si>
    <t>#FNECTC{15701,15705;01;7;;E}</t>
  </si>
  <si>
    <t>#FNECTC{15701,15705;12;;;E}</t>
  </si>
  <si>
    <t>#FNECTC{15701,15705;08;;;E}</t>
  </si>
  <si>
    <t>#FNECTC{15701,15705;11;;;E}</t>
  </si>
  <si>
    <t>#FNECTC{15701,15705;02;;;E}</t>
  </si>
  <si>
    <t>#FNECTC{15701,15705;10;;;E}</t>
  </si>
  <si>
    <t>#FNECTC{15701,15705;03;;;E}</t>
  </si>
  <si>
    <t>#FNECTC{15701,15705;04;;;E}</t>
  </si>
  <si>
    <t>#FNECTC{15701,15705;07;;;E}</t>
  </si>
  <si>
    <t>#FNECTC{15701,15705;01;;;E}</t>
  </si>
  <si>
    <t>#FNECTC{15701,15705;09;;;E}</t>
  </si>
  <si>
    <t>#FN1{565}</t>
  </si>
  <si>
    <t>#FN1{566}</t>
  </si>
  <si>
    <t>#FN1{567}</t>
  </si>
  <si>
    <t>#FN1{569}</t>
  </si>
  <si>
    <t>#FN1{414}</t>
  </si>
  <si>
    <t>#FN1{416,440,45101}</t>
  </si>
  <si>
    <t>#FN1{418,442}</t>
  </si>
  <si>
    <t>#FN1{420,421,441,443,45103}</t>
  </si>
  <si>
    <t>#FN1{422,444,45107}</t>
  </si>
  <si>
    <t>3. Непостоянные обязательства/ среднее активов за текущий квартал</t>
  </si>
  <si>
    <t>Стандартные</t>
  </si>
  <si>
    <t>ОТЧЕТ ОБ ИНВЕСТИЦИЯХ В ЦЕННЫЕ БУМАГИ И СЧЕТА КУПЛИ-ПРОДАЖИ АКТИВОВ</t>
  </si>
  <si>
    <t>в.  Ценные бумаги государственных корпораций</t>
  </si>
  <si>
    <t xml:space="preserve">Капитальные резервы </t>
  </si>
  <si>
    <t xml:space="preserve">    з. Процент, Дисконт {Скидки} и взносы по ссудам и лизинговым операциям</t>
  </si>
  <si>
    <t>#FNOBES{13101,13109,15501,15505,11101,13301,13309,14301,14305,15613;09;9;25;;E}</t>
  </si>
  <si>
    <t>#FNOBES{13101,13109,15501,15505,11101,13301,13309,14301,14305,15613;09;9;23;;E}</t>
  </si>
  <si>
    <t>#FNOBES{13101,13109,15501,15505,11101,13301,13309,14301,14305,15613;09;9;26;;E}</t>
  </si>
  <si>
    <t>#FNOBES{13101,13109,15501,15505,11101,13301,13309,14301,14305,15613;09;9;21,22;;E}</t>
  </si>
  <si>
    <t>#FNOBES{13101,13109,15501,15505,11101,13301,13309,14301,14305,15613;09;9;24;;E}</t>
  </si>
  <si>
    <t>#FNOBES{13101,13109,15501,15505,11101,13301,13309,14301,14305,15613;09;9;31,32,33,34,35,36,37;;E}</t>
  </si>
  <si>
    <t>#FNOBES{13101,13109,15501,15505,11101,13301,13309,14301,14305,15613;09;9;29;;E}</t>
  </si>
  <si>
    <t>#FNOBES{12701,12709,15101,15105,11101,13301,13309,14301,14305,15607;02;7;25;;E}</t>
  </si>
  <si>
    <t>#FNOBES{12701,12709,15101,15105,11101,13301,13309,14301,14305,15607;02;7;23;;E}</t>
  </si>
  <si>
    <t>#FNOBES{12701,12709,15101,15105,11101,13301,13309,14301,14305,15607;02;7;26;;E}</t>
  </si>
  <si>
    <t>#FNOBES{12701,12709,15101,15105,11101,13301,13309,14301,14305,15607;02;7;24;;E}</t>
  </si>
  <si>
    <t>#FNOBES{12701,12709,15101,15105,11101,13301,13309,14301,14305,15607;02;7;31,32,33,34,35,36,37;;E}</t>
  </si>
  <si>
    <t>#FNOBES{12701,12709,15101,15105,11101,13301,13309,14301,14305,15607;02;7;29;;E}</t>
  </si>
  <si>
    <t>#FNOBES{12701,12709,15101,15105,11101,13301,13309,14301,14305,15607;02;7;42;;E}</t>
  </si>
  <si>
    <t>#FNOBES{12701,12709,15101,15105,11101,13301,13309,14301,14305,15607;02;7;61;;E}</t>
  </si>
  <si>
    <t>#FNOBES{12901,12909,15301,15305,11101,13301,13309,14301,14305,15609;10;7;25;;E}</t>
  </si>
  <si>
    <t>#FNOBES{12901,12909,15301,15305,11101,13301,13309,14301,14305,15609;10;7;23;;E}</t>
  </si>
  <si>
    <t>#FNECTC{12401,12409,14801,14809,11101,13301,13309,14301,14305;12;1;;E}</t>
  </si>
  <si>
    <t>#FNECTC{12501,12509,14901,14905,11101,13301,13309,14301,14305,15603;08;1;;E}</t>
  </si>
  <si>
    <t xml:space="preserve">Кредиты и другие активы или их части, обеспеченные наличными деньгами, хранящимися на отдельном блокированном депозитном счете. </t>
  </si>
  <si>
    <t>Часть 2. Коэфициенты наличности и ликвидности</t>
  </si>
  <si>
    <t>в процентах</t>
  </si>
  <si>
    <t>1. Коэффициент наличности</t>
  </si>
  <si>
    <t>ДЕПОЗИТЫ</t>
  </si>
  <si>
    <t xml:space="preserve">   Г. ИТОГО ПРОЦЕНТНЫХ РАСХОДОВ ПО ДЕПОЗИТАМ</t>
  </si>
  <si>
    <t>#FN4{2;13001-13009, 15201,15205}</t>
  </si>
  <si>
    <t>#FNECTCR{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3;;E}</t>
  </si>
  <si>
    <t>#FNECTC{12101,12109,14501,14505,11101,13301,13309,14301,14305,15601;07;2;;E}</t>
  </si>
  <si>
    <t>#FNECTC{15701,15705;07;2;;E}</t>
  </si>
  <si>
    <t>#FNECTCP{11103,11105,13105,13305,15617,15701,15705;09;8;;E}</t>
  </si>
  <si>
    <t>#FNECTC{12301,12309,14701,14705,11101,13301,13309,14301,14305;01;8;;E}</t>
  </si>
  <si>
    <t>#FNECTC{15701,15705;01;8;;E}</t>
  </si>
  <si>
    <t>#FNOBES{12601,12609,15001,15005,11101,13301,13309,14301,14305,15605;11;9;26;;E}</t>
  </si>
  <si>
    <t>#FNOBES{12601,12609,15001,15005,11101,13301,13309,14301,14305,15605;11;9;21,22;;E}</t>
  </si>
  <si>
    <t>#FNOBES{12601,12609,15001,15005,11101,13301,13309,14301,14305,15605;11;9;24;;E}</t>
  </si>
  <si>
    <t>#FNOBES{12601,12609,15001,15005,11101,13301,13309,14301,14305,15605;11;9;31,32,33,34,35,36,37;;E}</t>
  </si>
  <si>
    <t>#FNOBES{12601,12609,15001,15005,11101,13301,13309,14301,14305,15605;11;9;29;;E}</t>
  </si>
  <si>
    <t>#FN1{10799,10899,11399}</t>
  </si>
  <si>
    <t>#FN1{16309}</t>
  </si>
  <si>
    <t>#FN31{3;1-30}</t>
  </si>
  <si>
    <t>#FN31{3;31-180}</t>
  </si>
  <si>
    <t>#FN31{3;181-365}</t>
  </si>
  <si>
    <t>#FN31{3;&gt;365}</t>
  </si>
  <si>
    <t>#FN1{16303}</t>
  </si>
  <si>
    <t>Сберегательные сертификаты</t>
  </si>
  <si>
    <t>2. Плюс или Минус: Предварит. корректировки не указанные в отчете к концу года</t>
  </si>
  <si>
    <t>1. Нераспределенная прибыль, указанная в отчете за предыдущий календарный год</t>
  </si>
  <si>
    <t xml:space="preserve">         Бюджетные организации</t>
  </si>
  <si>
    <t xml:space="preserve">         Негосударственные, некомерческие организации</t>
  </si>
  <si>
    <t>3.  ПРОЦЕНТНЫЕ ДОХОДЫ ПО СЧЕТАМ КУПЛИ-ПРОДАЖИ Ц/Б</t>
  </si>
  <si>
    <t xml:space="preserve">Выпущенные, полностью оплаченные обыкновенные акции </t>
  </si>
  <si>
    <t>IX</t>
  </si>
  <si>
    <t>X</t>
  </si>
  <si>
    <t xml:space="preserve">     е. Итого беспроцентных расходов</t>
  </si>
  <si>
    <t>VIII</t>
  </si>
  <si>
    <t>#FN1{10501,10505}</t>
  </si>
  <si>
    <t>4. Ликвидные активы/ Непостоянные обязательства</t>
  </si>
  <si>
    <t>Отчет о ссудах и лизинге, выданным связанным лицам(заполнит в ручную)</t>
  </si>
  <si>
    <t>Укажите среднедневную сумму активов за текущий период, рассчитанную компьютерной системой действующей в банке.</t>
  </si>
  <si>
    <t>АНАЛИЗ АКТИВОВ БАНКА</t>
  </si>
  <si>
    <t>№</t>
  </si>
  <si>
    <t>Бессрочные</t>
  </si>
  <si>
    <t xml:space="preserve">Вычеты превышения Капитала Уровня II над Капиталом Уровня I </t>
  </si>
  <si>
    <t>V</t>
  </si>
  <si>
    <t>VI</t>
  </si>
  <si>
    <t xml:space="preserve">     или компаниях в течение месяца?</t>
  </si>
  <si>
    <t>Совокупная сумма крупных кредитов</t>
  </si>
  <si>
    <t>#FNOBES{12501,12509,14901,14905,11101,13301,13309,14301,14305,15603;08;7;61;;E}</t>
  </si>
  <si>
    <t>Полностью оплаченные привилегированные акции</t>
  </si>
  <si>
    <t>#FNOBES{12601,12609,15001,15005,11101,13301,13309,14301,14305,15605;11;7;26;;E}</t>
  </si>
  <si>
    <t>#FNOBES{12601,12609,15001,15005,11101,13301,13309,14301,14305,15605;11;7;24;;E}</t>
  </si>
  <si>
    <t>9. ЧИСТАЯ ПРИБЫЛЬ ДО УПЛАТЫ НАЛОГОВ И ДРУГИХ ПОПРАВОК</t>
  </si>
  <si>
    <t xml:space="preserve">      а. Оценка подоходного налога</t>
  </si>
  <si>
    <t>#FNOBES{12601,12609,15001,15005,11101,13301,13309,14301,14305,15605;11;6;42;;E}</t>
  </si>
  <si>
    <t>#FNOBES{12601,12609,15001,15005,11101,13301,13309,14301,14305,15605;11;6;61;;E}</t>
  </si>
  <si>
    <t>#FNECTC{12701,12709,15101,15105,11101,13301,13309,14301,14305,15607;02;9;;E}</t>
  </si>
  <si>
    <t>#FNECTC{15701,15705;02;9;;E}</t>
  </si>
  <si>
    <t>#FNECTCP{12701,12709,15101,15105,11101,13301,13309,14301,14305,15607;02;9;;E}</t>
  </si>
  <si>
    <t>#FNOBES{12701,12709,15101,15105,11101,13301,13309,14301,14305,15607;02;9;25;;E}</t>
  </si>
  <si>
    <t>#FNOBES{12701,12709,15101,15105,11101,13301,13309,14301,14305,15607;02;9;23;;E}</t>
  </si>
  <si>
    <t>#FNOBES{12701,12709,15101,15105,11101,13301,13309,14301,14305,15607;02;9;26;;E}</t>
  </si>
  <si>
    <t>#FNOBES{12701,12709,15101,15105,11101,13301,13309,14301,14305,15607;02;9;21,22;;E}</t>
  </si>
  <si>
    <t>#FNOBES{12701,12709,15101,15105,11101,13301,13309,14301,14305,15607;02;9;24;;E}</t>
  </si>
  <si>
    <t>#FNOBES{12701,12709,15101,15105,11101,13301,13309,14301,14305,15607;02;9;31,32,33,34,35,36,37;;E}</t>
  </si>
  <si>
    <t>#FN5{7;12105,12305,12505,12605,12705,12905,13005,13105,13205,13305,15617,11103;31-60}</t>
  </si>
  <si>
    <t>#FN5{7;12105,12305,12505,12605,12705,12905,13005,13105,13205,13305,15617,11103;61-90}</t>
  </si>
  <si>
    <t>#FN5{7;12105,12305,12505,12605,12705,12905,13005,13105,13205,13305,15617,11103;91-180}</t>
  </si>
  <si>
    <t>#FN5{7;12105,12305,12505,12605,12705,12905,13005,13105,13205,13305,15617,11103;181-365}</t>
  </si>
  <si>
    <t>#FN5{7;12105,12305,12505,12605,12705,12905,13005,13105,13205,13305,15617,11103;366-730}</t>
  </si>
  <si>
    <t>5. Продажа, Обмен, Приобретение или выкуп акций, за текущий год (чистая выручка)</t>
  </si>
  <si>
    <t>#FN1{10705,10805}</t>
  </si>
  <si>
    <t>Обязательства до востребования и со сроком погашения до 30 дней</t>
  </si>
  <si>
    <t>в том числе 16100</t>
  </si>
  <si>
    <t xml:space="preserve"> -#FN1A{161}</t>
  </si>
  <si>
    <t>3.1</t>
  </si>
  <si>
    <t>БАЛАНСОВЫЙ ОТЧЕТ КОММЕРЧЕСКОГО БАНКА</t>
  </si>
  <si>
    <t>#FN1{44817}</t>
  </si>
  <si>
    <t>#FN1{44894}</t>
  </si>
  <si>
    <t>#FN12{;20602-20605,20608-20696;1-30}</t>
  </si>
  <si>
    <t>#FN12{;20602-20605,20608-20696;31-180}</t>
  </si>
  <si>
    <t>#FN12{;20602-20605,20608-20696;181-365}</t>
  </si>
  <si>
    <t>#FN1D{303,306,309,312;B}</t>
  </si>
  <si>
    <t>#FN1D{303,306;B}</t>
  </si>
  <si>
    <t>#FN1D{303,306;E}</t>
  </si>
  <si>
    <t>Гарантированные Правительством Республики Узбекистан</t>
  </si>
  <si>
    <t xml:space="preserve">6.  Штат сотрудников всех отделов банка, включая административное отделение, </t>
  </si>
  <si>
    <t>#FNECTCO{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2;;E}</t>
  </si>
  <si>
    <t>#FNECTCR{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2;;E}</t>
  </si>
  <si>
    <t>#FNOBES{12601,12609,15001,15005,11101,13301,13309,14301,14305,15605;11;5;42;;E}</t>
  </si>
  <si>
    <t xml:space="preserve">         Итого по сельскому хозяйству</t>
  </si>
  <si>
    <t>#FN1{10709,10809}</t>
  </si>
  <si>
    <t>#FN1{10715,10817}</t>
  </si>
  <si>
    <t>#FN1{ 92732,92736}</t>
  </si>
  <si>
    <t>Пересмотрения</t>
  </si>
  <si>
    <t>ОТЧЕТ О СЧЕТАХ  ОБЯЗАТЕЛЬСТВ И НЕПРЕДВИДЕННЫХ ОБСТОЯТЕЛЬСТВ</t>
  </si>
  <si>
    <t>1. Линии кредита и Обязательства</t>
  </si>
  <si>
    <t xml:space="preserve">    A.  Депозиты до востребования</t>
  </si>
  <si>
    <t xml:space="preserve">      а. Правительство</t>
  </si>
  <si>
    <t xml:space="preserve">      б. Физические лица</t>
  </si>
  <si>
    <t xml:space="preserve">      в. Государственные предприятия</t>
  </si>
  <si>
    <t xml:space="preserve">      г. Совместные предприятия</t>
  </si>
  <si>
    <t xml:space="preserve">      д. Частные товарищества и корпорации </t>
  </si>
  <si>
    <t>6. Чистая балансовая стоимость по счетам купли и продажи д/м</t>
  </si>
  <si>
    <t>#FN12{;10597;1-30}</t>
  </si>
  <si>
    <t xml:space="preserve"> -#FN1A{103,16103}</t>
  </si>
  <si>
    <t>Более одного года</t>
  </si>
  <si>
    <t>Год и менее</t>
  </si>
  <si>
    <t>Доходы</t>
  </si>
  <si>
    <t>7. МИНУС: Денежные дивиденды объявленные по привилегированным акциям</t>
  </si>
  <si>
    <t>8. МИНУС: Денежные дивиденды объявленные по обыкновенным акциям</t>
  </si>
  <si>
    <t>{Н}</t>
  </si>
  <si>
    <t>{О}</t>
  </si>
  <si>
    <t>#FN1{40613,40713}</t>
  </si>
  <si>
    <t>#FN1{40617,40717}</t>
  </si>
  <si>
    <t>#FN1{40694,40794}</t>
  </si>
  <si>
    <t>С первоначальным сроком погашения от одного года до двух лет</t>
  </si>
  <si>
    <t>б3</t>
  </si>
  <si>
    <t>С первоначальным сроком погашения свыше двух лет до трех лет</t>
  </si>
  <si>
    <t>II</t>
  </si>
  <si>
    <t>ВЫЧЕТЫ ИЗ СУММЫ КАПИТАЛА УРОВНЯ I</t>
  </si>
  <si>
    <t xml:space="preserve">      филиалы, агенства и подразделения.</t>
  </si>
  <si>
    <t>Расходы</t>
  </si>
  <si>
    <t>#FN1{5}</t>
  </si>
  <si>
    <t>#FN1{3}</t>
  </si>
  <si>
    <t xml:space="preserve">Некумулятивные бессрочные привилегированные акции </t>
  </si>
  <si>
    <t>Минус: Обратно Выкупленные акции</t>
  </si>
  <si>
    <t>#FNOBES{12601,12609,15001,15005,11101,13301,13309,14301,14305,15605;11;7;31,32,33,34,35,36,37;;E}</t>
  </si>
  <si>
    <t>#FNECTC{13001,13009,15201,15205,11101,13301,13309,14301,14305,15611;03;7;;E}</t>
  </si>
  <si>
    <t>#FNECTC{13101,13109,15501,15505,11101,13301,13309,14301,14305,15613;09;7;;E}</t>
  </si>
  <si>
    <t>#FNOBES{12701,12709,15101,15105,11101,13301,13309,14301,14305,15607;02;5;31,32,33,34,35,36,37;;E}</t>
  </si>
  <si>
    <t>#FNOBES{12701,12709,15101,15105,11101,13301,13309,14301,14305,15607;02;5;29;;E}</t>
  </si>
  <si>
    <t>#FNOBES{12701,12709,15101,15105,11101,13301,13309,14301,14305,15607;02;5;42;;E}</t>
  </si>
  <si>
    <t>#FNOBES{12701,12709,15101,15105,11101,13301,13309,14301,14305,15607;02;5;61;;E}</t>
  </si>
  <si>
    <t>#FNOBES{12901,12909,15301,15305,11101,13301,13309,14301,14305,15609;10;5;25;;E}</t>
  </si>
  <si>
    <t>#FNOBES{12901,12909,15301,15305,11101,13301,13309,14301,14305,15609;10;5;23;;E}</t>
  </si>
  <si>
    <t>#FNOBES{12901,12909,15301,15305,11101,13301,13309,14301,14305,15609;10;5;26;;E}</t>
  </si>
  <si>
    <t>#FNECTC{15701,15705;03;1;;E}</t>
  </si>
  <si>
    <t xml:space="preserve">Нематериальные активы </t>
  </si>
  <si>
    <t>III</t>
  </si>
  <si>
    <t xml:space="preserve">    a. Процентные доходы по счетам в ЦБРУ</t>
  </si>
  <si>
    <t>#FNECTCP{13101,13109,15501,15505,11101,13301,13309,14301,14305,15613;09;;;E}</t>
  </si>
  <si>
    <t>#FN4{5;12401-12409,14801,14809}</t>
  </si>
  <si>
    <t>#FNOBES{12401,12409,14801,14809,11101,13301,13309,14301,14305;12;;29;;E}</t>
  </si>
  <si>
    <t>#FNOBES{12401,12409,14801,14809,11101,13301,13309,14301,14305;12;1;21,22;;E}</t>
  </si>
  <si>
    <t>#FNOBES{12501,12509,14901,14905,11101,13301,13309,14301,14305,15603;08;1;21,22;;E}</t>
  </si>
  <si>
    <t>#FNOBES{12601,12609,15001,15005,11101,13301,13309,14301,14305,15605;11;1;21,22;;E}</t>
  </si>
  <si>
    <t>#FNOBES{12701,12709,15101,15105,11101,13301,13309,14301,14305,15607;02;1;21,22;;E}</t>
  </si>
  <si>
    <t>#FNECTCO{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1;;E}</t>
  </si>
  <si>
    <t>#FNOBES{12501,12509,14901,14905,11101,13301,13309,14301,14305,15603;08;6;24;;E}</t>
  </si>
  <si>
    <t>#FNOBES{12501,12509,14901,14905,11101,13301,13309,14301,14305,15603;08;6;31,32,33,34,35,36,37;;E}</t>
  </si>
  <si>
    <t>#FNOBES{12501,12509,14901,14905,11101,13301,13309,14301,14305,15603;08;6;29;;E}</t>
  </si>
  <si>
    <t>#FNOBES{12501,12509,14901,14905,11101,13301,13309,14301,14305,15603;08;6;42;;E}</t>
  </si>
  <si>
    <t>#FNOBES{12501,12509,14901,14905,11101,13301,13309,14301,14305,15603;08;6;61;;E}</t>
  </si>
  <si>
    <t>#FNOBES{12601,12609,15001,15005,11101,13301,13309,14301,14305,15605;11;6;25;;E}</t>
  </si>
  <si>
    <t>#FNOBES{12601,12609,15001,15005,11101,13301,13309,14301,14305,15605;11;6;23;;E}</t>
  </si>
  <si>
    <t>#FNOBES{12601,12609,15001,15005,11101,13301,13309,14301,14305,15605;11;6;26;;E}</t>
  </si>
  <si>
    <t>#FNOBES{12401,12409,14801,14809,11101,13301,13309,14301,14305;12;8;23;;E}</t>
  </si>
  <si>
    <t>#FNOBES{12401,12409,14801,14809,11101,13301,13309,14301,14305;12;8;26;;E}</t>
  </si>
  <si>
    <t>#FNCBSR{23604;181-365}/1000</t>
  </si>
  <si>
    <t>#FNCBSR{23604;366-3660}/1000</t>
  </si>
  <si>
    <t>#FNCBSR{23606;1-30}/1000</t>
  </si>
  <si>
    <t>#FNCBSR{23606;31-180}/1000</t>
  </si>
  <si>
    <t>#FNCBSR{23606;181-365}/1000</t>
  </si>
  <si>
    <t>#FNCBSR{23606;366-3660}/1000</t>
  </si>
  <si>
    <t xml:space="preserve">     г. Итого гарантий и аккредитивов</t>
  </si>
  <si>
    <t>#FN1{20210}</t>
  </si>
  <si>
    <t>#FN1{20214}</t>
  </si>
  <si>
    <t>#FN1{20208}</t>
  </si>
  <si>
    <t>#FN1{20408}</t>
  </si>
  <si>
    <t>#FN1{30306,30312,30318}</t>
  </si>
  <si>
    <t>#FN1{30324}</t>
  </si>
  <si>
    <t>#FN1{30303,30309,30315}</t>
  </si>
  <si>
    <t>#FN1{30321}</t>
  </si>
  <si>
    <t>#FN1{31203}</t>
  </si>
  <si>
    <t>#FN1{4,5}</t>
  </si>
  <si>
    <t>#FN1{91809}</t>
  </si>
  <si>
    <t>#FN1{90944,90951,90993}</t>
  </si>
  <si>
    <t xml:space="preserve">     д. Другие беспроцентные расходы</t>
  </si>
  <si>
    <t xml:space="preserve">      в. Минус: Резерв возможных убытков по ссудам и лизингу</t>
  </si>
  <si>
    <t xml:space="preserve">      г. Cсуды и лизинговые операции, чистые</t>
  </si>
  <si>
    <t>8    а. Купленные векселя</t>
  </si>
  <si>
    <t>#FNECTCP{11103,11105,12605,13305,15617,15701,15705;11;8;;E}</t>
  </si>
  <si>
    <t>#FNECTC{13001,13009,15201,15205,11101,13301,13309,14301,14305,15611;03;8;;E}</t>
  </si>
  <si>
    <t>#FNECTC{15701,15705;03;8;;E}</t>
  </si>
  <si>
    <t>#FNECTCP{13001,13009,15201,15205,11101,13301,13309,14301,14305,15611;03;8;;E}</t>
  </si>
  <si>
    <t>#FNOBES{13001,13009,15201,15205,11101,13301,13309,14301,14305,15611;03;8;25;;E}</t>
  </si>
  <si>
    <t>#FNOBES{13001,13009,15201,15205,11101,13301,13309,14301,14305,15611;03;8;23;;E}</t>
  </si>
  <si>
    <t>#FNOBES{13001,13009,15201,15205,11101,13301,13309,14301,14305,15611;03;8;26;;E}</t>
  </si>
  <si>
    <t>#FNOBES{13001,13009,15201,15205,11101,13301,13309,14301,14305,15611;03;8;21,22;;E}</t>
  </si>
  <si>
    <t>#FNOBES{13001,13009,15201,15205,11101,13301,13309,14301,14305,15611;03;8;24;;E}</t>
  </si>
  <si>
    <t>#FNOBES{13001,13009,15201,15205,11101,13301,13309,14301,14305,15611;03;8;31,32,33,34,35,36,37;;E}</t>
  </si>
  <si>
    <t>#FNOBES{13001,13009,15201,15205,11101,13301,13309,14301,14305,15611;03;8;29;;E}</t>
  </si>
  <si>
    <t>#FNOBES{13001,13009,15201,15205,11101,13301,13309,14301,14305,15611;03;8;42;;E}</t>
  </si>
  <si>
    <t>#FNOBES{13001,13009,15201,15205,11101,13301,13309,14301,14305,15611;03;8;61;;E}</t>
  </si>
  <si>
    <t>#FNECTCP{11103,11105,13005,13305,15617,15701,15705;03;8;;E}</t>
  </si>
  <si>
    <t>#FNECTC{13201,13209,15401,15405,11101,13301,13309,14301,14305;04;8;;E}</t>
  </si>
  <si>
    <t>#FNECTC{15701,15705;04;8;;E}</t>
  </si>
  <si>
    <t>#FNECTCP{13201,13209,15401,15405,11101,13301,13309,14301,14305;04;8;;E}</t>
  </si>
  <si>
    <t>#FNOBES{13201,13209,15401,15405,11101,13301,13309,14301,14305;04;8;25;;E}</t>
  </si>
  <si>
    <t>#FNOBES{12401,12409,14801,14809,11101,13301,13309,14301,14305;12;8;21,22;;E}</t>
  </si>
  <si>
    <t>#FNOBES{12401,12409,14801,14809,11101,13301,13309,14301,14305;12;8;24;;E}</t>
  </si>
  <si>
    <t>#FNOBES{12401,12409,14801,14809,11101,13301,13309,14301,14305;12;8;31,32,33,34,35,36,37;;E}</t>
  </si>
  <si>
    <t>#FNOBES{12401,12409,14801,14809,11101,13301,13309,14301,14305;12;8;29;;E}</t>
  </si>
  <si>
    <t>#FNOBES{12401,12409,14801,14809,11101,13301,13309,14301,14305;12;8;42;;E}</t>
  </si>
  <si>
    <t>#FNOBES{12401,12409,14801,14809,11101,13301,13309,14301,14305;12;8;61;;E}</t>
  </si>
  <si>
    <t>#FNECTCP{11103,11105,12405,13305,15617,15701,15705;12;8;;E}</t>
  </si>
  <si>
    <t>#FNECTC{12601,12609,15001,15005,11101,13301,13309,14301,14305,15605;11;8;;E}</t>
  </si>
  <si>
    <t>#FNECTC{15701,15705;11;8;;E}</t>
  </si>
  <si>
    <t>#FNECTCP{12601,12609,15001,15005,11101,13301,13309,14301,14305,15605;11;8;;E}</t>
  </si>
  <si>
    <t>#FNOBES{12601,12609,15001,15005,11101,13301,13309,14301,14305,15605;11;8;25;;E}</t>
  </si>
  <si>
    <t>#FNOBES{12601,12609,15001,15005,11101,13301,13309,14301,14305,15605;11;8;23;;E}</t>
  </si>
  <si>
    <t>#FNOBES{12601,12609,15001,15005,11101,13301,13309,14301,14305,15605;11;8;26;;E}</t>
  </si>
  <si>
    <t>#FNOBES{12601,12609,15001,15005,11101,13301,13309,14301,14305,15605;11;8;21,22;;E}</t>
  </si>
  <si>
    <t>#FNOBES{12601,12609,15001,15005,11101,13301,13309,14301,14305,15605;11;8;24;;E}</t>
  </si>
  <si>
    <t>8. Минус: Дивиденды в виде акций объявленные по привилегированным акциям</t>
  </si>
  <si>
    <t>в том числе 22200</t>
  </si>
  <si>
    <t>#FN1{222}</t>
  </si>
  <si>
    <t xml:space="preserve">         Итого по другим отраслям</t>
  </si>
  <si>
    <t>2. ПРОЦЕНТНЫЕ РАСХОДЫ</t>
  </si>
  <si>
    <t>Обязательства клиентов по траттам под аккредитивы или трастовые документы</t>
  </si>
  <si>
    <t>7.</t>
  </si>
  <si>
    <t>Обязательства клиентов по непогашенным акцептам этого банка</t>
  </si>
  <si>
    <t>#FNCBSPR{22414;1-30}/1000</t>
  </si>
  <si>
    <t>#FNCBSPR{22414;31-180}/1000</t>
  </si>
  <si>
    <t>#FNCBSPR{22414;180-365}/1000</t>
  </si>
  <si>
    <t>#FNCBSPR{22414;366-10000}/1000</t>
  </si>
  <si>
    <t>#FNCBSR{23604;1-30}/1000</t>
  </si>
  <si>
    <t>#FNCBSR{23604;31-180}/1000</t>
  </si>
  <si>
    <t>#FNOBES{12501,12509,14901,14905,11101,13301,13309,14301,14305,15603;08;5;26;;E}</t>
  </si>
  <si>
    <t>#FNOBES{12501,12509,14901,14905,11101,13301,13309,14301,14305,15603;08;5;24;;E}</t>
  </si>
  <si>
    <t>а</t>
  </si>
  <si>
    <t>Транспортные средства</t>
  </si>
  <si>
    <t>3. Другие статьи непредвиденных обстоятельств</t>
  </si>
  <si>
    <t xml:space="preserve">     а. Условная стоимость процентного свопа</t>
  </si>
  <si>
    <t xml:space="preserve">     г. Процентные расходы по счетам к оплате в ЦБРУ</t>
  </si>
  <si>
    <t>2.  ПРОЦЕНТНЫЕ ДОХОДЫ ПО КОР.СЧЕТАМ</t>
  </si>
  <si>
    <t>a.  К получению из ЦБРУ</t>
  </si>
  <si>
    <t>б.  К получению из других банков</t>
  </si>
  <si>
    <t>#FN1{10109}</t>
  </si>
  <si>
    <t>#FN1{44801,44805}</t>
  </si>
  <si>
    <t>Субстандартные</t>
  </si>
  <si>
    <t>Сомнительные</t>
  </si>
  <si>
    <t>Безнадежные</t>
  </si>
  <si>
    <t xml:space="preserve"> 5.1</t>
  </si>
  <si>
    <t xml:space="preserve">       а. Итого кассы разделить на</t>
  </si>
  <si>
    <t xml:space="preserve">           среднее активов за текущий квартал</t>
  </si>
  <si>
    <t>2. Коэффициент ликвидности</t>
  </si>
  <si>
    <t xml:space="preserve">Корреспондентские и резервные счета в ЦБРУ </t>
  </si>
  <si>
    <t>Оборудование</t>
  </si>
  <si>
    <t>#FN1{20402-20405,20408-20496}</t>
  </si>
  <si>
    <t>#FN1{20602-20605,20608-20696}</t>
  </si>
  <si>
    <t>#FN4{1;12401-12409,14801,14809}</t>
  </si>
  <si>
    <t xml:space="preserve">a.  Ссуды ЦБРУ  и лизинговые операции </t>
  </si>
  <si>
    <t>#FN1{20410}</t>
  </si>
  <si>
    <t>#FN1{20414}</t>
  </si>
  <si>
    <t>#FNOBES{12301,12309,14701,14705,11101,13301,13309,14301,14305;01;7;29;;E}</t>
  </si>
  <si>
    <t>#FNECTCP{12401,12409,14801,14809,11101,13301,13309,14301,14305;12;2;;E}</t>
  </si>
  <si>
    <t>#FNECTCP{12501,12509,14901,14905,11101,13301,13309,14301,14305,15603;08;2;;E}</t>
  </si>
  <si>
    <t>#FNECTCP{12601,12609,15001,15005,11101,13301,13309,14301,14305,15605;11;2;;E}</t>
  </si>
  <si>
    <t>#FNECTCP{12701,12709,15101,15105,11101,13301,13309,14301,14305,15607;02;2;;E}</t>
  </si>
  <si>
    <t>#FNECTCP{12901,12909,15301,15305,11101,13301,13309,14301,14305,15609;10;2;;E}</t>
  </si>
  <si>
    <t>#FNOBES{12301,12309,14701,14705,11101,13301,13309,14301,14305;01;7;42;;E}</t>
  </si>
  <si>
    <t>#FNOBES{12301,12309,14701,14705,11101,13301,13309,14301,14305;01;7;61;;E}</t>
  </si>
  <si>
    <t>#FNECTCP{13201,13209,15401,15405,11101,13301,13309,14301,14305;04;2;;E}</t>
  </si>
  <si>
    <t>#FNECTCP{12301,12309,14701,14705,11101,13301,13309,14301,14305;01;2;;E}</t>
  </si>
  <si>
    <t>#FNECTCP{12401,12409,14801,14809,11101,13301,13309,14301,14305;12;5;;E}</t>
  </si>
  <si>
    <t>#FNECTCP{12501,12509,14901,14905,11101,13301,13309,14301,14305,15603;08;5;;E}</t>
  </si>
  <si>
    <t>#FNECTCP{12601,12609,15001,15005,11101,13301,13309,14301,14305,15605;11;5;;E}</t>
  </si>
  <si>
    <t>#FNECTCP{12701,12709,15101,15105,11101,13301,13309,14301,14305,15607;02;5;;E}</t>
  </si>
  <si>
    <t>#FNECTCP{12901,12909,15301,15305,11101,13301,13309,14301,14305,15609;10;5;;E}</t>
  </si>
  <si>
    <t>#FNECTCP{13001,13009,15201,15205,11101,13301,13309,14301,14305,15611;03;5;;E}</t>
  </si>
  <si>
    <t>#FNECTCP{13101,13109,15501,15505,11101,13301,13309,14301,14305,15613;09;5;;E}</t>
  </si>
  <si>
    <t>#FNECTCP{13201,13209,15401,15405,11101,13301,13309,14301,14305;04;5;;E}</t>
  </si>
  <si>
    <t>#FNECTCP{12301,12309,14701,14705,11101,13301,13309,14301,14305;01;5;;E}</t>
  </si>
  <si>
    <t>#FNECTCP{13101,13109,15501,15505,11101,13301,13309,14301,14305,15613;09;7;;E}</t>
  </si>
  <si>
    <t>#FNECTCP{13201,13209,15401,15405,11101,13301,13309,14301,14305;04;7;;E}</t>
  </si>
  <si>
    <t>#FNECTCP{12301,12309,14701,14705,11101,13301,13309,14301,14305;01;7;;E}</t>
  </si>
  <si>
    <t>#FN5{6;12105,12305,12505,12605,12705,12905,13005,13105,13205,13305,15617,11103;366-730}</t>
  </si>
  <si>
    <t>#FN5{7;12105,12305,12505,12605,12705,12905,13005,13105,13205,13305,15617,11103;1-30}</t>
  </si>
  <si>
    <t>#FNECTCP{11103,11105,12905,13305,15617,15701,15705;10;2;;E}</t>
  </si>
  <si>
    <t>#FN4{8;12401-12409,14801,14809}</t>
  </si>
  <si>
    <t>#FN4{8;12601-12609,15001,15005}</t>
  </si>
  <si>
    <t>#FN4{8;12701-12709,15101,15105}</t>
  </si>
  <si>
    <t>#FN4{8;12901-12909,15301,15305}</t>
  </si>
  <si>
    <t>#FN4{8;13001-13009,15201-15205}</t>
  </si>
  <si>
    <t>#FN4{8;13101-13109,15501-15505}</t>
  </si>
  <si>
    <t>#FN4{8;13201-13209,15401-15405}</t>
  </si>
  <si>
    <t>#FN4{8;12301-12309,14701,14705}</t>
  </si>
  <si>
    <t>#FN4{9;12401-12409,14801,14809}</t>
  </si>
  <si>
    <t>#FN4{9;12601-12609,15001,15005}</t>
  </si>
  <si>
    <t>#FN4{9;12701-12709,15101,15105}</t>
  </si>
  <si>
    <t>#FN4{9;12901-12909,15301,15305}</t>
  </si>
  <si>
    <t>#FN4{9;13001-13009,15201-15205}</t>
  </si>
  <si>
    <t>#FN4{9;13101-13109,15501-15505}</t>
  </si>
  <si>
    <t>#FN4{9;13201-13209,15401-15405}</t>
  </si>
  <si>
    <t>#FN4{9;12301-12309,14701,14705}</t>
  </si>
  <si>
    <t>#FN4{1;12601-12609,15001,15005}</t>
  </si>
  <si>
    <t>#FN4{1;12701-12709,15101,15105}</t>
  </si>
  <si>
    <t>3. Инвестиции в частные облигации</t>
  </si>
  <si>
    <t>МФО</t>
  </si>
  <si>
    <t>Подпись Главного Бухгалтера:</t>
  </si>
  <si>
    <t>{А}</t>
  </si>
  <si>
    <t>{Б}</t>
  </si>
  <si>
    <t>#FN12{;10597;181-365}</t>
  </si>
  <si>
    <t>4. Инвестиции в еврооблигации</t>
  </si>
  <si>
    <t xml:space="preserve">         Физические лица</t>
  </si>
  <si>
    <t xml:space="preserve">         Гос. предприятия</t>
  </si>
  <si>
    <t>#FN1{414,416,418,419,420,421,422,423,424,425,426}+#FN1{436,437,439,440,441,442,443,444,445,446,447}+#FN1{451}</t>
  </si>
  <si>
    <t xml:space="preserve">  #FN1{11399}</t>
  </si>
  <si>
    <t>#FN1{531,541,54202,54208,54210}</t>
  </si>
  <si>
    <t>#FN1{543}</t>
  </si>
  <si>
    <t>#FN1{549,526}</t>
  </si>
  <si>
    <t>#FN5{6;12105,12305,12505,12605,12705,12905,13005,13105,13205,13305,15617,11103;61-90}</t>
  </si>
  <si>
    <t>#FN4{7;12401-12409,14801,14809}</t>
  </si>
  <si>
    <t>#FN4{7;12601-12609,15001,15005}</t>
  </si>
  <si>
    <t>б. Чистые процентные доходы после оценки возможных убытков по ссудам и лизингу</t>
  </si>
  <si>
    <t>4. БЕСПРОЦЕНТНЫЕ ДОХОДЫ</t>
  </si>
  <si>
    <t>Инвентарь</t>
  </si>
  <si>
    <t>Недвижимость</t>
  </si>
  <si>
    <t>Часть 1 Списания и возврат</t>
  </si>
  <si>
    <t>Списание - А</t>
  </si>
  <si>
    <t>Возврат - Б</t>
  </si>
  <si>
    <t>#FNOBES{12101,12109,14501,14505,11101,13301,13309,14301,14305,15601;07;2;26;;E}</t>
  </si>
  <si>
    <t>#FNOBES{12101,12109,14501,14505,11101,13301,13309,14301,14305,15601;07;2;21,22;;E}</t>
  </si>
  <si>
    <t>#FNOBES{12101,12109,14501,14505,11101,13301,13309,14301,14305,15601;07;2;24;;E}</t>
  </si>
  <si>
    <t>#FNOBES{12101,12109,14501,14505,11101,13301,13309,14301,14305,15601;07;2;31,32,33,34,35,36,37;;E}</t>
  </si>
  <si>
    <t>#FNOBES{12101,12109,14501,14505,11101,13301,13309,14301,14305,15601;07;2;29;;E}</t>
  </si>
  <si>
    <t>#FNOBES{12501,12509,14901,14905,11101,13301,13309,14301,14305,15603;08;1;61;;E}</t>
  </si>
  <si>
    <t>#FNOBES{12601,12609,15001,15005,11101,13301,13309,14301,14305,15605;11;1;25;;E}</t>
  </si>
  <si>
    <t>#FNOBES{12601,12609,15001,15005,11101,13301,13309,14301,14305,15605;11;1;23;;E}</t>
  </si>
  <si>
    <t>#FNOBES{12601,12609,15001,15005,11101,13301,13309,14301,14305,15605;11;1;26;;E}</t>
  </si>
  <si>
    <t>#FNOBES{12601,12609,15001,15005,11101,13301,13309,14301,14305,15605;11;1;24;;E}</t>
  </si>
  <si>
    <t>#FNOBES{12601,12609,15001,15005,11101,13301,13309,14301,14305,15605;11;1;31,32,33,34,35,36,37;;E}</t>
  </si>
  <si>
    <t>#FNOBES{12601,12609,15001,15005,11101,13301,13309,14301,14305,15605;11;1;29;;E}</t>
  </si>
  <si>
    <t>#FNOBES{12601,12609,15001,15005,11101,13301,13309,14301,14305,15605;11;1;42;;E}</t>
  </si>
  <si>
    <t>#FNOBES{12601,12609,15001,15005,11101,13301,13309,14301,14305,15605;11;1;61;;E}</t>
  </si>
  <si>
    <t>#FNOBES{12501,12509,14901,14905,11101,13301,13309,14301,14305,15603;08;5;31,32,33,34,35,36,37;;E}</t>
  </si>
  <si>
    <t>#FNOBES{12501,12509,14901,14905,11101,13301,13309,14301,14305,15603;08;5;29;;E}</t>
  </si>
  <si>
    <t>#FNOBES{12501,12509,14901,14905,11101,13301,13309,14301,14305,15603;08;5;42;;E}</t>
  </si>
  <si>
    <t>#FNOBES{12501,12509,14901,14905,11101,13301,13309,14301,14305,15603;08;5;61;;E}</t>
  </si>
  <si>
    <t>#FNOBES{12601,12609,15001,15005,11101,13301,13309,14301,14305,15605;11;5;25;;E}</t>
  </si>
  <si>
    <t>#FNOBES{12601,12609,15001,15005,11101,13301,13309,14301,14305,15605;11;5;23;;E}</t>
  </si>
  <si>
    <t>#FNOBES{13201,13209,15401,15405,11101,13301,13309,14301,14305;04;;26;;E}</t>
  </si>
  <si>
    <t>#FNOBES{13201,13209,15401,15405,11101,13301,13309,14301,14305;04;;24;;E}</t>
  </si>
  <si>
    <t>#FNOBES{13201,13209,15401,15405,11101,13301,13309,14301,14305;04;;31,32,33,34,35,36,37;;E}</t>
  </si>
  <si>
    <t>#FNOBES{13201,13209,15401,15405,11101,13301,13309,14301,14305;04;;29;;E}</t>
  </si>
  <si>
    <t>#FNOBES{12701,12709,15101,15105,11101,13301,13309,14301,14305,15607;02;;23;;E}</t>
  </si>
  <si>
    <t>#FNOBES{12701,12709,15101,15105,11101,13301,13309,14301,14305,15607;02;;26;;E}</t>
  </si>
  <si>
    <t>#FNOBES{12701,12709,15101,15105,11101,13301,13309,14301,14305,15607;02;;24;;E}</t>
  </si>
  <si>
    <t>#FNOBES{12701,12709,15101,15105,11101,13301,13309,14301,14305,15607;02;;31,32,33,34,35,36,37;;E}</t>
  </si>
  <si>
    <t>#FNOBES{12701,12709,15101,15105,11101,13301,13309,14301,14305,15607;02;;29;;E}</t>
  </si>
  <si>
    <t>#FNOBES{12501,12509,14901,14905,11101,13301,13309,14301,14305,15603;08;1;42;;E}</t>
  </si>
  <si>
    <t>#FNOBES{12701,12709,15101,15105,11101,13301,13309,14301,14305,15607;02;5;25;;E}</t>
  </si>
  <si>
    <t>#FNOBES{12701,12709,15101,15105,11101,13301,13309,14301,14305,15607;02;5;23;;E}</t>
  </si>
  <si>
    <t>#FNOBES{12901,12909,15301,15305,11101,13301,13309,14301,14305,15609;10;1;31,32,33,34,35,36,37;;E}</t>
  </si>
  <si>
    <t>#FNOBES{12901,12909,15301,15305,11101,13301,13309,14301,14305,15609;10;1;29;;E}</t>
  </si>
  <si>
    <t>#FNOBES{12601,12609,15001,15005,11101,13301,13309,14301,14305,15605;11;;29;;E}</t>
  </si>
  <si>
    <t>#FNECTC{12301,12309,14701,14705,11101,13301,13309,14301,14305;01;2;;E}</t>
  </si>
  <si>
    <t>#FNECTCP{11103,11105,12505,13305,15617,15703,15705;08;7;;E}</t>
  </si>
  <si>
    <t>#FNECTCP{11103,11105,12605,13305,15617,15701,15705;11;7;;E}</t>
  </si>
  <si>
    <t>#FNECTCP{11103,11105,12705,13305,15617,15701,15705;02;7;;E}</t>
  </si>
  <si>
    <t>#FNECTCP{11103,11105,12905,13305,15617,15701,15705;10;7;;E}</t>
  </si>
  <si>
    <t>#FNECTCP{11103,11105,13005,13305,15617,15701,15705;03;7;;E}</t>
  </si>
  <si>
    <t>#FNECTCP{11103,11105,13105,13305,15617,15701,15705;09;7;;E}</t>
  </si>
  <si>
    <t>#FNECTCP{11103,11105,13205,13305,15617,15701,15705;04;7;;E}</t>
  </si>
  <si>
    <t>#FNECTCP{11103,11105,12305,13305,15617,15701,15705;01;7;;E}</t>
  </si>
  <si>
    <t xml:space="preserve">Сумма выданных кредитов одному инсайдеру или группе связанных лиц, Обеспеченные Кредиты/ Лизинг </t>
  </si>
  <si>
    <t>Самый крупный кредит одному инсайдеру, обеспеченный</t>
  </si>
  <si>
    <t>#FNOBES{12301,12309,14701,14705,11101,13301,13309,14301,14305;01;;25;;E}</t>
  </si>
  <si>
    <t>#FNOBES{12301,12309,14701,14705,11101,13301,13309,14301,14305;01;;23;;E}</t>
  </si>
  <si>
    <t>#FNOBES{12301,12309,14701,14705,11101,13301,13309,14301,14305;01;1;24;;E}</t>
  </si>
  <si>
    <t>#FNOBES{12301,12309,14701,14705,11101,13301,13309,14301,14305;01;1;31,32,33,34,35,36,37;;E}</t>
  </si>
  <si>
    <t>#FNOBES{12301,12309,14701,14705,11101,13301,13309,14301,14305;01;1;29;;E}</t>
  </si>
  <si>
    <t>#FN5{9;12105,12305,12505,12605,12705,12905,13005,13105,13205,13305,15617,11103;91-180}</t>
  </si>
  <si>
    <t>#FN5{9;12105,12305,12505,12605,12705,12905,13005,13105,13205,15617,11103;181-365}</t>
  </si>
  <si>
    <t>#FNECTCP{12301,12309,14701,14705,11101,13301,13309,14301,14305;01;9;;E}</t>
  </si>
  <si>
    <t>прсроч.</t>
  </si>
  <si>
    <t>в суде</t>
  </si>
  <si>
    <t xml:space="preserve">Частные товарищества и корпорации </t>
  </si>
  <si>
    <t xml:space="preserve">Фермерские хозяйства </t>
  </si>
  <si>
    <t>Код формы собственности =113 (фермерские хоз-ва)</t>
  </si>
  <si>
    <t>Частные товарищества и корпорации всего</t>
  </si>
  <si>
    <t>Фермерские хозяйства  (ЧТК и КФС=113)</t>
  </si>
  <si>
    <t>Частные товарищества и корпорации без КФС=113</t>
  </si>
  <si>
    <r>
      <t>Прочие</t>
    </r>
    <r>
      <rPr>
        <sz val="12"/>
        <color indexed="10"/>
        <rFont val="Times New Roman"/>
        <family val="1"/>
        <charset val="204"/>
      </rPr>
      <t xml:space="preserve"> </t>
    </r>
  </si>
  <si>
    <t xml:space="preserve">         Государственные предприятия без ФС 113</t>
  </si>
  <si>
    <t xml:space="preserve">         Совместные предприятия всего</t>
  </si>
  <si>
    <t xml:space="preserve">         Совместные и иностранные предприятия ФС 113</t>
  </si>
  <si>
    <t xml:space="preserve">         Совместные и иностранные предприятия без 113</t>
  </si>
  <si>
    <t xml:space="preserve">         Частные товарищества и корпорации всего</t>
  </si>
  <si>
    <t>#FNECTC{13101,13109,15501,15505,11101,13301,13309,14301,14305,15613;09;;;E}</t>
  </si>
  <si>
    <t xml:space="preserve">         Частные товарищества и корпорации ФС=113</t>
  </si>
  <si>
    <t xml:space="preserve">         Фермерское хозяйство</t>
  </si>
  <si>
    <t xml:space="preserve">    Итого кредита и лизинга</t>
  </si>
  <si>
    <t>Ссуды и лизинг всего</t>
  </si>
  <si>
    <t xml:space="preserve">         Гос. предприятия всего</t>
  </si>
  <si>
    <t xml:space="preserve">         Государственные предприятия ФС 113</t>
  </si>
  <si>
    <t>#FN4{;13201-13209,15401-15405}</t>
  </si>
  <si>
    <t>#FN1{11901}</t>
  </si>
  <si>
    <t>#FN4{;12101-12109,14501,14505}</t>
  </si>
  <si>
    <t>#FN4{6;12701-12709,15101,15105}</t>
  </si>
  <si>
    <t>#FN4{6;12901-12909,15301,15305}</t>
  </si>
  <si>
    <t>#FN4{6;13001-13009,15201-15205}</t>
  </si>
  <si>
    <t>#FNOBES{13001,13009,15201,15205,11101,13301,13309,14301,14305,15611;03;;31,32,33,34,35,36,37;;E}</t>
  </si>
  <si>
    <t>#FNOBES{13001,13009,15201,15205,11101,13301,13309,14301,14305,15611;03;;29;;E}</t>
  </si>
  <si>
    <t>#FNOBES{12901,12909,15301,15305,11101,13301,13309,14301,14305,15609;10;7;26;;E}</t>
  </si>
  <si>
    <t>#FNOBES{12901,12909,15301,15305,11101,13301,13309,14301,14305,15609;10;7;24;;E}</t>
  </si>
  <si>
    <t>#FNOBES{12901,12909,15301,15305,11101,13301,13309,14301,14305,15609;10;7;31,32,33,34,35,36,37;;E}</t>
  </si>
  <si>
    <t>#FNOBES{12901,12909,15301,15305,11101,13301,13309,14301,14305,15609;10;7;29;;E}</t>
  </si>
  <si>
    <t>#FNOBES{13201,13209,15401,15405,11101,13301,13309,14301,14305;04;6;42;;E}</t>
  </si>
  <si>
    <t>#FNOBES{13201,13209,15401,15405,11101,13301,13309,14301,14305;04;6;61;;E}</t>
  </si>
  <si>
    <t>#FNOBES{12301,12309,14701,14705,11101,13301,13309,14301,14305;01;6;25;;E}</t>
  </si>
  <si>
    <t>#FNOBES{12301,12309,14701,14705,11101,13301,13309,14301,14305;01;6;23;;E}</t>
  </si>
  <si>
    <t>#FNOBES{12301,12309,14701,14705,11101,13301,13309,14301,14305;01;6;26;;E}</t>
  </si>
  <si>
    <t>#FNOBES{12301,12309,14701,14705,11101,13301,13309,14301,14305;01;6;24;;E}</t>
  </si>
  <si>
    <t>#FNOBES{12301,12309,14701,14705,11101,13301,13309,14301,14305;01;6;31,32,33,34,35,36,37;;E}</t>
  </si>
  <si>
    <t>#FNOBES{13101,13109,15501,15505,11101,13301,13309,14301,14305,15613;09;2;31,32,33,34,35,36,37;;E}</t>
  </si>
  <si>
    <t>#FNOBES{13101,13109,15501,15505,11101,13301,13309,14301,14305,15613;09;2;29;;E}</t>
  </si>
  <si>
    <t>#FNOBES{13101,13109,15501,15505,11101,13301,13309,14301,14305,15613;09;2;42;;E}</t>
  </si>
  <si>
    <t>#FNOBES{13101,13109,15501,15505,11101,13301,13309,14301,14305,15613;09;2;61;;E}</t>
  </si>
  <si>
    <t xml:space="preserve">#FN12{;111,12301,12309,12401,12409,12501,12509,12601,12609,12701,12709,12901,12909,13001,13009,13101,13109,13201,13209,13301,13309,1430,1470,1480,1490,1500,1510,1520,1530,1540,1550,15603-15619;1-30} </t>
  </si>
  <si>
    <t>#FNECTC{12509,14905,13309,14305,15619;08;;;E}</t>
  </si>
  <si>
    <t>#FN5{;12705;366-730}</t>
  </si>
  <si>
    <t>#FN5{;12905;1-30}</t>
  </si>
  <si>
    <t>#FN5{;12905;31-60}</t>
  </si>
  <si>
    <t>#FN5{;12905;61-90}</t>
  </si>
  <si>
    <t>#FN5{;12905;91-180}</t>
  </si>
  <si>
    <t>#FN5{;12905;181-365}</t>
  </si>
  <si>
    <t>#FN5{;12905;366-730}</t>
  </si>
  <si>
    <t>#FN5{;13005;1-30}</t>
  </si>
  <si>
    <t>#FN5{;13005;31-60}</t>
  </si>
  <si>
    <t>#FN5{;13005;61-90}</t>
  </si>
  <si>
    <t>#FNOBES{12301,12309,14701,14705,11101,13301,13309,14301,14305;01;8;25;;E}</t>
  </si>
  <si>
    <t>#FNOBES{12301,12309,14701,14705,11101,13301,13309,14301,14305;01;8;23;;E}</t>
  </si>
  <si>
    <t>#FNOBES{12301,12309,14701,14705,11101,13301,13309,14301,14305;01;8;26;;E}</t>
  </si>
  <si>
    <t>#FNOBES{12301,12309,14701,14705,11101,13301,13309,14301,14305;01;8;21,22;;E}</t>
  </si>
  <si>
    <t xml:space="preserve">        Итого по жилищно-коммунальным услугам</t>
  </si>
  <si>
    <t>Другие отрасли</t>
  </si>
  <si>
    <t>{К}</t>
  </si>
  <si>
    <t>{Л}</t>
  </si>
  <si>
    <t>{М}</t>
  </si>
  <si>
    <t>д. Другие ценные бумаги</t>
  </si>
  <si>
    <t xml:space="preserve">   д. ИТОГО ПРОЦЕНТНЫХ РАСХОДОВ ПО ДРУГИМ ОБЯЗАТЕЛЬСТВАМ</t>
  </si>
  <si>
    <t>9.  ИТОГО ПРОЦЕНТНЫХ РАСХОДОВ</t>
  </si>
  <si>
    <t>ИЗМЕНЕНИЯ В АКЦИОНЕРНОМ КАПИТАЛЕ</t>
  </si>
  <si>
    <t>Ссуды и лизинг- двадцать крупнейших ссудополучателей</t>
  </si>
  <si>
    <t xml:space="preserve">      ж. Итого процентных расходов по депозитам до востребования</t>
  </si>
  <si>
    <t>#FN1{20202-20205}</t>
  </si>
  <si>
    <t xml:space="preserve">   а. Минус: Оценка возможных убытков по ссудам и лизингу</t>
  </si>
  <si>
    <t>6. Изменения в оценочной стоимости прироста над первонач. стоимостью, за текущий год (чистые)</t>
  </si>
  <si>
    <t>Номер группы</t>
  </si>
  <si>
    <t xml:space="preserve">  Дата   выдачи</t>
  </si>
  <si>
    <t>Дата погашения</t>
  </si>
  <si>
    <t>#FNOBES{12501,12509,14901,14905,11101,13301,13309,14301,14305,15603;08;;61;;E}</t>
  </si>
  <si>
    <t>#FNOBES{12601,12609,15001,15005,11101,13301,13309,14301,14305,15605;11;;25;;E}</t>
  </si>
  <si>
    <t>6. Минус: Денежные дивиденды объявленные по привилегированным акциям</t>
  </si>
  <si>
    <t>7. Минус: Дивиденды в виде акций объявленные по обыкновенным акциям</t>
  </si>
  <si>
    <t>от 1 до 30</t>
  </si>
  <si>
    <t>#FN1{10309}</t>
  </si>
  <si>
    <t>366 дней-</t>
  </si>
  <si>
    <t>Свыше 2</t>
  </si>
  <si>
    <t>%</t>
  </si>
  <si>
    <t>1-30 дней</t>
  </si>
  <si>
    <t>дней</t>
  </si>
  <si>
    <t>4. Отчисления в резерв по состоянию на дату от начала года</t>
  </si>
  <si>
    <t xml:space="preserve">    в. Командировочные и транспортные расходы</t>
  </si>
  <si>
    <t>6.  ЧИСТЫЙ ДОХОД ДО ОПЕРАЦИОННЫХ РАСХОДОВ</t>
  </si>
  <si>
    <t>7. Ссуды и Лизинговые операции</t>
  </si>
  <si>
    <t>Часть 2 - Счета купли-продажи ценных бумаг</t>
  </si>
  <si>
    <t xml:space="preserve">3.  Приобретал ли  банк долевое участие в каких-либо финансовых учреждениях  </t>
  </si>
  <si>
    <t>#FNOBES{12401,12409,14801,14809,11101,13301,13309,14301,14305;12;2;25;;E}</t>
  </si>
  <si>
    <t>#FNOBES{12401,12409,14801,14809,11101,13301,13309,14301,14305;12;2;23;;E}</t>
  </si>
  <si>
    <t>#FNOBES{12401,12409,14801,14809,11101,13301,13309,14301,14305;12;2;26;;E}</t>
  </si>
  <si>
    <t xml:space="preserve">Со оставшимся сроком погашения до одного года </t>
  </si>
  <si>
    <t>а2</t>
  </si>
  <si>
    <t xml:space="preserve">Со оставшимся сроком погашения от одного года до двух лет </t>
  </si>
  <si>
    <t>а3</t>
  </si>
  <si>
    <t>Векселя {облигации,31,32,33,34,35,36,37}</t>
  </si>
  <si>
    <t>#FN1{303,306,309,312,4,5}</t>
  </si>
  <si>
    <t>8. Итого инвестиций</t>
  </si>
  <si>
    <t>9. Минус: Резерв возможных убытков</t>
  </si>
  <si>
    <t>АНАЛИЗ ОБЯЗАТЕЛЬСТВ БАНКА</t>
  </si>
  <si>
    <t>Срок погашения (в днях)</t>
  </si>
  <si>
    <t>Свыше 1 года</t>
  </si>
  <si>
    <t>Скорректированная общая капитала, основанного на риске</t>
  </si>
  <si>
    <t>#FN4{1;12301-12309,14701,14705}</t>
  </si>
  <si>
    <t>#FNOBES{13101,13109,15501,15505,11101,13301,13309,14301,14305,15613;09;2;25;;E}</t>
  </si>
  <si>
    <t>#FNOBES{13101,13109,15501,15505,11101,13301,13309,14301,14305,15613;09;2;23;;E}</t>
  </si>
  <si>
    <t>#FNOBES{12301,12309,14701,14705,11101,13301,13309,14301,14305;01;8;42;;E}</t>
  </si>
  <si>
    <t>#FNOBES{12301,12309,14701,14705,11101,13301,13309,14301,14305;01;8;61;;E}</t>
  </si>
  <si>
    <t>#FNECTCP{11103,11105,12305,13305,15617,15701,15705;01;8;;E}</t>
  </si>
  <si>
    <t>#FNECTC{12401,12409,14801,14809,11101,13301,13309,14301,14305;12;8;;E}</t>
  </si>
  <si>
    <t>#FNECTC{15701,15705;12;8;;E}</t>
  </si>
  <si>
    <t>#FNECTCP{12401,12409,14801,14809,11101,13301,13309,14301,14305;12;8;;E}</t>
  </si>
  <si>
    <t>#FNOBES{12401,12409,14801,14809,11101,13301,13309,14301,14305;12;8;25;;E}</t>
  </si>
  <si>
    <t>1. ПРОЦЕНТНЫЕ ДОХОДЫ</t>
  </si>
  <si>
    <t>Всего задолжность по ссудам</t>
  </si>
  <si>
    <t>Реструктуризированные кредиты</t>
  </si>
  <si>
    <t>Просроченная задолжность</t>
  </si>
  <si>
    <t>Срочные депозиты</t>
  </si>
  <si>
    <t>1.4</t>
  </si>
  <si>
    <t>Итого депозитов</t>
  </si>
  <si>
    <t>К оплате в ЦБРУ</t>
  </si>
  <si>
    <t>К оплате в другие банки</t>
  </si>
  <si>
    <t>Управленческие чеки</t>
  </si>
  <si>
    <t>Категория</t>
  </si>
  <si>
    <t>1 . ПРОЦЕНТНЫЕ ДОХОДЫ ПО ССУДАМ И ЛИЗИНГОВЫМ ОПЕРАЦИЯМ</t>
  </si>
  <si>
    <t>Максимальный размер риска для всех крупных кредитов</t>
  </si>
  <si>
    <t>#FN1{202}</t>
  </si>
  <si>
    <t>#FN12{;216,220,221;181-365}</t>
  </si>
  <si>
    <t>#FN1{226}</t>
  </si>
  <si>
    <t>#FN1{228}</t>
  </si>
  <si>
    <t>#FN1{232}</t>
  </si>
  <si>
    <t>#FN12{;20402-20405,20408-20496;1-30}</t>
  </si>
  <si>
    <t>#FN12{;20402-20405,20408-20496;31-180}</t>
  </si>
  <si>
    <t>#FN12{;20402-20405,20408-20496;181-365}</t>
  </si>
  <si>
    <t>#FN1{23606}</t>
  </si>
  <si>
    <t>#FNOBES{13201,13209,15401,15405,11101,13301,13309,14301,14305;04;2;42;;E}</t>
  </si>
  <si>
    <t>#FNOBES{13201,13209,15401,15405,11101,13301,13309,14301,14305;04;2;61;;E}</t>
  </si>
  <si>
    <t>#FN1{16799}</t>
  </si>
  <si>
    <t>#FN1{30906}</t>
  </si>
  <si>
    <t>г.   Еврооблигации</t>
  </si>
  <si>
    <t>д.  Частные ценные бумаги</t>
  </si>
  <si>
    <t>е.  Другие ценные бумаги</t>
  </si>
  <si>
    <t>#FN12{;10597;31-180}</t>
  </si>
  <si>
    <t>Негосударственные, некомерческие организации</t>
  </si>
  <si>
    <t>Небанковские финансовые институты</t>
  </si>
  <si>
    <t>#FN1{11199,12199,12399,12499,12599,12699,12799,12999}+#FN1{13099,13199,13299,13399,14399,14599,14799,14899,14999}+#FN1{15099,15199,15299,15399,15499,15599,15699,15799}</t>
  </si>
  <si>
    <t>#FN1{10901}</t>
  </si>
  <si>
    <t>#FN1{10905}</t>
  </si>
  <si>
    <t>#FN1{10909}</t>
  </si>
  <si>
    <t>#FN12{;21010;31-180}</t>
  </si>
  <si>
    <t>Необеспеченные</t>
  </si>
  <si>
    <t xml:space="preserve">     а. Комиссионные расходы и расходы за услуги</t>
  </si>
  <si>
    <t xml:space="preserve">     е. Другие сберегательные депозиты </t>
  </si>
  <si>
    <t xml:space="preserve">     е. Другие  срочные депозиты</t>
  </si>
  <si>
    <t>#FN1{20610}</t>
  </si>
  <si>
    <t>#FN12{;216,220,221;1-30}</t>
  </si>
  <si>
    <t>#FN12{;216,220,221;31-180}</t>
  </si>
  <si>
    <t xml:space="preserve">     повлияв на долю владения собственностью учреждения на 5% и более?</t>
  </si>
  <si>
    <t>#FN5{;13005;91-180}</t>
  </si>
  <si>
    <t>#FN5{;13005;181-365}</t>
  </si>
  <si>
    <t>#FN5{;13005;366-730}</t>
  </si>
  <si>
    <t>#FN5{;13105;1-30}</t>
  </si>
  <si>
    <t>#FN5{;13105;31-60}</t>
  </si>
  <si>
    <t>#FN5{;13105;61-90}</t>
  </si>
  <si>
    <t>#FN5{;13105;91-180}</t>
  </si>
  <si>
    <t>#FN5{;13105;181-365}</t>
  </si>
  <si>
    <t>#FN5{;13105;366-730}</t>
  </si>
  <si>
    <t>#FN5{;13205;1-30}</t>
  </si>
  <si>
    <t>#FN5{;13205;31-60}</t>
  </si>
  <si>
    <t>#FN5{;13205;61-90}</t>
  </si>
  <si>
    <t>#FN5{;13205;91-180}</t>
  </si>
  <si>
    <t>#FN5{;13205;181-365}</t>
  </si>
  <si>
    <t>#FN5{;13205;366-730}</t>
  </si>
  <si>
    <t>#FNOBES{12401,12409,14801,14809,11101,13301,13309,14301,14305;12;6;21,22;;E}</t>
  </si>
  <si>
    <t>#FNOBES{12501,12509,14901,14905,11101,13301,13309,14301,14305,15603;08;6;21,22;;E}</t>
  </si>
  <si>
    <t>#FNOBES{12601,12609,15001,15005,11101,13301,13309,14301,14305,15605;11;6;21,22;;E}</t>
  </si>
  <si>
    <t>#FNOBES{12701,12709,15101,15105,11101,13301,13309,14301,14305,15607;02;6;21,22;;E}</t>
  </si>
  <si>
    <t>#FNOBES{12901,12909,15301,15305,11101,13301,13309,14301,14305,15609;10;6;21,22;;E}</t>
  </si>
  <si>
    <t>#FNOBES{13001,13009,15201,15205,11101,13301,13309,14301,14305,15611;03;6;21,22;;E}</t>
  </si>
  <si>
    <t>#FNOBES{13101,13109,15501,15505,11101,13301,13309,14301,14305,15613;09;6;21,22;;E}</t>
  </si>
  <si>
    <t>#FNOBES{12701,12709,15101,15105,11101,13301,13309,14301,14305,15607;02;6;26;;E}</t>
  </si>
  <si>
    <t>#FNOBES{12701,12709,15101,15105,11101,13301,13309,14301,14305,15607;02;6;24;;E}</t>
  </si>
  <si>
    <t>#FNOBES{12701,12709,15101,15105,11101,13301,13309,14301,14305,15607;02;6;31,32,33,34,35,36,37;;E}</t>
  </si>
  <si>
    <t>#FNOBES{12701,12709,15101,15105,11101,13301,13309,14301,14305,15607;02;6;29;;E}</t>
  </si>
  <si>
    <t>#FNOBES{12701,12709,15101,15105,11101,13301,13309,14301,14305,15607;02;6;42;;E}</t>
  </si>
  <si>
    <t>#FNOBES{12701,12709,15101,15105,11101,13301,13309,14301,14305,15607;02;6;61;;E}</t>
  </si>
  <si>
    <t>#FN1{30312,30318}-#FN1{30306,30324}</t>
  </si>
  <si>
    <t xml:space="preserve">         Небанковские финансовые институты без ФС</t>
  </si>
  <si>
    <t xml:space="preserve">         Негосударственные некоммерческие организации  всего</t>
  </si>
  <si>
    <t xml:space="preserve">         Негосударственные некоммерческие организации  ФС=113</t>
  </si>
  <si>
    <t xml:space="preserve">     б. Минус: Резерв возможных убытков по инвестициям</t>
  </si>
  <si>
    <t xml:space="preserve">     в. Инвестиции, чистые</t>
  </si>
  <si>
    <t>10. ДОХОД ДО ВВЕДЕНИЯ ПОПРАВОК</t>
  </si>
  <si>
    <t xml:space="preserve">       а. Непредвиденные доходы или убытки, чистые</t>
  </si>
  <si>
    <t>9. Другие статьи, влияющие на нераспределенную прибыль,Чистые</t>
  </si>
  <si>
    <t>4.  Занимался ли банк новой финансовой деятельностью в течение месяца?</t>
  </si>
  <si>
    <t>Часть 1 - Инвестиции в ценные бумаги</t>
  </si>
  <si>
    <t>Амортизированная  
    стоимость</t>
  </si>
  <si>
    <t>Рыночная 
стоимость</t>
  </si>
  <si>
    <t>1. Инвестиции в государственные облигации</t>
  </si>
  <si>
    <t xml:space="preserve">    е. Процентные доходы по обязательствам клиентов</t>
  </si>
  <si>
    <t>А</t>
  </si>
  <si>
    <t>Ж</t>
  </si>
  <si>
    <t>З</t>
  </si>
  <si>
    <t>И</t>
  </si>
  <si>
    <t>К</t>
  </si>
  <si>
    <t>Л</t>
  </si>
  <si>
    <t>М</t>
  </si>
  <si>
    <t>Н</t>
  </si>
  <si>
    <t>Торговля и сфера общественных услуг</t>
  </si>
  <si>
    <t>Инвестиции в негосударственные ценные бумаги одного эмитента</t>
  </si>
  <si>
    <t>#FN12{;21010;1-30}</t>
  </si>
  <si>
    <t>#FNECTCO{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3;;E}</t>
  </si>
  <si>
    <t>#FN1{15801,15805,15809,15813,15817,15821,15901,15905,15909,15913,15911,15979,15989-15993}</t>
  </si>
  <si>
    <t>#FN5{;12405;61-90}</t>
  </si>
  <si>
    <t>#FN5{;12405;91-180}</t>
  </si>
  <si>
    <t>#FN5{;12405;181-365}</t>
  </si>
  <si>
    <t>#FN5{;12405;366-730}</t>
  </si>
  <si>
    <t>#FN5{;12505;1-30}</t>
  </si>
  <si>
    <t>#FN5{;12505;31-60}</t>
  </si>
  <si>
    <t>#FN5{;12505;61-90}</t>
  </si>
  <si>
    <t>#FN5{;12505;91-180}</t>
  </si>
  <si>
    <t>#FN5{;12505;181-365}</t>
  </si>
  <si>
    <t>#FN5{;12505;366-730}</t>
  </si>
  <si>
    <t>#FN5{;12605;1-30}</t>
  </si>
  <si>
    <t>#FN5{;12605;31-60}</t>
  </si>
  <si>
    <t>#FN5{;12605;61-90}</t>
  </si>
  <si>
    <t>#FN5{;12605;91-180}</t>
  </si>
  <si>
    <t>#FN5{;12605;181-365}</t>
  </si>
  <si>
    <t>#FN5{;12605;366-730}</t>
  </si>
  <si>
    <t>#FN5{;12705;1-30}</t>
  </si>
  <si>
    <t>#FN5{;12705;31-60}</t>
  </si>
  <si>
    <t>#FN5{;12705;61-90}</t>
  </si>
  <si>
    <t>#FN5{;12705;91-180}</t>
  </si>
  <si>
    <t>#FN5{;12705;181-365}</t>
  </si>
  <si>
    <t>#FNOBES{12901,12909,15301,15305,11101,13301,13309,14301,14305,15609;10;6;29;;E}</t>
  </si>
  <si>
    <t>#FNECTCP{12101,12109,14501,14505,11101,13301,13309,14301,14305,15601;07;;;E}</t>
  </si>
  <si>
    <t>#FNECTCP{12301,12309,14701,14705,11101,13301,13309,14301,14305;01;;;E}</t>
  </si>
  <si>
    <t>#FN4{5;12901-12909,15301,15305}</t>
  </si>
  <si>
    <t>#FN4{5;13001-13009,15201-15205}</t>
  </si>
  <si>
    <t>#FN4{5;13101-13109,15501-15505}</t>
  </si>
  <si>
    <t>#FN4{5;13201-13209,15401-15405}</t>
  </si>
  <si>
    <t>#FN4{5;12301-12309,14701,14705}</t>
  </si>
  <si>
    <t>#FN4{;13101-13109,15501-15505}</t>
  </si>
  <si>
    <t>2. Инвестиции в ценные бумаги и облигации ЦБРУ</t>
  </si>
  <si>
    <t>24. Другие обязательства</t>
  </si>
  <si>
    <t>#FN1{157}</t>
  </si>
  <si>
    <t>Анализ временной задолженности</t>
  </si>
  <si>
    <t>31-60</t>
  </si>
  <si>
    <t>61-90</t>
  </si>
  <si>
    <t>91-180</t>
  </si>
  <si>
    <t>181-365</t>
  </si>
  <si>
    <t>#FN1{20402-20405}</t>
  </si>
  <si>
    <t>#FN9{20402-20405}</t>
  </si>
  <si>
    <t>#FN9{20406}</t>
  </si>
  <si>
    <t>#FN1{30603}</t>
  </si>
  <si>
    <t>3. Равно: Откорректированная нераспределенная прибыль</t>
  </si>
  <si>
    <t>6. Ценные бумаги купленные по соглашению c обратным выкупом</t>
  </si>
  <si>
    <t>#FNOBES{13101,13109,15501,15505,11101,13301,13309,14301,14305,15613;09;2;24;;E}</t>
  </si>
  <si>
    <t>#FNOBES{12701,12709,15101,15105,11101,13301,13309,14301,14305,15607;02;2;26;;E}</t>
  </si>
  <si>
    <t>#FNOBES{12701,12709,15101,15105,11101,13301,13309,14301,14305,15607;02;2;24;;E}</t>
  </si>
  <si>
    <t>#FNOBES{12701,12709,15101,15105,11101,13301,13309,14301,14305,15607;02;2;31,32,33,34,35,36,37;;E}</t>
  </si>
  <si>
    <t>#FNOBES{12701,12709,15101,15105,11101,13301,13309,14301,14305,15607;02;2;29;;E}</t>
  </si>
  <si>
    <t xml:space="preserve">Корр. счета, кредиты и другие требования к другим банкам и депозитарным институтам </t>
  </si>
  <si>
    <t>а.</t>
  </si>
  <si>
    <t>#FNOBES{12301,12309,14701,14705,11101,13301,13309,14301,14305;01;2;42;;E}</t>
  </si>
  <si>
    <t>#FNOBES{12301,12309,14701,14705,11101,13301,13309,14301,14305;01;2;61;;E}</t>
  </si>
  <si>
    <t>#FNOBES{12401,12409,14801,14809,11101,13301,13309,14301,14305;12;5;25;;E}</t>
  </si>
  <si>
    <t>#FNOBES{12401,12409,14801,14809,11101,13301,13309,14301,14305;12;5;23;;E}</t>
  </si>
  <si>
    <t>#FNOBES{12401,12409,14801,14809,11101,13301,13309,14301,14305;12;5;26;;E}</t>
  </si>
  <si>
    <t>#FNOBES{12401,12409,14801,14809,11101,13301,13309,14301,14305;12;5;24;;E}</t>
  </si>
  <si>
    <t>#FNOBES{12401,12409,14801,14809,11101,13301,13309,14301,14305;12;5;31,32,33,34,35,36,37;;E}</t>
  </si>
  <si>
    <t>#FNOBES{12401,12409,14801,14809,11101,13301,13309,14301,14305;12;5;29;;E}</t>
  </si>
  <si>
    <t>#FNOBES{12401,12409,14801,14809,11101,13301,13309,14301,14305;12;5;42;;E}</t>
  </si>
  <si>
    <t>#FNOBES{12401,12409,14801,14809,11101,13301,13309,14301,14305;12;5;61;;E}</t>
  </si>
  <si>
    <t xml:space="preserve"> #FN1{11301-11395}</t>
  </si>
  <si>
    <t xml:space="preserve"> #FN1{115,117}</t>
  </si>
  <si>
    <t xml:space="preserve"> #FN1{165,166}</t>
  </si>
  <si>
    <t xml:space="preserve"> #FN1{163}</t>
  </si>
  <si>
    <t xml:space="preserve"> #FN1{16709}</t>
  </si>
  <si>
    <t>#FN1{202,226}</t>
  </si>
  <si>
    <t>#FN1{204,23604}</t>
  </si>
  <si>
    <t>#FN1{206,23606}</t>
  </si>
  <si>
    <t>#FN1{208}</t>
  </si>
  <si>
    <t>#FN1{210,212}</t>
  </si>
  <si>
    <t>#FN1{223}</t>
  </si>
  <si>
    <t>#FN1{216,220,221,23602,23608,23610}</t>
  </si>
  <si>
    <t>#FN1{224}</t>
  </si>
  <si>
    <t>#FNOBES{12901,12909,15301,15305,11101,13301,13309,14301,14305,15609;10;2;42;;E}</t>
  </si>
  <si>
    <t>#FNOBES{12901,12909,15301,15305,11101,13301,13309,14301,14305,15609;10;2;61;;E}</t>
  </si>
  <si>
    <t>#FNECTCOP{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2;;E}</t>
  </si>
  <si>
    <t>#FNOBES{12601,12609,15001,15005,11101,13301,13309,14301,14305,15605;11;7;25;;E}</t>
  </si>
  <si>
    <t>#FNOBES{12601,12609,15001,15005,11101,13301,13309,14301,14305,15605;11;7;23;;E}</t>
  </si>
  <si>
    <t>#FNECTC{12301,12309,14701,14705,11101,13301,13309,14301,14305;01;7;;E}</t>
  </si>
  <si>
    <t>#FNECTC{12401,12409,14801,14809,11101,13301,13309,14301,14305;12;;;E}</t>
  </si>
  <si>
    <t xml:space="preserve">     ж. Итого сберегательных депозитов</t>
  </si>
  <si>
    <t>3. Срочные депозиты</t>
  </si>
  <si>
    <t>Основная сумма ссуды</t>
  </si>
  <si>
    <t>#FN12{;21010;181-365}</t>
  </si>
  <si>
    <t>#FN1{210}</t>
  </si>
  <si>
    <t>#FN1{212}</t>
  </si>
  <si>
    <t>#FN1{214}</t>
  </si>
  <si>
    <t>#FNOBES{13001,13009,15201,15205,11101,13301,13309,14301,14305,15611;03;7;25;;E}</t>
  </si>
  <si>
    <t>#FNOBES{13001,13009,15201,15205,11101,13301,13309,14301,14305,15611;03;7;23;;E}</t>
  </si>
  <si>
    <t>#FNOBES{13001,13009,15201,15205,11101,13301,13309,14301,14305,15611;03;7;26;;E}</t>
  </si>
  <si>
    <t>#FNOBES{13001,13009,15201,15205,11101,13301,13309,14301,14305,15611;03;7;24;;E}</t>
  </si>
  <si>
    <t>#FNOBES{13001,13009,15201,15205,11101,13301,13309,14301,14305,15611;03;7;31,32,33,34,35,36,37;;E}</t>
  </si>
  <si>
    <t>#FNOBES{13001,13009,15201,15205,11101,13301,13309,14301,14305,15611;03;7;29;;E}</t>
  </si>
  <si>
    <t>#FNOBES{13001,13009,15201,15205,11101,13301,13309,14301,14305,15611;03;7;42;;E}</t>
  </si>
  <si>
    <t>#FNOBES{13001,13009,15201,15205,11101,13301,13309,14301,14305,15611;03;7;61;;E}</t>
  </si>
  <si>
    <t>#FNOBES{13101,13109,15501,15505,11101,13301,13309,14301,14305,15613;09;7;25;;E}</t>
  </si>
  <si>
    <t>#FNECTCOP{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5;;E}</t>
  </si>
  <si>
    <t xml:space="preserve">Общий размер инвестиций в ценные бумаги для купли- продажи  </t>
  </si>
  <si>
    <t>#FN1{90909,90916,90923,90930,90937,90958}</t>
  </si>
  <si>
    <t>#FN1{426,446,45105,45113}</t>
  </si>
  <si>
    <t>#FN9{20606}</t>
  </si>
  <si>
    <t>#FNECTCP{11103,11105,13005,13305,15617,15701,15705;03;5;;E}</t>
  </si>
  <si>
    <t>#FNECTCP{11103,11105,13105,13305,15617,15701,15705;09;5;;E}</t>
  </si>
  <si>
    <t>#FNECTCP{11103,11105,13205,13305,15617,15701,15705;04;5;;E}</t>
  </si>
  <si>
    <t>#FNECTCP{11103,11105,12305,13305,15617,15701,15705;01;5;;E}</t>
  </si>
  <si>
    <t>#FNECTCP{11103,11105,12405,13305,15617,15701,15705;12;6;;E}</t>
  </si>
  <si>
    <t>#FNECTCP{11103,11105,12505,13305,15617,15703,15705;08;6;;E}</t>
  </si>
  <si>
    <t>#FNECTCP{11103,11105,12605,13305,15617,15701,15705;11;6;;E}</t>
  </si>
  <si>
    <t>#FNECTCP{11103,11105,12705,13305,15617,15701,15705;02;6;;E}</t>
  </si>
  <si>
    <t>#FNECTCP{11103,11105,12905,13305,15617,15701,15705;10;6;;E}</t>
  </si>
  <si>
    <t>#FNECTCP{11103,11105,13005,13305,15617,15701,15705;03;6;;E}</t>
  </si>
  <si>
    <t>#FNECTCP{11103,11105,13105,13305,15617,15701,15705;09;6;;E}</t>
  </si>
  <si>
    <t>#FNECTCP{11103,11105,13205,13305,15617,15701,15705;04;6;;E}</t>
  </si>
  <si>
    <t>#FNECTCP{11103,11105,12305,13305,15617,15701,15705;01;6;;E}</t>
  </si>
  <si>
    <t>#FNECTCP{11103,11105,12405,13305,15617,15701,15705;12;7;;E}</t>
  </si>
  <si>
    <t>#FNOBES{12301,12309,14701,14705,11101,13301,13309,14301,14305;01;1;42;;E}</t>
  </si>
  <si>
    <t>#FNOBES{12301,12309,14701,14705,11101,13301,13309,14301,14305;01;1;61;;E}</t>
  </si>
  <si>
    <t>#FNOBES{12401,12409,14801,14809,11101,13301,13309,14301,14305;12;6;31,32,33,34,35,36,37;;E}</t>
  </si>
  <si>
    <t>#FNOBES{12401,12409,14801,14809,11101,13301,13309,14301,14305;12;6;29;;E}</t>
  </si>
  <si>
    <t>#FNOBES{12401,12409,14801,14809,11101,13301,13309,14301,14305;12;6;42;;E}</t>
  </si>
  <si>
    <t>#FNOBES{12401,12409,14801,14809,11101,13301,13309,14301,14305;12;6;61;;E}</t>
  </si>
  <si>
    <t>Кредиты и лизинг в судебном разбирательстве</t>
  </si>
  <si>
    <t>Другие активы в судебном разбирательстве и(или) не взысканные в установленном порядке</t>
  </si>
  <si>
    <t>#FNOBES{13101,13109,15501,15505,11101,13301,13309,14301,14305,15613;09;9;42;;E}</t>
  </si>
  <si>
    <t>#FNOBES{13101,13109,15501,15505,11101,13301,13309,14301,14305,15613;09;9;61;;E}</t>
  </si>
  <si>
    <t>#FNECTCP{11103,11105,13105,13305,15617,15701,15705;09;9;;E}</t>
  </si>
  <si>
    <t>#FNECTC{12301,12309,14701,14705,11101,13301,13309,14301,14305;01;9;;E}</t>
  </si>
  <si>
    <t>#FNECTC{15701,15705;01;9;;E}</t>
  </si>
  <si>
    <t>#FNOBES{12301,12309,14701,14705,11101,13301,13309,14301,14305;01;9;25;;E}</t>
  </si>
  <si>
    <t>#FNOBES{12301,12309,14701,14705,11101,13301,13309,14301,14305;01;9;23;;E}</t>
  </si>
  <si>
    <t>#FNOBES{12301,12309,14701,14705,11101,13301,13309,14301,14305;01;9;26;;E}</t>
  </si>
  <si>
    <t>#FNOBES{12301,12309,14701,14705,11101,13301,13309,14301,14305;01;9;21,22;;E}</t>
  </si>
  <si>
    <t>#FNOBES{12301,12309,14701,14705,11101,13301,13309,14301,14305;01;9;24;;E}</t>
  </si>
  <si>
    <t>#FNOBES{12301,12309,14701,14705,11101,13301,13309,14301,14305;01;9;31,32,33,34,35,36,37;;E}</t>
  </si>
  <si>
    <t>#FNOBES{12301,12309,14701,14705,11101,13301,13309,14301,14305;01;9;29;;E}</t>
  </si>
  <si>
    <t>#FNOBES{12301,12309,14701,14705,11101,13301,13309,14301,14305;01;9;42;;E}</t>
  </si>
  <si>
    <t>#FNOBES{12301,12309,14701,14705,11101,13301,13309,14301,14305;01;9;61;;E}</t>
  </si>
  <si>
    <t>#FNECTCP{11103,11105,12305,13305,15617,15701,15705;01;9;;E}</t>
  </si>
  <si>
    <t>#FNECTC{12401,12409,14801,14809,11101,13301,13309,14301,14305;12;9;;E}</t>
  </si>
  <si>
    <t>#FNECTC{15701,15705;12;9;;E}</t>
  </si>
  <si>
    <t>#FNECTCP{12401,12409,14801,14809,11101,13301,13309,14301,14305;12;9;;E}</t>
  </si>
  <si>
    <t>#FNOBES{12401,12409,14801,14809,11101,13301,13309,14301,14305;12;9;25;;E}</t>
  </si>
  <si>
    <t>#FNOBES{12401,12409,14801,14809,11101,13301,13309,14301,14305;12;9;23;;E}</t>
  </si>
  <si>
    <t>#FNOBES{12401,12409,14801,14809,11101,13301,13309,14301,14305;12;9;26;;E}</t>
  </si>
  <si>
    <t>#FNOBES{12401,12409,14801,14809,11101,13301,13309,14301,14305;12;9;21,22;;E}</t>
  </si>
  <si>
    <t>#FNOBES{12401,12409,14801,14809,11101,13301,13309,14301,14305;12;9;24;;E}</t>
  </si>
  <si>
    <t>#FNOBES{12401,12409,14801,14809,11101,13301,13309,14301,14305;12;9;31,32,33,34,35,36,37;;E}</t>
  </si>
  <si>
    <t>#FNOBES{12401,12409,14801,14809,11101,13301,13309,14301,14305;12;9;29;;E}</t>
  </si>
  <si>
    <t>#FNOBES{12401,12409,14801,14809,11101,13301,13309,14301,14305;12;9;42;;E}</t>
  </si>
  <si>
    <t>#FNOBES{12401,12409,14801,14809,11101,13301,13309,14301,14305;12;9;61;;E}</t>
  </si>
  <si>
    <t>#FNECTCP{11103,11105,12405,13305,15617,15701,15705;12;9;;E}</t>
  </si>
  <si>
    <t>#FNECTC{12601,12609,15001,15005,11101,13301,13309,14301,14305,15605;11;9;;E}</t>
  </si>
  <si>
    <t>#FNECTC{15701,15705;11;9;;E}</t>
  </si>
  <si>
    <t>#FNECTCP{12601,12609,15001,15005,11101,13301,13309,14301,14305,15605;11;9;;E}</t>
  </si>
  <si>
    <t>#FNOBES{12601,12609,15001,15005,11101,13301,13309,14301,14305,15605;11;9;25;;E}</t>
  </si>
  <si>
    <t>#FNOBES{12601,12609,15001,15005,11101,13301,13309,14301,14305,15605;11;9;23;;E}</t>
  </si>
  <si>
    <t>#FN1{1110,11195,1190,1210,1230,1240,1250,1260,1270,1290}+#FN1{1300,1310,1320,1330,1430,14501,14505,14701,14705,14801,14809,14901,14905}+#FN1{15001,15005,15101,15105,15201,15205,15301,15305,15401,15405}+#FN1{15501,15505,15701,15703}</t>
  </si>
  <si>
    <t>15. Депозиты до востребования</t>
  </si>
  <si>
    <t>16.Сберегательные депозиты</t>
  </si>
  <si>
    <t xml:space="preserve">17. Срочные депозиты </t>
  </si>
  <si>
    <t>18. К оплате в ЦБРУ</t>
  </si>
  <si>
    <t>Сберегательные депозиты физических лиц</t>
  </si>
  <si>
    <t>Срочные депозиты  юридических лиц</t>
  </si>
  <si>
    <t>#FNOBES{12401,12409,14801,14809,11101,13301,13309,14301,14305;12;7;24;;E}</t>
  </si>
  <si>
    <t>#FNOBES{12401,12409,14801,14809,11101,13301,13309,14301,14305;12;7;31,32,33,34,35,36,37;;E}</t>
  </si>
  <si>
    <t>#FNOBES{12401,12409,14801,14809,11101,13301,13309,14301,14305;12;7;29;;E}</t>
  </si>
  <si>
    <t>#FNOBES{12401,12409,14801,14809,11101,13301,13309,14301,14305;12;7;42;;E}</t>
  </si>
  <si>
    <t>#FNOBES{12401,12409,14801,14809,11101,13301,13309,14301,14305;12;7;61;;E}</t>
  </si>
  <si>
    <t>#FNOBES{12501,12509,14901,14905,11101,13301,13309,14301,14305,15603;08;7;25;;E}</t>
  </si>
  <si>
    <t>Контракты по процентной ставке</t>
  </si>
  <si>
    <t>а1</t>
  </si>
  <si>
    <t>просрочка + в суде</t>
  </si>
  <si>
    <t>#FNECTC{13101,13109,15501,15505,11101,13301,13309,14301,14305,15613;09;9;;E}</t>
  </si>
  <si>
    <t>#FNECTC{15701,15705;09;9;;E}</t>
  </si>
  <si>
    <t>#FNECTCP{13101,13109,15501,15505,11101,13301,13309,14301,14305,15613;09;9;;E}</t>
  </si>
  <si>
    <t>ОТЧЕТ О CПИСАННЫХ И ВОЗВРАЩЕННЫХ ПЛАТЕЖАХ ИЗ РЕЗЕРВА ВОЗМОЖНЫХ ПОТЕРЬ ПО ССУДАМ И ЛИЗИНГУ</t>
  </si>
  <si>
    <t>ОБЯЗАТЕЛЬСТВА</t>
  </si>
  <si>
    <t>#FN1{20612,20616-20696,23606}</t>
  </si>
  <si>
    <t xml:space="preserve">   в. Процентные расходы по соглашениям о продаже ц/б с последующим выкупом</t>
  </si>
  <si>
    <t>Сберегательные депозиты</t>
  </si>
  <si>
    <t>1.3</t>
  </si>
  <si>
    <t>Материально-техническое 
снабжение и сбыт</t>
  </si>
  <si>
    <t>Всего Ссуд и лизинга</t>
  </si>
  <si>
    <t>Другие классифицированные активы</t>
  </si>
  <si>
    <t>Всего классифицированных активов</t>
  </si>
  <si>
    <t xml:space="preserve"> #FN1{10901-10909}</t>
  </si>
  <si>
    <t>контроль</t>
  </si>
  <si>
    <t>9.</t>
  </si>
  <si>
    <t>#FNOBES{13201,13209,15401,15405,11101,13301,13309,14301,14305;04;7;31,32,33,34,35,36,37;;E}</t>
  </si>
  <si>
    <t>#FNOBES{13201,13209,15401,15405,11101,13301,13309,14301,14305;04;7;29;;E}</t>
  </si>
  <si>
    <t>#FNOBES{13201,13209,15401,15405,11101,13301,13309,14301,14305;04;7;42;;E}</t>
  </si>
  <si>
    <t>#FNOBES{13201,13209,15401,15405,11101,13301,13309,14301,14305;04;7;61;;E}</t>
  </si>
  <si>
    <t>#FNECTC{12401,12409,14801,14809,11101,13301,13309,14301,14305;12;5;;E}</t>
  </si>
  <si>
    <t>#FNECTC{12501,12509,14901,14905,11101,13301,13309,14301,14305,15603;08;5;;E}</t>
  </si>
  <si>
    <t>16.</t>
  </si>
  <si>
    <t>8. ПРОЦЕНТНЫЕ РАСХОДЫ ПО ДРУГИМ ОБЯЗАТЕЛЬСТВАМ</t>
  </si>
  <si>
    <t xml:space="preserve">   а. Процентные расходы по непогашенным акцептам</t>
  </si>
  <si>
    <t xml:space="preserve">   б. Процентные расходы по ссудам к оплате</t>
  </si>
  <si>
    <t>#FNOBES{13101,13109,15501,15505,11101,13301,13309,14301,14305,15613;09;7;23;;E}</t>
  </si>
  <si>
    <t xml:space="preserve">Максимальный общий размер инвестиций в уставной капитал и другие ценные бумаги всех эмитентов  </t>
  </si>
  <si>
    <t>#FNOBES{12301,12309,14701,14705,11101,13301,13309,14301,14305;01;2;25;;E}</t>
  </si>
  <si>
    <t>#FNOBES{12301,12309,14701,14705,11101,13301,13309,14301,14305;01;2;23;;E}</t>
  </si>
  <si>
    <t>#FNOBES{12301,12309,14701,14705,11101,13301,13309,14301,14305;01;2;26;;E}</t>
  </si>
  <si>
    <t>#FNOBES{12301,12309,14701,14705,11101,13301,13309,14301,14305;01;2;24;;E}</t>
  </si>
  <si>
    <t>#FNOBES{13101,13109,15501,15505,11101,13301,13309,14301,14305,15613;09;8;31,32,33,34,35,36,37;;E}</t>
  </si>
  <si>
    <t>#FNOBES{13101,13109,15501,15505,11101,13301,13309,14301,14305,15613;09;8;29;;E}</t>
  </si>
  <si>
    <t>#FNOBES{13101,13109,15501,15505,11101,13301,13309,14301,14305,15613;09;8;42;;E}</t>
  </si>
  <si>
    <t>#FNOBES{13101,13109,15501,15505,11101,13301,13309,14301,14305,15613;09;8;61;;E}</t>
  </si>
  <si>
    <t>#FNOBES{12901,12909,15301,15305,11101,13301,13309,14301,14305,15609;10;1;42;;E}</t>
  </si>
  <si>
    <t>#FNOBES{12901,12909,15301,15305,11101,13301,13309,14301,14305,15609;10;1;61;;E}</t>
  </si>
  <si>
    <t>#FNOBES{13001,13009,15201,15205,11101,13301,13309,14301,14305,15611;03;1;25;;E}</t>
  </si>
  <si>
    <t xml:space="preserve">         Частные товарищества и корпорации без 113</t>
  </si>
  <si>
    <t xml:space="preserve">         Другие банки всего</t>
  </si>
  <si>
    <t xml:space="preserve">         Другие банки FS=113</t>
  </si>
  <si>
    <t>#FNOBES{12601,12609,15001,15005,11101,13301,13309,14301,14305,15605;11;5;31,32,33,34,35,36,37;;E}</t>
  </si>
  <si>
    <t>#FNOBES{12601,12609,15001,15005,11101,13301,13309,14301,14305,15605;11;5;29;;E}</t>
  </si>
  <si>
    <t>#FNOBES{13201,13209,15401,15405,11101,13301,13309,14301,14305;04;;42;;E}</t>
  </si>
  <si>
    <t>#FNOBES{13201,13209,15401,15405,11101,13301,13309,14301,14305;04;;61;;E}</t>
  </si>
  <si>
    <t>#FN5{1;12105,12305,12505,12605,12705,12905,13005,13105,13205,13305,15617,11103;1-30}</t>
  </si>
  <si>
    <t>#FN5{1;12105,12305,12505,12605,12705,12905,13005,13105,13205,13305,15617,11103;31-60}</t>
  </si>
  <si>
    <t>#FN5{1;12105,12305,12505,12605,12705,12905,13005,13105,13205,13305,15617,11103;61-90}</t>
  </si>
  <si>
    <t>#FN5{1;12105,12305,12505,12605,12705,12905,13005,13105,13205,13305,15617,11103;91-180}</t>
  </si>
  <si>
    <t>#FN5{1;12105,12305,12505,12605,12705,12905,13005,13105,13205,13305,15617,11103;181-365}</t>
  </si>
  <si>
    <t>#FN5{1;12105,12305,12505,12605,12705,12905,13005,13105,13205,13305,15617,11103;366-730}</t>
  </si>
  <si>
    <t xml:space="preserve">         Итого по торговле и общественному питанию</t>
  </si>
  <si>
    <t>Материально-техническое снабжение и сбыт</t>
  </si>
  <si>
    <t xml:space="preserve">        Итого по материально-техническому снабжению и сбыту</t>
  </si>
  <si>
    <t>Жилищно-коммунальные услуги</t>
  </si>
  <si>
    <t>#FNOBES{13201,13209,15401,15405,11101,13301,13309,14301,14305;04;6;21,22;;E}</t>
  </si>
  <si>
    <t>#FNOBES{12301,12309,14701,14705,11101,13301,13309,14301,14305;01;6;21,22;;E}</t>
  </si>
  <si>
    <t>#FNOBES{12401,12409,14801,14809,11101,13301,13309,14301,14305;12;7;21,22;;E}</t>
  </si>
  <si>
    <t>{З}</t>
  </si>
  <si>
    <t>{И}</t>
  </si>
  <si>
    <t>АНАЛИЗ ПРОЦЕНТНЫХ ДОХОДОВ И РАСХОДОВ</t>
  </si>
  <si>
    <t xml:space="preserve">     агенства и подразделения.</t>
  </si>
  <si>
    <t>По сектору экономики</t>
  </si>
  <si>
    <t>Другие сектора</t>
  </si>
  <si>
    <t xml:space="preserve"> Статьи баланса</t>
  </si>
  <si>
    <t>Общая сумма</t>
  </si>
  <si>
    <t>#FN1{167}</t>
  </si>
  <si>
    <t>19. К оплате в другие банки</t>
  </si>
  <si>
    <t xml:space="preserve">Касса (наличность и монеты) и Драгоценные металлы </t>
  </si>
  <si>
    <t>#FN1{113}</t>
  </si>
  <si>
    <t>#FN1{115}</t>
  </si>
  <si>
    <t>#FN1{117}</t>
  </si>
  <si>
    <t>#FN1{119}</t>
  </si>
  <si>
    <t xml:space="preserve">Нематериальные активы, включая гудвилл </t>
  </si>
  <si>
    <t>#FN1{23602,23608,23610}</t>
  </si>
  <si>
    <t xml:space="preserve">     ж. Итого депозитов до востребования</t>
  </si>
  <si>
    <t>2. Сберегательные депозиты</t>
  </si>
  <si>
    <t xml:space="preserve">     е. Итого других статей непредвиденных обстоятельств</t>
  </si>
  <si>
    <t>б1</t>
  </si>
  <si>
    <t>С первоначальным сроком погашения до одного года</t>
  </si>
  <si>
    <t>б2</t>
  </si>
  <si>
    <t>8.</t>
  </si>
  <si>
    <t>#FN9{20202-20205}</t>
  </si>
  <si>
    <t>#FN9{20210}</t>
  </si>
  <si>
    <t>Связанные с торговлей (краткосрочные, самоликвидирующиеся, обеспеченные)</t>
  </si>
  <si>
    <t>#FN1{50608}</t>
  </si>
  <si>
    <t>#FN1{51106}</t>
  </si>
  <si>
    <t>#FN1{51111}</t>
  </si>
  <si>
    <t>#FN1{51114}</t>
  </si>
  <si>
    <t>#FNOBES{12601,12609,15001,15005,11101,13301,13309,14301,14305,15605;11;;23;;E}</t>
  </si>
  <si>
    <t>#FNOBES{12601,12609,15001,15005,11101,13301,13309,14301,14305,15605;11;;26;;E}</t>
  </si>
  <si>
    <t>#FNOBES{12601,12609,15001,15005,11101,13301,13309,14301,14305,15605;11;;24;;E}</t>
  </si>
  <si>
    <t>#FNOBES{12601,12609,15001,15005,11101,13301,13309,14301,14305,15605;11;;31,32,33,34,35,36,37;;E}</t>
  </si>
  <si>
    <t>#FN4{5;12601-12609,15001,15005}</t>
  </si>
  <si>
    <t>#FNECTCP{11103,11105,12405,13305,15617,15701,15705;12;1;;E}</t>
  </si>
  <si>
    <t>#FNECTCP{11103,11105,12505,13305,15617,15703,15705;08;1;;E}</t>
  </si>
  <si>
    <t>#FNECTCP{11103,11105,12605,13305,15617,15701,15705;11;1;;E}</t>
  </si>
  <si>
    <t>#FNECTCP{11103,11105,12705,13305,15617,15701,15705;02;1;;E}</t>
  </si>
  <si>
    <t>#FNECTCP{11103,11105,12905,13305,15617,15701,15705;10;1;;E}</t>
  </si>
  <si>
    <t>12. Другое собственное имущество банка</t>
  </si>
  <si>
    <t xml:space="preserve">     а. Инвестиции в недвижимость</t>
  </si>
  <si>
    <t xml:space="preserve">     б. Другие активы, приобретенные при кредитных расчетах</t>
  </si>
  <si>
    <t xml:space="preserve"> #FN1{16701,16703,16705,16713}</t>
  </si>
  <si>
    <t>СОБСТВЕННЫЙ  КАПИТАЛ</t>
  </si>
  <si>
    <t xml:space="preserve"> а. Акции - Обыкновенные</t>
  </si>
  <si>
    <t xml:space="preserve"> б. Акции - Привилегированные</t>
  </si>
  <si>
    <t xml:space="preserve"> а. Резервный фонд общего назначения</t>
  </si>
  <si>
    <t>#FN1{30903}</t>
  </si>
  <si>
    <t xml:space="preserve"> б. Резерв на девальвацию</t>
  </si>
  <si>
    <t xml:space="preserve"> в. Другие резервы и фонды</t>
  </si>
  <si>
    <t xml:space="preserve">26.Уставный капитал </t>
  </si>
  <si>
    <t xml:space="preserve">27.Добавленный капитал </t>
  </si>
  <si>
    <t>28.Резервный капитал</t>
  </si>
  <si>
    <t>29.Нераспределенная прибыль</t>
  </si>
  <si>
    <t>#FN1{56802,56803,56814,56838,56842,56895}</t>
  </si>
  <si>
    <t>#FN1{568}-#FN1{56802,56803,56814,56838,56842,56895}</t>
  </si>
  <si>
    <t>#FN1{419,423,425,431,436,437,439,447,45111,45115,45117,45119,45121}</t>
  </si>
  <si>
    <t>#FN1{531,541,54202}</t>
  </si>
  <si>
    <t>#FN1{516,521,549,54208,54210}</t>
  </si>
  <si>
    <t>#FNOBES{12501,12509,14901,14905,11101,13301,13309,14301,14305,15603;08;6;25;;E}</t>
  </si>
  <si>
    <t>#FNOBES{12501,12509,14901,14905,11101,13301,13309,14301,14305,15603;08;6;23;;E}</t>
  </si>
  <si>
    <t>#FNOBES{12501,12509,14901,14905,11101,13301,13309,14301,14305,15603;08;6;26;;E}</t>
  </si>
  <si>
    <t>#FNECTCP{12401,12409,14801,14809,11101,13301,13309,14301,14305;12;1;;E}</t>
  </si>
  <si>
    <t>#FNECTCP{12501,12509,14901,14905,11101,13301,13309,14301,14305,15603;08;1;;E}</t>
  </si>
  <si>
    <t>#FNECTCP{12601,12609,15001,15005,11101,13301,13309,14301,14305,15605;11;1;;E}</t>
  </si>
  <si>
    <t>#FNECTCP{12701,12709,15101,15105,11101,13301,13309,14301,14305,15607;02;1;;E}</t>
  </si>
  <si>
    <t>#FNECTCP{12901,12909,15301,15305,11101,13301,13309,14301,14305,15609;10;1;;E}</t>
  </si>
  <si>
    <t>#FNECTCP{13001,13009,15201,15205,11101,13301,13309,14301,14305,15611;03;1;;E}</t>
  </si>
  <si>
    <t>#FNECTCP{13101,13109,15501,15505,11101,13301,13309,14301,14305,15613;09;1;;E}</t>
  </si>
  <si>
    <t>#FNECTCP{13201,13209,15401,15405,11101,13301,13309,14301,14305;04;1;;E}</t>
  </si>
  <si>
    <t>#FNECTCP{12301,12309,14701,14705,11101,13301,13309,14301,14305;01;1;;E}</t>
  </si>
  <si>
    <t>Балансовые Активы</t>
  </si>
  <si>
    <t>Рыночные ценные бумаги, чистые</t>
  </si>
  <si>
    <t xml:space="preserve">Ценные бумаги, выпущенные Правительством Республики Узбекистан и ЦБРУ  </t>
  </si>
  <si>
    <t>#FN9{20214}</t>
  </si>
  <si>
    <t>#FN9{20208}</t>
  </si>
  <si>
    <t>#FN9{20410}</t>
  </si>
  <si>
    <t>#FN9{20414}</t>
  </si>
  <si>
    <t>Увеличение (Снижение) стоимости</t>
  </si>
  <si>
    <t>Счета купли-продажи ценных бумаг</t>
  </si>
  <si>
    <t xml:space="preserve">          Итого по промышленности</t>
  </si>
  <si>
    <t>Сельское хозяйство</t>
  </si>
  <si>
    <t>Ценные бумаги проданные по соглашению с последующим выкупом</t>
  </si>
  <si>
    <t>Непогашенные акцепты, выполненные банком или по поручению этого банка</t>
  </si>
  <si>
    <t>#FN12{;20602-20605,20608-20696;366-3660}</t>
  </si>
  <si>
    <t>#FNOBES{13201,13209,15401,15405,11101,13301,13309,14301,14305;04;1;23;;E}</t>
  </si>
  <si>
    <t>#FNOBES{13201,13209,15401,15405,11101,13301,13309,14301,14305;04;1;26;;E}</t>
  </si>
  <si>
    <t>#FNOBES{13201,13209,15401,15405,11101,13301,13309,14301,14305;04;1;24;;E}</t>
  </si>
  <si>
    <t>#FNOBES{13201,13209,15401,15405,11101,13301,13309,14301,14305;04;1;31,32,33,34,35,36,37;;E}</t>
  </si>
  <si>
    <t>#FNOBES{13201,13209,15401,15405,11101,13301,13309,14301,14305;04;1;29;;E}</t>
  </si>
  <si>
    <t>#FNOBES{13201,13209,15401,15405,11101,13301,13309,14301,14305;04;1;42;;E}</t>
  </si>
  <si>
    <t>#FNOBES{13201,13209,15401,15405,11101,13301,13309,14301,14305;04;1;61;;E}</t>
  </si>
  <si>
    <t>#FNOBES{12301,12309,14701,14705,11101,13301,13309,14301,14305;01;1;25;;E}</t>
  </si>
  <si>
    <t>#FNOBES{12301,12309,14701,14705,11101,13301,13309,14301,14305;01;1;23;;E}</t>
  </si>
  <si>
    <t>#FNOBES{12301,12309,14701,14705,11101,13301,13309,14301,14305;01;1;26;;E}</t>
  </si>
  <si>
    <t>7. Жилищно-коммунальные услуги</t>
  </si>
  <si>
    <t>8. Другие сектора</t>
  </si>
  <si>
    <t>9. Итого</t>
  </si>
  <si>
    <t>Часть 2</t>
  </si>
  <si>
    <t>лет</t>
  </si>
  <si>
    <t>По типу клиента</t>
  </si>
  <si>
    <t>Центральный банк</t>
  </si>
  <si>
    <t>Другие банки</t>
  </si>
  <si>
    <t>Правительство</t>
  </si>
  <si>
    <t>Физические лица</t>
  </si>
  <si>
    <t>Государственные предприятия</t>
  </si>
  <si>
    <t xml:space="preserve">         Прочие</t>
  </si>
  <si>
    <t xml:space="preserve">        Фермерское хозяйство</t>
  </si>
  <si>
    <t xml:space="preserve">        Прочие</t>
  </si>
  <si>
    <t>#FNECTC{12501,12509,14901,14905,11101,13301,13309,14301,14305,15603;08;8;;E}</t>
  </si>
  <si>
    <t>#FNECTC{15701,15705;08;8;;E}</t>
  </si>
  <si>
    <t>#FNECTCP{12501,12509,14901,14905,11101,13301,13309,14301,14305,15603;08;8;;E}</t>
  </si>
  <si>
    <t>#FNOBES{12501,12509,14901,14905,11101,13301,13309,14301,14305,15603;08;8;25;;E}</t>
  </si>
  <si>
    <t>#FNOBES{12501,12509,14901,14905,11101,13301,13309,14301,14305,15603;08;8;23;;E}</t>
  </si>
  <si>
    <t>#FNOBES{12501,12509,14901,14905,11101,13301,13309,14301,14305,15603;08;8;26;;E}</t>
  </si>
  <si>
    <t>#FNOBES{12501,12509,14901,14905,11101,13301,13309,14301,14305,15603;08;8;21,22;;E}</t>
  </si>
  <si>
    <t>#FNOBES{12501,12509,14901,14905,11101,13301,13309,14301,14305,15603;08;8;24;;E}</t>
  </si>
  <si>
    <t>#FNOBES{12501,12509,14901,14905,11101,13301,13309,14301,14305,15603;08;8;31,32,33,34,35,36,37;;E}</t>
  </si>
  <si>
    <t>#FNOBES{12501,12509,14901,14905,11101,13301,13309,14301,14305,15603;08;8;29;;E}</t>
  </si>
  <si>
    <t>#FNOBES{12501,12509,14901,14905,11101,13301,13309,14301,14305,15603;08;8;42;;E}</t>
  </si>
  <si>
    <t>#FNOBES{12501,12509,14901,14905,11101,13301,13309,14301,14305,15603;08;8;61;;E}</t>
  </si>
  <si>
    <t>#FNECTCP{11103,11105,12505,13305,15617,15703,15705;08;8;;E}</t>
  </si>
  <si>
    <t>#FNECTC{12701,12709,15101,15105,11101,13301,13309,14301,14305,15607;02;8;;E}</t>
  </si>
  <si>
    <t>#FNECTC{15701,15705;02;8;;E}</t>
  </si>
  <si>
    <t>#FNECTCP{12701,12709,15101,15105,11101,13301,13309,14301,14305,15607;02;8;;E}</t>
  </si>
  <si>
    <t>#FNOBES{12701,12709,15101,15105,11101,13301,13309,14301,14305,15607;02;8;25;;E}</t>
  </si>
  <si>
    <t>#FNOBES{12701,12709,15101,15105,11101,13301,13309,14301,14305,15607;02;8;23;;E}</t>
  </si>
  <si>
    <t>#FNOBES{12701,12709,15101,15105,11101,13301,13309,14301,14305,15607;02;8;26;;E}</t>
  </si>
  <si>
    <t>#FNOBES{12701,12709,15101,15105,11101,13301,13309,14301,14305,15607;02;8;21,22;;E}</t>
  </si>
  <si>
    <t>#FNOBES{12701,12709,15101,15105,11101,13301,13309,14301,14305,15607;02;8;24;;E}</t>
  </si>
  <si>
    <t>#FNOBES{12701,12709,15101,15105,11101,13301,13309,14301,14305,15607;02;8;31,32,33,34,35,36,37;;E}</t>
  </si>
  <si>
    <t>#FNOBES{12701,12709,15101,15105,11101,13301,13309,14301,14305,15607;02;8;29;;E}</t>
  </si>
  <si>
    <t>#FNOBES{12701,12709,15101,15105,11101,13301,13309,14301,14305,15607;02;8;42;;E}</t>
  </si>
  <si>
    <t>#FNOBES{12701,12709,15101,15105,11101,13301,13309,14301,14305,15607;02;8;61;;E}</t>
  </si>
  <si>
    <t>#FNECTCP{11103,11105,12705,13305,15617,15701,15705;02;8;;E}</t>
  </si>
  <si>
    <t>#FNECTC{12901,12909,15301,15305,11101,13301,13309,14301,14305,15609;10;8;;E}</t>
  </si>
  <si>
    <t>#FNECTC{15701,15705;10;8;;E}</t>
  </si>
  <si>
    <t>#FNECTCP{12901,12909,15301,15305,11101,13301,13309,14301,14305,15609;10;8;;E}</t>
  </si>
  <si>
    <t>Совокупная сумма кредитов выданных инсайдерам</t>
  </si>
  <si>
    <t>Сберегательные депозиты юридических лиц(204) - Начисленные %</t>
  </si>
  <si>
    <t>Сберегательные депозиты физических лиц-Начисленные %</t>
  </si>
  <si>
    <t>#FNSDPSLD{20406%;;}/1000</t>
  </si>
  <si>
    <t>1. Государственные казначейские векселя</t>
  </si>
  <si>
    <t>2. Государственные облигации</t>
  </si>
  <si>
    <t>3. Ценные бумаги и облигации ЦБРУ</t>
  </si>
  <si>
    <t>4. Ценные бумаги гос корпораций</t>
  </si>
  <si>
    <t>5. Еврооблигации</t>
  </si>
  <si>
    <t>6. Частные ценные бумаги</t>
  </si>
  <si>
    <t>7. Другие ценные бумаги</t>
  </si>
  <si>
    <t>Коэффициент текущей ликвидности (Н4)</t>
  </si>
  <si>
    <t>Ликвидные активы и активы 
со сроком погашения до 30 дней</t>
  </si>
  <si>
    <t xml:space="preserve">   г. Другие процентные расходы</t>
  </si>
  <si>
    <t>#FNECTC{13001,13009,15201,15205,11101,13301,13309,14301,14305,15611;03;2;;E}</t>
  </si>
  <si>
    <t>#FNECTC{13101,13109,15501,15505,11101,13301,13309,14301,14305,15613;09;2;;E}</t>
  </si>
  <si>
    <t>#FNECTC{13201,13209,15401,15405,11101,13301,13309,14301,14305;04;2;;E}</t>
  </si>
  <si>
    <t>1. Депозиты до востребования</t>
  </si>
  <si>
    <t xml:space="preserve">     а. Правительство</t>
  </si>
  <si>
    <t xml:space="preserve">     б. Физические лица</t>
  </si>
  <si>
    <t xml:space="preserve">     в. Государственные предприятия</t>
  </si>
  <si>
    <t xml:space="preserve">     г. Совместные предприятия</t>
  </si>
  <si>
    <t xml:space="preserve">     д. Частные товарищества и корпорации</t>
  </si>
  <si>
    <t xml:space="preserve">     е. Другие депозиты до востребования</t>
  </si>
  <si>
    <t>#FNOBES{12601,12609,15001,15005,11101,13301,13309,14301,14305,15605;11;8;31,32,33,34,35,36,37;;E}</t>
  </si>
  <si>
    <t>#FNOBES{12601,12609,15001,15005,11101,13301,13309,14301,14305,15605;11;8;29;;E}</t>
  </si>
  <si>
    <t>#FNOBES{12601,12609,15001,15005,11101,13301,13309,14301,14305,15605;11;8;42;;E}</t>
  </si>
  <si>
    <t>#FNOBES{12601,12609,15001,15005,11101,13301,13309,14301,14305,15605;11;8;61;;E}</t>
  </si>
  <si>
    <t xml:space="preserve">з.   Другие ссуды и лизинговые операции </t>
  </si>
  <si>
    <t>и.   ИТОГО ПРОЦЕНТНЫХ ДОХОДОВ ПО ССУДАМ</t>
  </si>
  <si>
    <t>#FN1{90955}</t>
  </si>
  <si>
    <t>#FNOBES{12601,12609,15001,15005,11101,13301,13309,14301,14305,15605;11;2;31,32,33,34,35,36,37;;E}</t>
  </si>
  <si>
    <t>#FNOBES{12601,12609,15001,15005,11101,13301,13309,14301,14305,15605;11;2;29;;E}</t>
  </si>
  <si>
    <t>#FNOBES{12601,12609,15001,15005,11101,13301,13309,14301,14305,15605;11;2;42;;E}</t>
  </si>
  <si>
    <t>#FNOBES{12601,12609,15001,15005,11101,13301,13309,14301,14305,15605;11;2;61;;E}</t>
  </si>
  <si>
    <t>#FNOBES{12701,12709,15101,15105,11101,13301,13309,14301,14305,15607;02;2;25;;E}</t>
  </si>
  <si>
    <t>#FNOBES{12701,12709,15101,15105,11101,13301,13309,14301,14305,15607;02;2;23;;E}</t>
  </si>
  <si>
    <t>г.  Ссуды физическим лицам и лизинговые операции</t>
  </si>
  <si>
    <t>#FNOBES{12301,12309,14701,14705,11101,13301,13309,14301,14305;01;2;29;;E}</t>
  </si>
  <si>
    <t>#FN1{11101,11195,11199,12301,12309,12399,12401,12409,12499,12501,12509,12599,12601,12609,12699,12701,12709,12799,12901,12909,12999,13001,13009,13099,13101,13109,13199,13201,13209,13299,13301,13309,13399}+#FN1{143,147,149,150,151,152,153,154,155}</t>
  </si>
  <si>
    <t>#FNECTC{13009,15205,13309,14305,15619;03;;;E}</t>
  </si>
  <si>
    <t>#FNECTC{13109,15505,13309,14305,15619;09;;;E}</t>
  </si>
  <si>
    <t>#FNECTC{13209,15405,13309,14305,15619;04;;;E}</t>
  </si>
  <si>
    <t>#FN4{6;13101-13109,15501-15505}</t>
  </si>
  <si>
    <t>#FNECTC{15701,15705;10;6;;E}</t>
  </si>
  <si>
    <t>#FNECTC{15701,15705;03;6;;E}</t>
  </si>
  <si>
    <t>#FNECTC{15701,15705;09;6;;E}</t>
  </si>
  <si>
    <t>#FNECTC{15701,15705;04;6;;E}</t>
  </si>
  <si>
    <t>#FNECTC{15701,15705;01;6;;E}</t>
  </si>
  <si>
    <t>#FNECTC{15701,15705;12;7;;E}</t>
  </si>
  <si>
    <t>#FNECTC{15701,15705;08;7;;E}</t>
  </si>
  <si>
    <t>#FNECTC{15701,15705;11;7;;E}</t>
  </si>
  <si>
    <t>#FNOBES{13001,13009,15201,15205,11101,13301,13309,14301,14305,15611;03;2;25;;E}</t>
  </si>
  <si>
    <t xml:space="preserve">     в. Убытки по счетам купли-продажи</t>
  </si>
  <si>
    <t xml:space="preserve">     г. Убытки от инвестиций</t>
  </si>
  <si>
    <t>20. Ценные бумаги проданные по соглашению с последующим выкупом</t>
  </si>
  <si>
    <t>21. Ссуды к оплате</t>
  </si>
  <si>
    <t>#FN1{90965,90972,90979,90986,95497}</t>
  </si>
  <si>
    <t xml:space="preserve">         Негосударственные некоммерческие организации  без ФС=113</t>
  </si>
  <si>
    <t xml:space="preserve">         Прочие Инд пред всего</t>
  </si>
  <si>
    <t xml:space="preserve">         Прочие инд пред ФС=113</t>
  </si>
  <si>
    <t xml:space="preserve">         Прочие без ФС=113</t>
  </si>
  <si>
    <t>Ссуды и лизинг  Сельское хозяйство</t>
  </si>
  <si>
    <t>#FNOBES{13101,13109,15501,15505,11101,13301,13309,14301,14305,15613;09;2;26;;E}</t>
  </si>
  <si>
    <t>#FNOBES{12501,12509,14901,14905,11101,13301,13309,14301,14305,15603;08;7;23;;E}</t>
  </si>
  <si>
    <t>#FNOBES{12501,12509,14901,14905,11101,13301,13309,14301,14305,15603;08;7;26;;E}</t>
  </si>
  <si>
    <t>#FNECTCOP{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1;;E}</t>
  </si>
  <si>
    <t>#FNOBES{12401,12409,14801,14809,11101,13301,13309,14301,14305;12;7;26;;E}</t>
  </si>
  <si>
    <t xml:space="preserve">     в. Минус: Резерв возможных убытков по счетам купли-продажи</t>
  </si>
  <si>
    <t xml:space="preserve">     г. Счета купли-продажи, чистые</t>
  </si>
  <si>
    <t>5   а. Инвестиции</t>
  </si>
  <si>
    <t>#FN1{50111}</t>
  </si>
  <si>
    <t>#FN1{50114}</t>
  </si>
  <si>
    <t>#FN1{50108}</t>
  </si>
  <si>
    <t>#FN1{50116,50118,50121,50126}</t>
  </si>
  <si>
    <t>Е</t>
  </si>
  <si>
    <t>Банковские помещения, мебель и оборудование, чистые</t>
  </si>
  <si>
    <t>15.</t>
  </si>
  <si>
    <t>е.  Ссуды совместным предприятиям и лизинговые операции</t>
  </si>
  <si>
    <t>5. БЕСПРОЦЕНТНЫЕ РАСХОДЫ</t>
  </si>
  <si>
    <t>Отчет о классификации активов по классу качества</t>
  </si>
  <si>
    <t>СКОРРЕКТИРОВАННЫЙ КАПИТАЛ УРОВНЯ I</t>
  </si>
  <si>
    <t>IV</t>
  </si>
  <si>
    <t>КАПИТАЛ УРОВНЯ II</t>
  </si>
  <si>
    <t xml:space="preserve">         Итого по транспорту и коммуникациям</t>
  </si>
  <si>
    <t>Строительство</t>
  </si>
  <si>
    <t>1.1</t>
  </si>
  <si>
    <t>Депозиты до востребования</t>
  </si>
  <si>
    <t>1.2</t>
  </si>
  <si>
    <t xml:space="preserve">     г. Обязательства по покупке кредитов, ценных бумаг или других активов</t>
  </si>
  <si>
    <t xml:space="preserve">     д. Другие счета непредвиденных обстоятельств</t>
  </si>
  <si>
    <t xml:space="preserve">     течение месяца?</t>
  </si>
  <si>
    <t>Кол-во</t>
  </si>
  <si>
    <t xml:space="preserve">Интерес меньшинства в консолидированных дочерних компаниях {согласно МБС} </t>
  </si>
  <si>
    <t>#FN1{20412,20416-20496,23604}</t>
  </si>
  <si>
    <t>#FN9{20412,20416-20496,23604}</t>
  </si>
  <si>
    <t>#FNOBES{12901,12909,15301,15305,11101,13301,13309,14301,14305,15609;10;;26;;E}</t>
  </si>
  <si>
    <t>#FNOBES{12901,12909,15301,15305,11101,13301,13309,14301,14305,15609;10;;24;;E}</t>
  </si>
  <si>
    <t>#FNOBES{12901,12909,15301,15305,11101,13301,13309,14301,14305,15609;10;;31,32,33,34,35,36,37;;E}</t>
  </si>
  <si>
    <t>#FNOBES{12901,12909,15301,15305,11101,13301,13309,14301,14305,15609;10;;29;;E}</t>
  </si>
  <si>
    <t>Депозитные сертификаты</t>
  </si>
  <si>
    <t>#FNOBES{12401,12409,14801,14809,11101,13301,13309,14301,14305;12;6;26;;E}</t>
  </si>
  <si>
    <t>#FNOBES{12401,12409,14801,14809,11101,13301,13309,14301,14305;12;6;24;;E}</t>
  </si>
  <si>
    <t>Фактическое значение</t>
  </si>
  <si>
    <t>Недвижимость и другое собственное имущество, чистые</t>
  </si>
  <si>
    <t>#FNOBES{12501,12509,14901,14905,11101,13301,13309,14301,14305,15603;08;7;24;;E}</t>
  </si>
  <si>
    <t>#FNOBES{12501,12509,14901,14905,11101,13301,13309,14301,14305,15603;08;7;31,32,33,34,35,36,37;;E}</t>
  </si>
  <si>
    <t>#FNOBES{12501,12509,14901,14905,11101,13301,13309,14301,14305,15603;08;7;29;;E}</t>
  </si>
  <si>
    <t>#FNOBES{12501,12509,14901,14905,11101,13301,13309,14301,14305,15603;08;7;42;;E}</t>
  </si>
  <si>
    <t>#FNOBES{13201,13209,15401,15405,11101,13301,13309,14301,14305;04;8;24;;E}</t>
  </si>
  <si>
    <t>#FNOBES{13201,13209,15401,15405,11101,13301,13309,14301,14305;04;8;31,32,33,34,35,36,37;;E}</t>
  </si>
  <si>
    <t>#FNOBES{13201,13209,15401,15405,11101,13301,13309,14301,14305;04;8;29;;E}</t>
  </si>
  <si>
    <t>#FNOBES{13201,13209,15401,15405,11101,13301,13309,14301,14305;04;8;42;;E}</t>
  </si>
  <si>
    <t>#FNOBES{13201,13209,15401,15405,11101,13301,13309,14301,14305;04;8;61;;E}</t>
  </si>
  <si>
    <t>#FNECTCP{11103,11105,13205,13305,15617,15701,15705;04;8;;E}</t>
  </si>
  <si>
    <t>#FNECTC{12501,12509,14901,14905,11101,13301,13309,14301,14305,15603;08;9;;E}</t>
  </si>
  <si>
    <t>#FNECTC{15701,15705;08;9;;E}</t>
  </si>
  <si>
    <t>#FNECTCP{12501,12509,14901,14905,11101,13301,13309,14301,14305,15603;08;9;;E}</t>
  </si>
  <si>
    <t>#FNOBES{12501,12509,14901,14905,11101,13301,13309,14301,14305,15603;08;9;25;;E}</t>
  </si>
  <si>
    <t>#FNOBES{12501,12509,14901,14905,11101,13301,13309,14301,14305,15603;08;9;23;;E}</t>
  </si>
  <si>
    <t>#FNOBES{12501,12509,14901,14905,11101,13301,13309,14301,14305,15603;08;9;26;;E}</t>
  </si>
  <si>
    <t>#FNOBES{12501,12509,14901,14905,11101,13301,13309,14301,14305,15603;08;9;21,22;;E}</t>
  </si>
  <si>
    <t>#FNOBES{12501,12509,14901,14905,11101,13301,13309,14301,14305,15603;08;9;24;;E}</t>
  </si>
  <si>
    <t>#FNOBES{12501,12509,14901,14905,11101,13301,13309,14301,14305,15603;08;9;31,32,33,34,35,36,37;;E}</t>
  </si>
  <si>
    <t>#FNOBES{12501,12509,14901,14905,11101,13301,13309,14301,14305,15603;08;9;29;;E}</t>
  </si>
  <si>
    <t>#FNOBES{12501,12509,14901,14905,11101,13301,13309,14301,14305,15603;08;9;42;;E}</t>
  </si>
  <si>
    <t>#FNOBES{12501,12509,14901,14905,11101,13301,13309,14301,14305,15603;08;9;61;;E}</t>
  </si>
  <si>
    <t>#FNECTCP{11103,11105,12505,13305,15617,15703,15705;08;9;;E}</t>
  </si>
  <si>
    <t>#FNECTC{15701,15705;11;2;;E}</t>
  </si>
  <si>
    <t>3. ЧИСТЫЕ ПРОЦЕНТНЫЕ ДОХОДЫ ДО ОЦЕНКИ ВОЗМОЖНЫХ УБЫТКОВ ПО ССУДАМ И ЛИЗИНГУ</t>
  </si>
  <si>
    <t>Совокупная сумма кредитов предоставленых банком всем инсайдерам</t>
  </si>
  <si>
    <t xml:space="preserve">     а. Неиспользованные кредитные линии/Обязательства для финансирования ссуд</t>
  </si>
  <si>
    <t>2. Гарантии и аккредитивы</t>
  </si>
  <si>
    <t xml:space="preserve">     а. Гарантии и финансовые аккредитивы "Стэнд-бай"</t>
  </si>
  <si>
    <t xml:space="preserve">     б. Аккредитивы "Стэнд-бай" под исполнение</t>
  </si>
  <si>
    <t>#FNOBES{12601,12609,15001,15005,11101,13301,13309,14301,14305,15605;11;6;24;;E}</t>
  </si>
  <si>
    <t>#FNOBES{12601,12609,15001,15005,11101,13301,13309,14301,14305,15605;11;6;31,32,33,34,35,36,37;;E}</t>
  </si>
  <si>
    <t>#FNOBES{12601,12609,15001,15005,11101,13301,13309,14301,14305,15605;11;6;29;;E}</t>
  </si>
  <si>
    <t>#FNECTC{12601,12609,15001,15005,11101,13301,13309,14301,14305,15605;11;5;;E}</t>
  </si>
  <si>
    <t>#FNECTC{12701,12709,15101,15105,11101,13301,13309,14301,14305,15607;02;5;;E}</t>
  </si>
  <si>
    <t>#FNECTC{12901,12909,15301,15305,11101,13301,13309,14301,14305,15609;10;5;;E}</t>
  </si>
  <si>
    <t>#FNECTC{13001,13009,15201,15205,11101,13301,13309,14301,14305,15611;03;5;;E}</t>
  </si>
  <si>
    <t>#FNECTC{13101,13109,15501,15505,11101,13301,13309,14301,14305,15613;09;5;;E}</t>
  </si>
  <si>
    <t>#FNECTC{15701,15705;02;6;;E}</t>
  </si>
  <si>
    <t>#FNOBES{13001,13009,15201,15205,11101,13301,13309,14301,14305,15611;03;5;42;;E}</t>
  </si>
  <si>
    <t>#FNOBES{13001,13009,15201,15205,11101,13301,13309,14301,14305,15611;03;5;61;;E}</t>
  </si>
  <si>
    <t>#FNOBES{13101,13109,15501,15505,11101,13301,13309,14301,14305,15613;09;5;25;;E}</t>
  </si>
  <si>
    <t>#FNOBES{13101,13109,15501,15505,11101,13301,13309,14301,14305,15613;09;5;23;;E}</t>
  </si>
  <si>
    <t>#FNOBES{13101,13109,15501,15505,11101,13301,13309,14301,14305,15613;09;5;26;;E}</t>
  </si>
  <si>
    <t>#FNOBES{13101,13109,15501,15505,11101,13301,13309,14301,14305,15613;09;5;24;;E}</t>
  </si>
  <si>
    <t xml:space="preserve">     е. Итого беспроцентных доходов</t>
  </si>
  <si>
    <t>ж.  Ссуды частным товариществам и корпорациям и лизинговые операции</t>
  </si>
  <si>
    <t xml:space="preserve">         Совместные предприятия</t>
  </si>
  <si>
    <t xml:space="preserve">         Частные товарищества и корпорации</t>
  </si>
  <si>
    <t xml:space="preserve">         Итого по строительству</t>
  </si>
  <si>
    <t>#FN1{23604}</t>
  </si>
  <si>
    <t xml:space="preserve">Общий размер инвестиций в уставной капитал и другие ценные бумаги всех эмитентов  </t>
  </si>
  <si>
    <t>Забалансовые Активы</t>
  </si>
  <si>
    <t>7. Инвестиции в другие ценные бумаги</t>
  </si>
  <si>
    <t>Всего</t>
  </si>
  <si>
    <t>в иностранной валюте</t>
  </si>
  <si>
    <t>1. Промышленность</t>
  </si>
  <si>
    <t>2. Сельское хозяйство</t>
  </si>
  <si>
    <t>3. Транспорт и коммуникации</t>
  </si>
  <si>
    <t>4. Строительство</t>
  </si>
  <si>
    <t>5. Торговля и общественное питание</t>
  </si>
  <si>
    <t>6. Материально-техническое снабжение и сбыт</t>
  </si>
  <si>
    <t>#FNOBES{13201,13209,15401,15405,11101,13301,13309,14301,14305;04;8;23;;E}</t>
  </si>
  <si>
    <t>#FNOBES{13201,13209,15401,15405,11101,13301,13309,14301,14305;04;8;26;;E}</t>
  </si>
  <si>
    <t>#FNOBES{13201,13209,15401,15405,11101,13301,13309,14301,14305;04;8;21,22;;E}</t>
  </si>
  <si>
    <t>#FNECTCP{13001,13009,15201,15205,11101,13301,13309,14301,14305,15611;03;2;;E}</t>
  </si>
  <si>
    <t>#FNECTCP{13101,13109,15501,15505,11101,13301,13309,14301,14305,15613;09;2;;E}</t>
  </si>
  <si>
    <t>#FNECTCP{11103,11105,12905,13305,15617,15701,15705;10;9;;E}</t>
  </si>
  <si>
    <t>Коэффициент достаточности капитала</t>
  </si>
  <si>
    <t xml:space="preserve">     а. Доходы от комиссий и платы за услуги</t>
  </si>
  <si>
    <t>6. Текущий баланс</t>
  </si>
  <si>
    <t xml:space="preserve">                  РАСЧЕТ АКТИВОВ ВЗВЕШЕННЫХ С УЧЕТОМ РИСКА</t>
  </si>
  <si>
    <t>#</t>
  </si>
  <si>
    <t>Характеристики</t>
  </si>
  <si>
    <t>Риск</t>
  </si>
  <si>
    <t>#FN1A{31206}</t>
  </si>
  <si>
    <t>#FN1{166}</t>
  </si>
  <si>
    <t>#FN1{169}</t>
  </si>
  <si>
    <t xml:space="preserve"> -#FN1A{171}</t>
  </si>
  <si>
    <t>#FN1{173}</t>
  </si>
  <si>
    <t>Начисленные проценты</t>
  </si>
  <si>
    <t>Часть 3 - Счета купли и продажи драгоценных металлов</t>
  </si>
  <si>
    <t>Первоначальная  
    стоимость</t>
  </si>
  <si>
    <t>Сберегательные депозиты юридических лиц</t>
  </si>
  <si>
    <t>#FNOBES{12901,12909,15301,15305,11101,13301,13309,14301,14305,15609;10;7;42;;E}</t>
  </si>
  <si>
    <t>#FNOBES{12901,12909,15301,15305,11101,13301,13309,14301,14305,15609;10;7;61;;E}</t>
  </si>
  <si>
    <t>#FNOBES{12301,12309,14701,14705,11101,13301,13309,14301,14305;01;;26;;E}</t>
  </si>
  <si>
    <t>#FNOBES{12301,12309,14701,14705,11101,13301,13309,14301,14305;01;;24;;E}</t>
  </si>
  <si>
    <t>#FNOBES{12301,12309,14701,14705,11101,13301,13309,14301,14305;01;;31,32,33,34,35,36,37;;E}</t>
  </si>
  <si>
    <t>#FNOBES{12301,12309,14701,14705,11101,13301,13309,14301,14305;01;;29;;E}</t>
  </si>
  <si>
    <t>#FNOBES{12301,12309,14701,14705,11101,13301,13309,14301,14305;01;;42;;E}</t>
  </si>
  <si>
    <t>#FNOBES{12301,12309,14701,14705,11101,13301,13309,14301,14305;01;;61;;E}</t>
  </si>
  <si>
    <t>#FNOBES{12501,12509,14901,14905,11101,13301,13309,14301,14305,15603;08;5;25;;E}</t>
  </si>
  <si>
    <t>#FNOBES{12501,12509,14901,14905,11101,13301,13309,14301,14305,15603;08;5;23;;E}</t>
  </si>
  <si>
    <t>#FNOBES{12901,12909,15301,15305,11101,13301,13309,14301,14305,15609;10;8;25;;E}</t>
  </si>
  <si>
    <t>#FNOBES{12901,12909,15301,15305,11101,13301,13309,14301,14305,15609;10;8;23;;E}</t>
  </si>
  <si>
    <t>#FNOBES{12901,12909,15301,15305,11101,13301,13309,14301,14305,15609;10;8;26;;E}</t>
  </si>
  <si>
    <t>#FNOBES{12901,12909,15301,15305,11101,13301,13309,14301,14305,15609;10;8;21,22;;E}</t>
  </si>
  <si>
    <t>#FNOBES{12901,12909,15301,15305,11101,13301,13309,14301,14305,15609;10;8;24;;E}</t>
  </si>
  <si>
    <t>#FNOBES{12901,12909,15301,15305,11101,13301,13309,14301,14305,15609;10;8;31,32,33,34,35,36,37;;E}</t>
  </si>
  <si>
    <t>#FNOBES{12901,12909,15301,15305,11101,13301,13309,14301,14305,15609;10;8;29;;E}</t>
  </si>
  <si>
    <t>#FNOBES{12901,12909,15301,15305,11101,13301,13309,14301,14305,15609;10;8;42;;E}</t>
  </si>
  <si>
    <t>#FNOBES{12901,12909,15301,15305,11101,13301,13309,14301,14305,15609;10;8;61;;E}</t>
  </si>
  <si>
    <t>#FNECTCP{11103,11105,12905,13305,15617,15701,15705;10;8;;E}</t>
  </si>
  <si>
    <t>#FNECTC{13101,13109,15501,15505,11101,13301,13309,14301,14305,15613;09;8;;E}</t>
  </si>
  <si>
    <t>#FNECTC{15701,15705;09;8;;E}</t>
  </si>
  <si>
    <t>#FNECTCP{13101,13109,15501,15505,11101,13301,13309,14301,14305,15613;09;8;;E}</t>
  </si>
  <si>
    <t>#FNOBES{13101,13109,15501,15505,11101,13301,13309,14301,14305,15613;09;8;25;;E}</t>
  </si>
  <si>
    <t>#FNECTCR{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4;;E}</t>
  </si>
  <si>
    <t>#FNOBES{13101,13109,15501,15505,11101,13301,13309,14301,14305,15613;09;6;61;;E}</t>
  </si>
  <si>
    <t>#FNOBES{13201,13209,15401,15405,11101,13301,13309,14301,14305;04;6;25;;E}</t>
  </si>
  <si>
    <t>#FNOBES{13201,13209,15401,15405,11101,13301,13309,14301,14305;04;6;23;;E}</t>
  </si>
  <si>
    <t>#FNOBES{13201,13209,15401,15405,11101,13301,13309,14301,14305;04;6;26;;E}</t>
  </si>
  <si>
    <t>#FNOBES{13201,13209,15401,15405,11101,13301,13309,14301,14305;04;6;24;;E}</t>
  </si>
  <si>
    <t>#FNOBES{13201,13209,15401,15405,11101,13301,13309,14301,14305;04;6;31,32,33,34,35,36,37;;E}</t>
  </si>
  <si>
    <t>#FNOBES{13201,13209,15401,15405,11101,13301,13309,14301,14305;04;6;29;;E}</t>
  </si>
  <si>
    <t>#FN1{50611}</t>
  </si>
  <si>
    <t>#FN1{50614}</t>
  </si>
  <si>
    <t xml:space="preserve">    и. Процентные доходы по соглашениям о покупке ценных бумаг с обратным выкупом</t>
  </si>
  <si>
    <t xml:space="preserve">    к. Другие процентные доходы</t>
  </si>
  <si>
    <t xml:space="preserve">    л. Итого процентных доходов</t>
  </si>
  <si>
    <t>#FNECTCP{11103,11105,13005,13305,15617,15701,15705;03;2;;E}</t>
  </si>
  <si>
    <t>#FNECTCOP{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3;;E}</t>
  </si>
  <si>
    <t>#FNOBES{12701,12709,15101,15105,11101,13301,13309,14301,14305,15607;02;;42;;E}</t>
  </si>
  <si>
    <t>#FNOBES{12701,12709,15101,15105,11101,13301,13309,14301,14305,15607;02;;61;;E}</t>
  </si>
  <si>
    <t>#FNOBES{12901,12909,15301,15305,11101,13301,13309,14301,14305,15609;10;;25;;E}</t>
  </si>
  <si>
    <t>#FNOBES{12901,12909,15301,15305,11101,13301,13309,14301,14305,15609;10;;23;;E}</t>
  </si>
  <si>
    <t>#FN1{511,54206}</t>
  </si>
  <si>
    <t>#FN1{516}</t>
  </si>
  <si>
    <t>#FN1{521}</t>
  </si>
  <si>
    <t xml:space="preserve">     а. Процентные расходы по депозитам до востребования</t>
  </si>
  <si>
    <t xml:space="preserve">     б. Процентные расходы по сберегательным депозитам</t>
  </si>
  <si>
    <t>11.</t>
  </si>
  <si>
    <t xml:space="preserve">    а. Заработная плата и другие расходы на сотрудников</t>
  </si>
  <si>
    <t>#FN1{50101,50103,50104,50105,50107}</t>
  </si>
  <si>
    <t xml:space="preserve">Общая сумма забалансовых активов, взвешенных с учетом риска </t>
  </si>
  <si>
    <t xml:space="preserve">Общая сумма активов, взвешенных с учетом риска </t>
  </si>
  <si>
    <t xml:space="preserve">                         РАСЧЕТ КАПИТАЛА БАНКА</t>
  </si>
  <si>
    <t>No.</t>
  </si>
  <si>
    <t>Капитал</t>
  </si>
  <si>
    <t>I.</t>
  </si>
  <si>
    <t>Обыкновенные Акции</t>
  </si>
  <si>
    <t>Полностью оплаченные обыкновенные акции</t>
  </si>
  <si>
    <t>#FN1{20606}</t>
  </si>
  <si>
    <t xml:space="preserve"> -#FN1A{16101,16102,16104,16105,16107,16109}</t>
  </si>
  <si>
    <t>#FNOBES{12101,12109,14501,14505,11101,13301,13309,14301,14305,15601;07;2;42;;E}</t>
  </si>
  <si>
    <t>#FNOBES{12101,12109,14501,14505,11101,13301,13309,14301,14305,15601;07;2;61;;E}</t>
  </si>
  <si>
    <t>#FNSDPSLD{20406%;;30}/1000</t>
  </si>
  <si>
    <t>#FNSDPSLD{20406%;31;180}/1000</t>
  </si>
  <si>
    <t>#FNSDPSLD{20406%;181;365}/1000</t>
  </si>
  <si>
    <t>#FNSDPSLD{20406%;365;}/1000</t>
  </si>
  <si>
    <t>#FNOBES{13101,13109,15501,15505,11101,13301,13309,14301,14305,15613;09;8;23;;E}</t>
  </si>
  <si>
    <t>#FNOBES{13101,13109,15501,15505,11101,13301,13309,14301,14305,15613;09;8;26;;E}</t>
  </si>
  <si>
    <t>#FNOBES{13101,13109,15501,15505,11101,13301,13309,14301,14305,15613;09;8;21,22;;E}</t>
  </si>
  <si>
    <t>#FNOBES{13101,13109,15501,15505,11101,13301,13309,14301,14305,15613;09;8;24;;E}</t>
  </si>
  <si>
    <t>#FNOBES{12701,12709,15101,15105,11101,13301,13309,14301,14305,15607;02;9;29;;E}</t>
  </si>
  <si>
    <t>#FNOBES{12701,12709,15101,15105,11101,13301,13309,14301,14305,15607;02;9;42;;E}</t>
  </si>
  <si>
    <t>#FNOBES{12701,12709,15101,15105,11101,13301,13309,14301,14305,15607;02;9;61;;E}</t>
  </si>
  <si>
    <t>#FNECTCP{11103,11105,12705,13305,15617,15701,15705;02;9;;E}</t>
  </si>
  <si>
    <t>#FNECTC{12901,12909,15301,15305,11101,13301,13309,14301,14305,15609;10;9;;E}</t>
  </si>
  <si>
    <t>#FNECTC{15701,15705;10;9;;E}</t>
  </si>
  <si>
    <t>#FNECTCP{12901,12909,15301,15305,11101,13301,13309,14301,14305,15609;10;9;;E}</t>
  </si>
  <si>
    <t>#FNOBES{12901,12909,15301,15305,11101,13301,13309,14301,14305,15609;10;9;25;;E}</t>
  </si>
  <si>
    <t>#FNOBES{12901,12909,15301,15305,11101,13301,13309,14301,14305,15609;10;9;23;;E}</t>
  </si>
  <si>
    <t>#FNOBES{12901,12909,15301,15305,11101,13301,13309,14301,14305,15609;10;9;26;;E}</t>
  </si>
  <si>
    <t>#FNOBES{12901,12909,15301,15305,11101,13301,13309,14301,14305,15609;10;9;21,22;;E}</t>
  </si>
  <si>
    <t>#FNOBES{12901,12909,15301,15305,11101,13301,13309,14301,14305,15609;10;9;24;;E}</t>
  </si>
  <si>
    <t>#FNOBES{12901,12909,15301,15305,11101,13301,13309,14301,14305,15609;10;9;31,32,33,34,35,36,37;;E}</t>
  </si>
  <si>
    <t>#FNOBES{12901,12909,15301,15305,11101,13301,13309,14301,14305,15609;10;9;29;;E}</t>
  </si>
  <si>
    <t>#FNOBES{12901,12909,15301,15305,11101,13301,13309,14301,14305,15609;10;9;42;;E}</t>
  </si>
  <si>
    <t>#FNOBES{12901,12909,15301,15305,11101,13301,13309,14301,14305,15609;10;9;61;;E}</t>
  </si>
  <si>
    <t xml:space="preserve">     или юридических лиц новые или дополнительные акции, тем самым </t>
  </si>
  <si>
    <t>#FN1{4}</t>
  </si>
  <si>
    <t>#FN1{10799,10899,10999}</t>
  </si>
  <si>
    <t xml:space="preserve">Обязательства приобретения ценных бумаг и других активов (включая активы, проданные в соответствии с соглашениями о выкупе) </t>
  </si>
  <si>
    <t>#FNOBES{12301,12309,14701,14705,11101,13301,13309,14301,14305;01;7;26;;E}</t>
  </si>
  <si>
    <t>#FNOBES{12301,12309,14701,14705,11101,13301,13309,14301,14305;01;7;24;;E}</t>
  </si>
  <si>
    <t>#FNOBES{12301,12309,14701,14705,11101,13301,13309,14301,14305;01;7;31,32,33,34,35,36,37;;E}</t>
  </si>
  <si>
    <t>#FNOBES{12901,12909,15301,15305,11101,13301,13309,14301,14305,15609;10;6;25;;E}</t>
  </si>
  <si>
    <t>#FNOBES{12901,12909,15301,15305,11101,13301,13309,14301,14305,15609;10;6;23;;E}</t>
  </si>
  <si>
    <t>#FNOBES{12901,12909,15301,15305,11101,13301,13309,14301,14305,15609;10;6;26;;E}</t>
  </si>
  <si>
    <t>Фермерские хозяйства</t>
  </si>
  <si>
    <t>#FNOBES{12401,12409,14801,14809,11101,13301,13309,14301,14305;12;2;24;;E}</t>
  </si>
  <si>
    <t>#FNOBES{12401,12409,14801,14809,11101,13301,13309,14301,14305;12;2;31,32,33,34,35,36,37;;E}</t>
  </si>
  <si>
    <t>#FNOBES{12401,12409,14801,14809,11101,13301,13309,14301,14305;12;2;29;;E}</t>
  </si>
  <si>
    <t>#FNOBES{12401,12409,14801,14809,11101,13301,13309,14301,14305;12;2;42;;E}</t>
  </si>
  <si>
    <t>#FNOBES{12401,12409,14801,14809,11101,13301,13309,14301,14305;12;2;61;;E}</t>
  </si>
  <si>
    <t>#FNOBES{12501,12509,14901,14905,11101,13301,13309,14301,14305,15603;08;2;25;;E}</t>
  </si>
  <si>
    <t>#FNOBES{12501,12509,14901,14905,11101,13301,13309,14301,14305,15603;08;2;23;;E}</t>
  </si>
  <si>
    <t>#FNOBES{12501,12509,14901,14905,11101,13301,13309,14301,14305,15603;08;2;26;;E}</t>
  </si>
  <si>
    <t>a.  Государственные казначейские ценные бумаги</t>
  </si>
  <si>
    <t>б.  Облигации и ценные бумаги ЦБРУ</t>
  </si>
  <si>
    <t xml:space="preserve">Выпущенные, полностью оплаченные привилегированные акции </t>
  </si>
  <si>
    <t>Нераспределенная прибыль</t>
  </si>
  <si>
    <t xml:space="preserve">     е. Итого процентных расходов по депозитам</t>
  </si>
  <si>
    <t>#FNOBES{13201,13209,15401,15405,11101,13301,13309,14301,14305;04;2;25;;E}</t>
  </si>
  <si>
    <t>#FNOBES{13201,13209,15401,15405,11101,13301,13309,14301,14305;04;2;23;;E}</t>
  </si>
  <si>
    <t>#FNOBES{13201,13209,15401,15405,11101,13301,13309,14301,14305;04;2;26;;E}</t>
  </si>
  <si>
    <t>#FNOBES{13201,13209,15401,15405,11101,13301,13309,14301,14305;04;2;24;;E}</t>
  </si>
  <si>
    <t>#FNOBES{13201,13209,15401,15405,11101,13301,13309,14301,14305;04;2;31,32,33,34,35,36,37;;E}</t>
  </si>
  <si>
    <t>#FNOBES{13201,13209,15401,15405,11101,13301,13309,14301,14305;04;2;29;;E}</t>
  </si>
  <si>
    <t>#FNOBES{12301,12309,14701,14705,11101,13301,13309,14301,14305;01;6;29;;E}</t>
  </si>
  <si>
    <t>#FNOBES{12301,12309,14701,14705,11101,13301,13309,14301,14305;01;6;42;;E}</t>
  </si>
  <si>
    <t>#FNOBES{12301,12309,14701,14705,11101,13301,13309,14301,14305;01;6;61;;E}</t>
  </si>
  <si>
    <t>#FNOBES{12401,12409,14801,14809,11101,13301,13309,14301,14305;12;7;25;;E}</t>
  </si>
  <si>
    <t>#FNOBES{12401,12409,14801,14809,11101,13301,13309,14301,14305;12;7;23;;E}</t>
  </si>
  <si>
    <t>#FN1{51108}</t>
  </si>
  <si>
    <t>19.</t>
  </si>
  <si>
    <t>20.</t>
  </si>
  <si>
    <t>Другие активы</t>
  </si>
  <si>
    <t>21.</t>
  </si>
  <si>
    <t>ИТОГО АКТИВОВ</t>
  </si>
  <si>
    <t>4. Итого статей непредвиденных обстоятельств</t>
  </si>
  <si>
    <t>Другие депозиты клиентов</t>
  </si>
  <si>
    <t>(A)</t>
  </si>
  <si>
    <t>(Б)</t>
  </si>
  <si>
    <t>(В)</t>
  </si>
  <si>
    <t>(Г)</t>
  </si>
  <si>
    <t>(Д)</t>
  </si>
  <si>
    <t>#FNOBES{12601,12609,15001,15005,11101,13301,13309,14301,14305,15605;11;5;61;;E}</t>
  </si>
  <si>
    <t>#FN1{50606}</t>
  </si>
  <si>
    <t>#FN1{50106,50110}</t>
  </si>
  <si>
    <t>#FNECTC{12601,12609,15001,15005,11101,13301,13309,14301,14305,15605;11;1;;E}</t>
  </si>
  <si>
    <t>#FNECTC{12701,12709,15101,15105,11101,13301,13309,14301,14305,15607;02;1;;E}</t>
  </si>
  <si>
    <t>#FNECTC{12901,12909,15301,15305,11101,13301,13309,14301,14305,15609;10;1;;E}</t>
  </si>
  <si>
    <t>#FNECTC{13001,13009,15201,15205,11101,13301,13309,14301,14305,15611;03;1;;E}</t>
  </si>
  <si>
    <t>#FNECTC{13101,13109,15501,15505,11101,13301,13309,14301,14305,15613;09;1;;E}</t>
  </si>
  <si>
    <t>#FNECTC{13201,13209,15401,15405,11101,13301,13309,14301,14305;04;1;;E}</t>
  </si>
  <si>
    <t>#FNECTC{12301,12309,14701,14705,11101,13301,13309,14301,14305;01;1;;E}</t>
  </si>
  <si>
    <t>#FNECTC{12401,12409,14801,14809,11101,13301,13309,14301,14305;12;2;;E}</t>
  </si>
  <si>
    <t>#FNECTC{12501,12509,14901,14905,11101,13301,13309,14301,14305,15603;08;2;;E}</t>
  </si>
  <si>
    <t>#FNECTC{12601,12609,15001,15005,11101,13301,13309,14301,14305,15605;11;2;;E}</t>
  </si>
  <si>
    <t>#FNECTC{12701,12709,15101,15105,11101,13301,13309,14301,14305,15607;02;2;;E}</t>
  </si>
  <si>
    <t>#FNECTC{12901,12909,15301,15305,11101,13301,13309,14301,14305,15609;10;2;;E}</t>
  </si>
  <si>
    <t>#FN1D{11199,12399,12499,12599,12699,12799,12999,13099,13199,13299,13399,14399,14799,14899,14999,15099,15199,15299,15399,15499,15599,15699;B}</t>
  </si>
  <si>
    <t>#FN1{424,445,45109}</t>
  </si>
  <si>
    <t>#FNECTC{12101,12109,14501,14505,11101,13301,13309,14301,14305,15601;07;;;E}</t>
  </si>
  <si>
    <t>#FNECTC{12301,12309,14701,14705,11101,13301,13309,14301,14305;01;;;E}</t>
  </si>
  <si>
    <t>#FNECTCP{12401,12409,14801,14809,11101,13301,13309,14301,14305;12;;;E}</t>
  </si>
  <si>
    <t>#FNECTCP{12501,12509,14901,14905,11101,13301,13309,14301,14305,15603;08;;;E}</t>
  </si>
  <si>
    <t>#FNECTCP{12601,12609,15001,15005,11101,13301,13309,14301,14305,15605;11;;;E}</t>
  </si>
  <si>
    <t>#FNOBES{12501,12509,14901,14905,11101,13301,13309,14301,14305,15603;08;;25;;E}</t>
  </si>
  <si>
    <t>#FNOBES{12501,12509,14901,14905,11101,13301,13309,14301,14305,15603;08;;23;;E}</t>
  </si>
  <si>
    <t>#FNOBES{12501,12509,14901,14905,11101,13301,13309,14301,14305,15603;08;;26;;E}</t>
  </si>
  <si>
    <t xml:space="preserve">         Другие банки без 113</t>
  </si>
  <si>
    <t xml:space="preserve">         Правительство всего</t>
  </si>
  <si>
    <t xml:space="preserve">         Правительство ФС=113</t>
  </si>
  <si>
    <t xml:space="preserve">         Правительство без ФС</t>
  </si>
  <si>
    <t xml:space="preserve">         Небанковские финансовые институты всего</t>
  </si>
  <si>
    <t xml:space="preserve">         Небанковские финансовые институты ФС=113</t>
  </si>
  <si>
    <t>Срочные депозиты физических лиц</t>
  </si>
  <si>
    <t>#FN1{20406}</t>
  </si>
  <si>
    <t>5. Инвестиции в акции гос предприятий</t>
  </si>
  <si>
    <t>6. Инвестиции в акции частных предприятий</t>
  </si>
  <si>
    <t>#FNOBES{12601,12609,15001,15005,11101,13301,13309,14301,14305,15605;11;7;29;;E}</t>
  </si>
  <si>
    <t>#FNOBES{12601,12609,15001,15005,11101,13301,13309,14301,14305,15605;11;7;42;;E}</t>
  </si>
  <si>
    <t>#FNOBES{12601,12609,15001,15005,11101,13301,13309,14301,14305,15605;11;7;61;;E}</t>
  </si>
  <si>
    <t>#FNOBES{13001,13009,15201,15205,11101,13301,13309,14301,14305,15611;03;5;25;;E}</t>
  </si>
  <si>
    <t>#FNOBES{13001,13009,15201,15205,11101,13301,13309,14301,14305,15611;03;5;23;;E}</t>
  </si>
  <si>
    <t>#FNOBES{13001,13009,15201,15205,11101,13301,13309,14301,14305,15611;03;5;26;;E}</t>
  </si>
  <si>
    <t>б</t>
  </si>
  <si>
    <t xml:space="preserve">     з. Процентные расходы по соглашениям о продаже ц/б с последующим выкупом</t>
  </si>
  <si>
    <t>#FNECTCR{11101,11103,11105,11195,11901,12101,12105,12109,12301,12305,12309,12401,12405,12409,12501,12505,12509,12601,12605,12609,12701,12705,12709,12901,12905,12909,13001,13005,13009,13101,13105,13109,13201,13205,13209,13301,13305,13309,14301,14305,14501,14505,14601,14701,14705,14801,14809,14901,14905,15001,15005,15101,15105,15201,15205,15301,15305,15401,15405,15501,15505,15601,15605,15607,15609,15611,15613,15615,15701,15703,15705;;;1;;E}</t>
  </si>
  <si>
    <t>#FNOBES{12901,12909,15301,15305,11101,13301,13309,14301,14305,15609;10;6;31,32,33,34,35,36,37;;E}</t>
  </si>
  <si>
    <t xml:space="preserve">1. Кассовая наличность и другие платежные документы </t>
  </si>
  <si>
    <t>2. К получению из ЦБРУ</t>
  </si>
  <si>
    <t xml:space="preserve">     в. Минус:Резервы на возможные убытки по другому собственному имуществу банка</t>
  </si>
  <si>
    <t xml:space="preserve">  а.1. Из них, резервы созданные по стандартным активам</t>
  </si>
  <si>
    <t>30. Итого собственного капитала</t>
  </si>
  <si>
    <t>31. Итого обязательств и собственного капитала</t>
  </si>
  <si>
    <t>КАПИТАЛ УРОВНЯ 1 (до вычетов)</t>
  </si>
  <si>
    <t>Добавленный капитал</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</si>
  <si>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</si>
  <si>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Резерв на девальвацию</t>
  </si>
  <si>
    <t>Итого капитал уровня 1 до вычетов</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</si>
  <si>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</si>
  <si>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Инвестиции в капитал других банков</t>
  </si>
  <si>
    <t>Итого вычетов из суммы капитала Уровня 1</t>
  </si>
  <si>
    <t>Прибыль за текущий год (при подтверждении аудиторами - 100%, в противном случае 50% от суммы)</t>
  </si>
  <si>
    <t>Резервы, создаваемые на стандартные кредиты (активы), в размере не более 1.25% от общей суммы активов, взвешенных с учетом риска</t>
  </si>
  <si>
    <t>Субординированный долг</t>
  </si>
  <si>
    <t>Излишки оценочной стоимости прироста над первоначальной стоимостью</t>
  </si>
  <si>
    <t>Другие инструменты капитала, в том числе обязательства смешанного типа (не более 1/3 части капитала 1 уровня после вычетов)</t>
  </si>
  <si>
    <t>Итого капитала Уровня II</t>
  </si>
  <si>
    <t xml:space="preserve">Основной </t>
  </si>
  <si>
    <t xml:space="preserve">Итого капитала </t>
  </si>
  <si>
    <t>СКОРРЕКТИРОВАННЫЙ КАПИТАЛ УРОВНЯ II</t>
  </si>
  <si>
    <t xml:space="preserve">ИТОГО РЕГУЛЯТИВНЫЙ КАПИТАЛ </t>
  </si>
  <si>
    <t>ОБЩАЯ  СУММА АКТИВОВ, ВЗВЕШЕННЫХ С УЧЕТОМ РИСКА</t>
  </si>
  <si>
    <t>Сумма балансовых и забалансовых активов, взвешенных с учетом риска</t>
  </si>
  <si>
    <t>Операционный риск</t>
  </si>
  <si>
    <t>Рыночный риск</t>
  </si>
  <si>
    <t>КОЭФФИЦИЕНТ КАПИТАЛА УРОВНЯ I (III/VII)</t>
  </si>
  <si>
    <t>КОЭФФИЦИЕНТ ОБЩЕЙ СУММЫ КАПИТАЛА, ОСНОВАННОГО НА РИСКЕ (VI/VII)</t>
  </si>
  <si>
    <t>Активы для расчета левеража</t>
  </si>
  <si>
    <t xml:space="preserve">Общие активы </t>
  </si>
  <si>
    <t>забалансовые инструменты</t>
  </si>
  <si>
    <t>деривативные (производные) инструменты</t>
  </si>
  <si>
    <t>Минус: Нематериальные активы</t>
  </si>
  <si>
    <t>XI</t>
  </si>
  <si>
    <t>Коэффициент левеража</t>
  </si>
  <si>
    <t>Подпись Председателя правления:</t>
  </si>
  <si>
    <r>
      <t>#FN1{30903,30904,</t>
    </r>
    <r>
      <rPr>
        <sz val="12"/>
        <rFont val="Times New Roman"/>
        <family val="1"/>
        <charset val="204"/>
      </rPr>
      <t>30910</t>
    </r>
    <r>
      <rPr>
        <sz val="12"/>
        <rFont val="Times New Roman"/>
        <family val="1"/>
      </rPr>
      <t>}</t>
    </r>
  </si>
  <si>
    <t>#FN1{158}</t>
  </si>
  <si>
    <t>#FN1{10719, 10779, 10821, 10879,10711, 10813, 159}</t>
  </si>
  <si>
    <t>#FN1{30908}</t>
  </si>
  <si>
    <t>Приложение №1 к Рекомендациям по заполнению отчетности коммерческих банков по банковскому надзору представляемых Центральному банку Республики Узбекистан</t>
  </si>
  <si>
    <t xml:space="preserve"> РАСЧЕТ ПО ОПЕРАЦИОННЫМ И РЫНОЧНЫМ РИСКАМ</t>
  </si>
  <si>
    <t>Таблица-5А (Форма-3006CAR)</t>
  </si>
  <si>
    <t>Наименование показателя</t>
  </si>
  <si>
    <t>Валовый доход банка за 2012 год</t>
  </si>
  <si>
    <t xml:space="preserve">процентные доходы </t>
  </si>
  <si>
    <t>б.</t>
  </si>
  <si>
    <t xml:space="preserve">процентные расходы </t>
  </si>
  <si>
    <t>в.</t>
  </si>
  <si>
    <t>другие доходы</t>
  </si>
  <si>
    <t>Валовый доход банка за 2013 год</t>
  </si>
  <si>
    <t>Валовый доход банка за 2014 год</t>
  </si>
  <si>
    <t>Средний валовый доход банка
(за последние три года)</t>
  </si>
  <si>
    <t xml:space="preserve">Сумма операционных рисков </t>
  </si>
  <si>
    <t>Продажа на условиях Своп и Форвард (счет 92709, 92732)</t>
  </si>
  <si>
    <t>Покупка на условиях Своп и Форвард (счет 92716, 92736)</t>
  </si>
  <si>
    <t>Открытая валютная позиция, всего</t>
  </si>
  <si>
    <t xml:space="preserve">Сумма рыночных рисков </t>
  </si>
  <si>
    <t>Действуюший минимальное требование к достаточности капитала</t>
  </si>
  <si>
    <t xml:space="preserve">Денежная наличность и другие платежные документы в пути  </t>
  </si>
  <si>
    <t>требования к банкам стран с низким уровнем риска</t>
  </si>
  <si>
    <t>требования к другим банкам</t>
  </si>
  <si>
    <t>Ценные бумаги, выпущенные правительствами и центральными банками стран, с низким уровня риска, а также другие требования к центральным банкам и правительствам этих стран</t>
  </si>
  <si>
    <t>Все требования банка, деноминированные в местную валюту стран не входящих в группу стран с низким уровнем риска, к Центральным банкам и центральным правительствам этих стран</t>
  </si>
  <si>
    <t>Активы, обеспеченные ценными бумагами выпущенными банками зарегистрированными в странах с низким уровнем риска</t>
  </si>
  <si>
    <t>Требования банка к международным кредитным организациям, а также активы, гарантированные  этими организациями</t>
  </si>
  <si>
    <t xml:space="preserve">Активы или их части, обеспеченные залогом в виде ценных бумаг, оцененных по текущей рыночной стоимости и эмитированных международными финансовыми институтами </t>
  </si>
  <si>
    <t xml:space="preserve">Кредиты и лизинг, чистые </t>
  </si>
  <si>
    <t>а)</t>
  </si>
  <si>
    <t>б)</t>
  </si>
  <si>
    <t>Активы или их части, обеспеченные ценными бумагами, которые оцененные по текущей рыночной стоимости и выпущенными или гарантированными Правительством Республики Узбекистан, Центральным банком Республики Узбекистан или Правительствами стран с низким уровнем риска.</t>
  </si>
  <si>
    <t>в)</t>
  </si>
  <si>
    <t>Кредиты на недвижимость обеспеченные приобретаемым или строящимся домом (квартирой)</t>
  </si>
  <si>
    <t>г)</t>
  </si>
  <si>
    <t>Реструктуризированные кредиты и кредиты в статусе "ненаращивания"</t>
  </si>
  <si>
    <t>д)</t>
  </si>
  <si>
    <t>Кредиты, по которым банк не имеет приоритетного права на залог</t>
  </si>
  <si>
    <t>е)</t>
  </si>
  <si>
    <t xml:space="preserve">Пересмотренные или пролонгированные кредиты и лизинги более одного раза </t>
  </si>
  <si>
    <t>ж)</t>
  </si>
  <si>
    <t>все другие кредиты (кроме лизинга)</t>
  </si>
  <si>
    <t>Основные средства</t>
  </si>
  <si>
    <t xml:space="preserve">  а)</t>
  </si>
  <si>
    <t xml:space="preserve">  б)</t>
  </si>
  <si>
    <t xml:space="preserve">  в)</t>
  </si>
  <si>
    <t>Недвижимое имущество принятое на баланс банка в целях полного или частичного погащения задолженности</t>
  </si>
  <si>
    <t>Недвижимое имущество банка, которым банк не пользуется более двух лет</t>
  </si>
  <si>
    <t xml:space="preserve">Гарантии и поручительства </t>
  </si>
  <si>
    <t>Аккредитивы</t>
  </si>
  <si>
    <t>Прямые требования к Правительству и Центральному банку Республики Узбекистан</t>
  </si>
  <si>
    <t>#FNOBES{111,123,124,125,126,127,129,130,131,132,133;;;21;;E}</t>
  </si>
  <si>
    <t>#FNOBES{143,147,148,149,150,151,152,153,154,155,156,157;;;21;;E}</t>
  </si>
  <si>
    <t>#FNOBES{111,123,124,125,126,127,129,130,131,132,133;;;22;;E}</t>
  </si>
  <si>
    <t>#FNOBES{143,147,148,149,150,151,152,153,154,155,156,157;;;22;;E}</t>
  </si>
  <si>
    <t>#FN1{12109,12309,12409,12509,12609,12709,12909,13009,13109,13209,13309,15619}+#FN1{14705,14905,15005,15105,15205,15305,15405,15505}</t>
  </si>
  <si>
    <t>#FN1{16701, 16703}</t>
  </si>
  <si>
    <t>#FN1{16705, 16709}</t>
  </si>
  <si>
    <t xml:space="preserve">Форвардные котракты, свопы, опционы и подобные обязательства </t>
  </si>
  <si>
    <t>Счета валютной позиции (счет 17101 (сумовая часть))</t>
  </si>
  <si>
    <t>#FN1{30908,30904,30905,30907,30909,30910}</t>
  </si>
  <si>
    <t>1. Итого собственного капитала первоначально определенного за прошлый год</t>
  </si>
  <si>
    <t>2. Исправления в собственном капитале не показанные в отчете за прошлый год, чистые</t>
  </si>
  <si>
    <t>3. Исправленный баланс на конец прошлого календарного года (сумма строк 1 и 2)</t>
  </si>
  <si>
    <t>4. Чистый прибыль (убыток) по состоянию на дату от начала года</t>
  </si>
  <si>
    <t>9. Другие статьи влияющие на собственный капитал за текущий год (чистые)</t>
  </si>
  <si>
    <t>10. Итого собственного капитала на конец текущего периода (сумма строк с 3 по 10)</t>
  </si>
  <si>
    <t xml:space="preserve">Гарантированные Правительством Р Уз. в ин. валюте </t>
  </si>
  <si>
    <t>Сумма кредитов</t>
  </si>
  <si>
    <t>Начисляемые кредиты</t>
  </si>
  <si>
    <t>Неначисляемые кредиты</t>
  </si>
  <si>
    <t>Поручительства третьей стороны</t>
  </si>
  <si>
    <t>#FNOBES{12501,12509,14901,14905,11101,13301,13309,14301,14305,15603;08;1;43;;E}</t>
  </si>
  <si>
    <t>#FNOBES{12701,12709,15101,15105,11101,13301,13309,14301,14305,15607;02;1;43;;E}</t>
  </si>
  <si>
    <t>#FNOBES{12901,12909,15301,15305,11101,13301,13309,14301,14305,15609;10;1;43;;E}</t>
  </si>
  <si>
    <t>#FNOBES{13101,13109,15501,15505,11101,13301,13309,14301,14305,15613;09;1;43;;E}</t>
  </si>
  <si>
    <t>#FNOBES{12301,12309,14701,14705,11101,13301,13309,14301,14305;01;1;43;;E}</t>
  </si>
  <si>
    <t>#FNOBES{12401,12409,14801,14809,11101,13301,13309,14301,14305;12;1;43;;E}</t>
  </si>
  <si>
    <t>#FNOBES{12601,12609,15001,15005,11101,13301,13309,14301,14305,15605;11;1;43;;E}</t>
  </si>
  <si>
    <t>#FNOBES{13001,13009,15201,15205,11101,13301,13309,14301,14305,15611;03;1;43;;E}</t>
  </si>
  <si>
    <t>#FNOBES{13201,13209,15401,15405,11101,13301,13309,14301,14305;04;1;43;;E}</t>
  </si>
  <si>
    <t>#FNOBES{12501,12509,14901,14905,11101,13301,13309,14301,14305,15603;08;5;43;;E}</t>
  </si>
  <si>
    <t>#FNOBES{12701,12709,15101,15105,11101,13301,13309,14301,14305,15607;02;5;43;;E}</t>
  </si>
  <si>
    <t>#FNOBES{12901,12909,15301,15305,11101,13301,13309,14301,14305,15609;10;5;43;;E}</t>
  </si>
  <si>
    <t>#FNOBES{13101,13109,15501,15505,11101,13301,13309,14301,14305,15613;09;5;43;;E}</t>
  </si>
  <si>
    <t>#FNOBES{12301,12309,14701,14705,11101,13301,13309,14301,14305;01;5;43;;E}</t>
  </si>
  <si>
    <t>#FNOBES{12401,12409,14801,14809,11101,13301,13309,14301,14305;12;5;43;;E}</t>
  </si>
  <si>
    <t>#FNOBES{12601,12609,15001,15005,11101,13301,13309,14301,14305,15605;11;5;43;;E}</t>
  </si>
  <si>
    <t>#FNOBES{13001,13009,15201,15205,11101,13301,13309,14301,14305,15611;03;5;43;;E}</t>
  </si>
  <si>
    <t>#FNOBES{13201,13209,15401,15405,11101,13301,13309,14301,14305;04;5;43;;E}</t>
  </si>
  <si>
    <t>#FNOBES{12501,12509,14901,14905,11101,13301,13309,14301,14305,15603;08;6;43;;E}</t>
  </si>
  <si>
    <t>#FNOBES{12701,12709,15101,15105,11101,13301,13309,14301,14305,15607;02;6;43;;E}</t>
  </si>
  <si>
    <t>#FNOBES{12901,12909,15301,15305,11101,13301,13309,14301,14305,15609;10;6;43;;E}</t>
  </si>
  <si>
    <t>#FNOBES{13101,13109,15501,15505,11101,13301,13309,14301,14305,15613;09;6;43;;E}</t>
  </si>
  <si>
    <t>#FNOBES{12301,12309,14701,14705,11101,13301,13309,14301,14305;01;6;43;;E}</t>
  </si>
  <si>
    <t>#FNOBES{12401,12409,14801,14809,11101,13301,13309,14301,14305;12;6;43;;E}</t>
  </si>
  <si>
    <t>#FNOBES{12601,12609,15001,15005,11101,13301,13309,14301,14305,15605;11;6;43;;E}</t>
  </si>
  <si>
    <t>#FNOBES{13001,13009,15201,15205,11101,13301,13309,14301,14305,15611;03;6;43;;E}</t>
  </si>
  <si>
    <t>#FNOBES{13201,13209,15401,15405,11101,13301,13309,14301,14305;04;6;43;;E}</t>
  </si>
  <si>
    <t>#FNOBES{12501,12509,14901,14905,11101,13301,13309,14301,14305,15603;08;7;43;;E}</t>
  </si>
  <si>
    <t>#FNOBES{12701,12709,15101,15105,11101,13301,13309,14301,14305,15607;02;7;43;;E}</t>
  </si>
  <si>
    <t>#FNOBES{12901,12909,15301,15305,11101,13301,13309,14301,14305,15609;10;7;43;;E}</t>
  </si>
  <si>
    <t>#FNOBES{13101,13109,15501,15505,11101,13301,13309,14301,14305,15613;09;7;43;;E}</t>
  </si>
  <si>
    <t>#FNOBES{12301,12309,14701,14705,11101,13301,13309,14301,14305;01;7;43;;E}</t>
  </si>
  <si>
    <t>#FNOBES{12401,12409,14801,14809,11101,13301,13309,14301,14305;12;7;43;;E}</t>
  </si>
  <si>
    <t>#FNOBES{12601,12609,15001,15005,11101,13301,13309,14301,14305,15605;11;7;43;;E}</t>
  </si>
  <si>
    <t>#FNOBES{13001,13009,15201,15205,11101,13301,13309,14301,14305,15611;03;7;43;;E}</t>
  </si>
  <si>
    <t>#FNOBES{13201,13209,15401,15405,11101,13301,13309,14301,14305;04;7;43;;E}</t>
  </si>
  <si>
    <t>#FNOBES{12501,12509,14901,14905,11101,13301,13309,14301,14305,15603;08;8;43;;E}</t>
  </si>
  <si>
    <t>#FNOBES{12701,12709,15101,15105,11101,13301,13309,14301,14305,15607;02;8;43;;E}</t>
  </si>
  <si>
    <t>#FNOBES{12901,12909,15301,15305,11101,13301,13309,14301,14305,15609;10;8;43;;E}</t>
  </si>
  <si>
    <t>#FNOBES{13101,13109,15501,15505,11101,13301,13309,14301,14305,15613;09;8;43;;E}</t>
  </si>
  <si>
    <t>#FNOBES{12301,12309,14701,14705,11101,13301,13309,14301,14305;01;8;43;;E}</t>
  </si>
  <si>
    <t>#FNOBES{12401,12409,14801,14809,11101,13301,13309,14301,14305;12;8;43;;E}</t>
  </si>
  <si>
    <t>#FNOBES{12601,12609,15001,15005,11101,13301,13309,14301,14305,15605;11;8;43;;E}</t>
  </si>
  <si>
    <t>#FNOBES{13001,13009,15201,15205,11101,13301,13309,14301,14305,15611;03;8;43;;E}</t>
  </si>
  <si>
    <t>#FNOBES{13201,13209,15401,15405,11101,13301,13309,14301,14305;04;8;43;;E}</t>
  </si>
  <si>
    <t>#FNOBES{12501,12509,14901,14905,11101,13301,13309,14301,14305,15603;08;9;43;;E}</t>
  </si>
  <si>
    <t>#FNOBES{12701,12709,15101,15105,11101,13301,13309,14301,14305,15607;02;9;43;;E}</t>
  </si>
  <si>
    <t>#FNOBES{12901,12909,15301,15305,11101,13301,13309,14301,14305,15609;10;9;43;;E}</t>
  </si>
  <si>
    <t>#FNOBES{13101,13109,15501,15505,11101,13301,13309,14301,14305,15613;09;9;43;;E}</t>
  </si>
  <si>
    <t>#FNOBES{12301,12309,14701,14705,11101,13301,13309,14301,14305;01;9;43;;E}</t>
  </si>
  <si>
    <t>#FNOBES{12401,12409,14801,14809,11101,13301,13309,14301,14305;12;9;43;;E}</t>
  </si>
  <si>
    <t>#FNOBES{12601,12609,15001,15005,11101,13301,13309,14301,14305,15605;11;9;43;;E}</t>
  </si>
  <si>
    <t>#FNOBES{13001,13009,15201,15205,11101,13301,13309,14301,14305,15611;03;9;43;;E}</t>
  </si>
  <si>
    <t>#FNOBES{13201,13209,15401,15405,11101,13301,13309,14301,14305;04;9;43;;E}</t>
  </si>
  <si>
    <t>#FNOBES{12501,12509,14901,14905,11101,13301,13309,14301,14305,15603;08;;43;;E}</t>
  </si>
  <si>
    <t>#FNOBES{12701,12709,15101,15105,11101,13301,13309,14301,14305,15607;02;;43;;E}</t>
  </si>
  <si>
    <t>#FNOBES{12901,12909,15301,15305,11101,13301,13309,14301,14305,15609;10;;43;;E}</t>
  </si>
  <si>
    <t>#FNOBES{13101,13109,15501,15505,11101,13301,13309,14301,14305,15613;09;;43;;E}</t>
  </si>
  <si>
    <t>#FNOBES{12101,12109,14501,14505,11101,13301,13309,14301,14305,15601;07;;43;;E}</t>
  </si>
  <si>
    <t>#FNOBES{12301,12309,14701,14705,11101,13301,13309,14301,14305;01;;43;;E}</t>
  </si>
  <si>
    <t>#FNOBES{13201,13209,15401,15405,11101,13301,13309,14301,14305;04;;43;;E}</t>
  </si>
  <si>
    <t>#FNOBES{13001,13009,15201,15205,11101,13301,13309,14301,14305,15611;03;;43;;E}</t>
  </si>
  <si>
    <t>#FNOBES{12401,12409,14801,14809,11101,13301,13309,14301,14305;12;;43;;E}</t>
  </si>
  <si>
    <t>#FNOBES{12601,12609,15001,15005,11101,13301,13309,14301,14305,15605;11;;43;;E}</t>
  </si>
  <si>
    <t>#FNOBES{12501,12509,14901,14905,11101,13301,13309,14301,14305,15603;08;2;43;;E}</t>
  </si>
  <si>
    <t>#FNOBES{12701,12709,15101,15105,11101,13301,13309,14301,14305,15607;02;2;43;;E}</t>
  </si>
  <si>
    <t>#FNOBES{12901,12909,15301,15305,11101,13301,13309,14301,14305,15609;10;2;43;;E}</t>
  </si>
  <si>
    <t>#FNOBES{13101,13109,15501,15505,11101,13301,13309,14301,14305,15613;09;2;43;;E}</t>
  </si>
  <si>
    <t>#FNOBES{12101,12109,14501,14505,11101,13301,13309,14301,14305,15601;07;2;43;;E}</t>
  </si>
  <si>
    <t>#FNOBES{12301,12309,14701,14705,11101,13301,13309,14301,14305;01;2;43;;E}</t>
  </si>
  <si>
    <t>#FNOBES{13201,13209,15401,15405,11101,13301,13309,14301,14305;04;2;43;;E}</t>
  </si>
  <si>
    <t>#FNOBES{13001,13009,15201,15205,11101,13301,13309,14301,14305,15611;03;2;43;;E}</t>
  </si>
  <si>
    <t>#FNOBES{12401,12409,14801,14809,11101,13301,13309,14301,14305;12;2;43;;E}</t>
  </si>
  <si>
    <t>#FNOBES{12601,12609,15001,15005,11101,13301,13309,14301,14305,15605;11;2;43;;E}</t>
  </si>
  <si>
    <t>#FNOBES{12501,12509,14901,14905,11101,13301,13309,14301,14305,15603;08;1;41;;E}</t>
  </si>
  <si>
    <t>#FNOBES{12701,12709,15101,15105,11101,13301,13309,14301,14305,15607;02;1;41;;E}</t>
  </si>
  <si>
    <t>#FNOBES{12901,12909,15301,15305,11101,13301,13309,14301,14305,15609;10;1;41;;E}</t>
  </si>
  <si>
    <t>#FNOBES{13101,13109,15501,15505,11101,13301,13309,14301,14305,15613;09;1;41;;E}</t>
  </si>
  <si>
    <t>#FNOBES{12301,12309,14701,14705,11101,13301,13309,14301,14305;01;1;41;;E}</t>
  </si>
  <si>
    <t>#FNOBES{12401,12409,14801,14809,11101,13301,13309,14301,14305;12;1;41;;E}</t>
  </si>
  <si>
    <t>#FNOBES{12601,12609,15001,15005,11101,13301,13309,14301,14305,15605;11;1;41;;E}</t>
  </si>
  <si>
    <t>#FNOBES{13001,13009,15201,15205,11101,13301,13309,14301,14305,15611;03;1;41;;E}</t>
  </si>
  <si>
    <t>#FNOBES{13201,13209,15401,15405,11101,13301,13309,14301,14305;04;1;41;;E}</t>
  </si>
  <si>
    <t>#FNOBES{12501,12509,14901,14905,11101,13301,13309,14301,14305,15603;08;5;41;;E}</t>
  </si>
  <si>
    <t>#FNOBES{12701,12709,15101,15105,11101,13301,13309,14301,14305,15607;02;5;41;;E}</t>
  </si>
  <si>
    <t>#FNOBES{12901,12909,15301,15305,11101,13301,13309,14301,14305,15609;10;5;41;;E}</t>
  </si>
  <si>
    <t>#FNOBES{13101,13109,15501,15505,11101,13301,13309,14301,14305,15613;09;5;41;;E}</t>
  </si>
  <si>
    <t>#FNOBES{12301,12309,14701,14705,11101,13301,13309,14301,14305;01;5;41;;E}</t>
  </si>
  <si>
    <t>#FNOBES{12401,12409,14801,14809,11101,13301,13309,14301,14305;12;5;41;;E}</t>
  </si>
  <si>
    <t>#FNOBES{12601,12609,15001,15005,11101,13301,13309,14301,14305,15605;11;5;41;;E}</t>
  </si>
  <si>
    <t>#FNOBES{13001,13009,15201,15205,11101,13301,13309,14301,14305,15611;03;5;41;;E}</t>
  </si>
  <si>
    <t>#FNOBES{13201,13209,15401,15405,11101,13301,13309,14301,14305;04;5;41;;E}</t>
  </si>
  <si>
    <t>#FNOBES{12501,12509,14901,14905,11101,13301,13309,14301,14305,15603;08;6;41;;E}</t>
  </si>
  <si>
    <t>#FNOBES{12701,12709,15101,15105,11101,13301,13309,14301,14305,15607;02;6;41;;E}</t>
  </si>
  <si>
    <t>#FNOBES{12901,12909,15301,15305,11101,13301,13309,14301,14305,15609;10;6;41;;E}</t>
  </si>
  <si>
    <t>#FNOBES{13101,13109,15501,15505,11101,13301,13309,14301,14305,15613;09;6;41;;E}</t>
  </si>
  <si>
    <t>#FNOBES{12301,12309,14701,14705,11101,13301,13309,14301,14305;01;6;41;;E}</t>
  </si>
  <si>
    <t>#FNOBES{12401,12409,14801,14809,11101,13301,13309,14301,14305;12;6;41;;E}</t>
  </si>
  <si>
    <t>#FNOBES{12601,12609,15001,15005,11101,13301,13309,14301,14305,15605;11;6;41;;E}</t>
  </si>
  <si>
    <t>#FNOBES{13001,13009,15201,15205,11101,13301,13309,14301,14305,15611;03;6;41;;E}</t>
  </si>
  <si>
    <t>#FNOBES{13201,13209,15401,15405,11101,13301,13309,14301,14305;04;6;41;;E}</t>
  </si>
  <si>
    <t>#FNOBES{12501,12509,14901,14905,11101,13301,13309,14301,14305,15603;08;7;41;;E}</t>
  </si>
  <si>
    <t>#FNOBES{12701,12709,15101,15105,11101,13301,13309,14301,14305,15607;02;7;41;;E}</t>
  </si>
  <si>
    <t>#FNOBES{12901,12909,15301,15305,11101,13301,13309,14301,14305,15609;10;7;41;;E}</t>
  </si>
  <si>
    <t>#FNOBES{13101,13109,15501,15505,11101,13301,13309,14301,14305,15613;09;7;41;;E}</t>
  </si>
  <si>
    <t>#FNOBES{12301,12309,14701,14705,11101,13301,13309,14301,14305;01;7;41;;E}</t>
  </si>
  <si>
    <t>#FNOBES{12401,12409,14801,14809,11101,13301,13309,14301,14305;12;7;41;;E}</t>
  </si>
  <si>
    <t>#FNOBES{12601,12609,15001,15005,11101,13301,13309,14301,14305,15605;11;7;41;;E}</t>
  </si>
  <si>
    <t>#FNOBES{13001,13009,15201,15205,11101,13301,13309,14301,14305,15611;03;7;41;;E}</t>
  </si>
  <si>
    <t>#FNOBES{13201,13209,15401,15405,11101,13301,13309,14301,14305;04;7;41;;E}</t>
  </si>
  <si>
    <t>#FNOBES{12501,12509,14901,14905,11101,13301,13309,14301,14305,15603;08;8;41;;E}</t>
  </si>
  <si>
    <t>#FNOBES{12701,12709,15101,15105,11101,13301,13309,14301,14305,15607;02;8;41;;E}</t>
  </si>
  <si>
    <t>#FNOBES{12901,12909,15301,15305,11101,13301,13309,14301,14305,15609;10;8;41;;E}</t>
  </si>
  <si>
    <t>#FNOBES{13101,13109,15501,15505,11101,13301,13309,14301,14305,15613;09;8;41;;E}</t>
  </si>
  <si>
    <t>#FNOBES{12301,12309,14701,14705,11101,13301,13309,14301,14305;01;8;41;;E}</t>
  </si>
  <si>
    <t>#FNOBES{12401,12409,14801,14809,11101,13301,13309,14301,14305;12;8;41;;E}</t>
  </si>
  <si>
    <t>#FNOBES{12601,12609,15001,15005,11101,13301,13309,14301,14305,15605;11;8;41;;E}</t>
  </si>
  <si>
    <t>#FNOBES{13001,13009,15201,15205,11101,13301,13309,14301,14305,15611;03;8;41;;E}</t>
  </si>
  <si>
    <t>#FNOBES{13201,13209,15401,15405,11101,13301,13309,14301,14305;04;8;41;;E}</t>
  </si>
  <si>
    <t>#FNOBES{12501,12509,14901,14905,11101,13301,13309,14301,14305,15603;08;9;41;;E}</t>
  </si>
  <si>
    <t>#FNOBES{12701,12709,15101,15105,11101,13301,13309,14301,14305,15607;02;9;41;;E}</t>
  </si>
  <si>
    <t>#FNOBES{12901,12909,15301,15305,11101,13301,13309,14301,14305,15609;10;9;41;;E}</t>
  </si>
  <si>
    <t>#FNOBES{13101,13109,15501,15505,11101,13301,13309,14301,14305,15613;09;9;41;;E}</t>
  </si>
  <si>
    <t>#FNOBES{12301,12309,14701,14705,11101,13301,13309,14301,14305;01;9;41;;E}</t>
  </si>
  <si>
    <t>#FNOBES{12401,12409,14801,14809,11101,13301,13309,14301,14305;12;9;41;;E}</t>
  </si>
  <si>
    <t>#FNOBES{12601,12609,15001,15005,11101,13301,13309,14301,14305,15605;11;9;41;;E}</t>
  </si>
  <si>
    <t>#FNOBES{13001,13009,15201,15205,11101,13301,13309,14301,14305,15611;03;9;41;;E}</t>
  </si>
  <si>
    <t>#FNOBES{13201,13209,15401,15405,11101,13301,13309,14301,14305;04;9;41;;E}</t>
  </si>
  <si>
    <t>#FNOBES{12501,12509,14901,14905,11101,13301,13309,14301,14305,15603;08;;41;;E}</t>
  </si>
  <si>
    <t>#FNOBES{12701,12709,15101,15105,11101,13301,13309,14301,14305,15607;02;;41;;E}</t>
  </si>
  <si>
    <t>#FNOBES{12901,12909,15301,15305,11101,13301,13309,14301,14305,15609;10;;41;;E}</t>
  </si>
  <si>
    <t>#FNOBES{13101,13109,15501,15505,11101,13301,13309,14301,14305,15613;09;;41;;E}</t>
  </si>
  <si>
    <t>#FNOBES{12101,12109,14501,14505,11101,13301,13309,14301,14305,15601;07;;41;;E}</t>
  </si>
  <si>
    <t>#FNOBES{12301,12309,14701,14705,11101,13301,13309,14301,14305;01;;41;;E}</t>
  </si>
  <si>
    <t>#FNOBES{13201,13209,15401,15405,11101,13301,13309,14301,14305;04;;41;;E}</t>
  </si>
  <si>
    <t>#FNOBES{13001,13009,15201,15205,11101,13301,13309,14301,14305,15611;03;;41;;E}</t>
  </si>
  <si>
    <t>#FNOBES{12401,12409,14801,14809,11101,13301,13309,14301,14305;12;;41;;E}</t>
  </si>
  <si>
    <t>#FNOBES{12601,12609,15001,15005,11101,13301,13309,14301,14305,15605;11;;41;;E}</t>
  </si>
  <si>
    <t>#FNOBES{12501,12509,14901,14905,11101,13301,13309,14301,14305,15603;08;2;41;;E}</t>
  </si>
  <si>
    <t>#FNOBES{12701,12709,15101,15105,11101,13301,13309,14301,14305,15607;02;2;41;;E}</t>
  </si>
  <si>
    <t>#FNOBES{12901,12909,15301,15305,11101,13301,13309,14301,14305,15609;10;2;41;;E}</t>
  </si>
  <si>
    <t>#FNOBES{13101,13109,15501,15505,11101,13301,13309,14301,14305,15613;09;2;41;;E}</t>
  </si>
  <si>
    <t>#FNOBES{12101,12109,14501,14505,11101,13301,13309,14301,14305,15601;07;2;41;;E}</t>
  </si>
  <si>
    <t>#FNOBES{12301,12309,14701,14705,11101,13301,13309,14301,14305;01;2;41;;E}</t>
  </si>
  <si>
    <t>#FNOBES{13201,13209,15401,15405,11101,13301,13309,14301,14305;04;2;41;;E}</t>
  </si>
  <si>
    <t>#FNOBES{13001,13009,15201,15205,11101,13301,13309,14301,14305,15611;03;2;41;;E}</t>
  </si>
  <si>
    <t>#FNOBES{12401,12409,14801,14809,11101,13301,13309,14301,14305;12;2;41;;E}</t>
  </si>
  <si>
    <t>#FNOBES{12601,12609,15001,15005,11101,13301,13309,14301,14305,15605;11;2;41;;E}</t>
  </si>
  <si>
    <t>Страховой полис</t>
  </si>
  <si>
    <t>#FNOBES{12501,12509,14901,14905,11101,13301,13309,14301,14305,15603;08;1;51;;E}</t>
  </si>
  <si>
    <t>#FNOBES{12701,12709,15101,15105,11101,13301,13309,14301,14305,15607;02;1;51;;E}</t>
  </si>
  <si>
    <t>#FNOBES{12901,12909,15301,15305,11101,13301,13309,14301,14305,15609;10;1;51;;E}</t>
  </si>
  <si>
    <t>#FNOBES{13101,13109,15501,15505,11101,13301,13309,14301,14305,15613;09;1;51;;E}</t>
  </si>
  <si>
    <t>#FNOBES{12301,12309,14701,14705,11101,13301,13309,14301,14305;01;1;51;;E}</t>
  </si>
  <si>
    <t>#FNOBES{12401,12409,14801,14809,11101,13301,13309,14301,14305;12;1;51;;E}</t>
  </si>
  <si>
    <t>#FNOBES{12601,12609,15001,15005,11101,13301,13309,14301,14305,15605;11;1;51;;E}</t>
  </si>
  <si>
    <t>#FNOBES{13001,13009,15201,15205,11101,13301,13309,14301,14305,15611;03;1;51;;E}</t>
  </si>
  <si>
    <t>#FNOBES{13201,13209,15401,15405,11101,13301,13309,14301,14305;04;1;51;;E}</t>
  </si>
  <si>
    <t>#FNOBES{12501,12509,14901,14905,11101,13301,13309,14301,14305,15603;08;5;51;;E}</t>
  </si>
  <si>
    <t>#FNOBES{12701,12709,15101,15105,11101,13301,13309,14301,14305,15607;02;5;51;;E}</t>
  </si>
  <si>
    <t>#FNOBES{12901,12909,15301,15305,11101,13301,13309,14301,14305,15609;10;5;51;;E}</t>
  </si>
  <si>
    <t>#FNOBES{13101,13109,15501,15505,11101,13301,13309,14301,14305,15613;09;5;51;;E}</t>
  </si>
  <si>
    <t>#FNOBES{12301,12309,14701,14705,11101,13301,13309,14301,14305;01;5;51;;E}</t>
  </si>
  <si>
    <t>#FNOBES{12401,12409,14801,14809,11101,13301,13309,14301,14305;12;5;51;;E}</t>
  </si>
  <si>
    <t>#FNOBES{12601,12609,15001,15005,11101,13301,13309,14301,14305,15605;11;5;51;;E}</t>
  </si>
  <si>
    <t>#FNOBES{13001,13009,15201,15205,11101,13301,13309,14301,14305,15611;03;5;51;;E}</t>
  </si>
  <si>
    <t>#FNOBES{13201,13209,15401,15405,11101,13301,13309,14301,14305;04;5;51;;E}</t>
  </si>
  <si>
    <t>#FNOBES{12501,12509,14901,14905,11101,13301,13309,14301,14305,15603;08;6;51;;E}</t>
  </si>
  <si>
    <t>#FNOBES{12701,12709,15101,15105,11101,13301,13309,14301,14305,15607;02;6;51;;E}</t>
  </si>
  <si>
    <t>#FNOBES{12901,12909,15301,15305,11101,13301,13309,14301,14305,15609;10;6;51;;E}</t>
  </si>
  <si>
    <t>#FNOBES{13101,13109,15501,15505,11101,13301,13309,14301,14305,15613;09;6;51;;E}</t>
  </si>
  <si>
    <t>#FNOBES{12301,12309,14701,14705,11101,13301,13309,14301,14305;01;6;51;;E}</t>
  </si>
  <si>
    <t>#FNOBES{12401,12409,14801,14809,11101,13301,13309,14301,14305;12;6;51;;E}</t>
  </si>
  <si>
    <t>#FNOBES{12601,12609,15001,15005,11101,13301,13309,14301,14305,15605;11;6;51;;E}</t>
  </si>
  <si>
    <t>#FNOBES{13001,13009,15201,15205,11101,13301,13309,14301,14305,15611;03;6;51;;E}</t>
  </si>
  <si>
    <t>#FNOBES{13201,13209,15401,15405,11101,13301,13309,14301,14305;04;6;51;;E}</t>
  </si>
  <si>
    <t>#FNOBES{12501,12509,14901,14905,11101,13301,13309,14301,14305,15603;08;7;51;;E}</t>
  </si>
  <si>
    <t>#FNOBES{12701,12709,15101,15105,11101,13301,13309,14301,14305,15607;02;7;51;;E}</t>
  </si>
  <si>
    <t>#FNOBES{12901,12909,15301,15305,11101,13301,13309,14301,14305,15609;10;7;51;;E}</t>
  </si>
  <si>
    <t>#FNOBES{13101,13109,15501,15505,11101,13301,13309,14301,14305,15613;09;7;51;;E}</t>
  </si>
  <si>
    <t>#FNOBES{12301,12309,14701,14705,11101,13301,13309,14301,14305;01;7;51;;E}</t>
  </si>
  <si>
    <t>#FNOBES{12401,12409,14801,14809,11101,13301,13309,14301,14305;12;7;51;;E}</t>
  </si>
  <si>
    <t>#FNOBES{12601,12609,15001,15005,11101,13301,13309,14301,14305,15605;11;7;51;;E}</t>
  </si>
  <si>
    <t>#FNOBES{13001,13009,15201,15205,11101,13301,13309,14301,14305,15611;03;7;51;;E}</t>
  </si>
  <si>
    <t>#FNOBES{13201,13209,15401,15405,11101,13301,13309,14301,14305;04;7;51;;E}</t>
  </si>
  <si>
    <t>#FNOBES{12501,12509,14901,14905,11101,13301,13309,14301,14305,15603;08;8;51;;E}</t>
  </si>
  <si>
    <t>#FNOBES{12701,12709,15101,15105,11101,13301,13309,14301,14305,15607;02;8;51;;E}</t>
  </si>
  <si>
    <t>#FNOBES{12901,12909,15301,15305,11101,13301,13309,14301,14305,15609;10;8;51;;E}</t>
  </si>
  <si>
    <t>#FNOBES{13101,13109,15501,15505,11101,13301,13309,14301,14305,15613;09;8;51;;E}</t>
  </si>
  <si>
    <t>#FNOBES{12301,12309,14701,14705,11101,13301,13309,14301,14305;01;8;51;;E}</t>
  </si>
  <si>
    <t>#FNOBES{12401,12409,14801,14809,11101,13301,13309,14301,14305;12;8;51;;E}</t>
  </si>
  <si>
    <t>#FNOBES{12601,12609,15001,15005,11101,13301,13309,14301,14305,15605;11;8;51;;E}</t>
  </si>
  <si>
    <t>#FNOBES{13001,13009,15201,15205,11101,13301,13309,14301,14305,15611;03;8;51;;E}</t>
  </si>
  <si>
    <t>#FNOBES{13201,13209,15401,15405,11101,13301,13309,14301,14305;04;8;51;;E}</t>
  </si>
  <si>
    <t>#FNOBES{12501,12509,14901,14905,11101,13301,13309,14301,14305,15603;08;9;51;;E}</t>
  </si>
  <si>
    <t>#FNOBES{12701,12709,15101,15105,11101,13301,13309,14301,14305,15607;02;9;51;;E}</t>
  </si>
  <si>
    <t>#FNOBES{12901,12909,15301,15305,11101,13301,13309,14301,14305,15609;10;9;51;;E}</t>
  </si>
  <si>
    <t>#FNOBES{13101,13109,15501,15505,11101,13301,13309,14301,14305,15613;09;9;51;;E}</t>
  </si>
  <si>
    <t>#FNOBES{12301,12309,14701,14705,11101,13301,13309,14301,14305;01;9;51;;E}</t>
  </si>
  <si>
    <t>#FNOBES{12401,12409,14801,14809,11101,13301,13309,14301,14305;12;9;51;;E}</t>
  </si>
  <si>
    <t>#FNOBES{12601,12609,15001,15005,11101,13301,13309,14301,14305,15605;11;9;51;;E}</t>
  </si>
  <si>
    <t>#FNOBES{13001,13009,15201,15205,11101,13301,13309,14301,14305,15611;03;9;51;;E}</t>
  </si>
  <si>
    <t>#FNOBES{13201,13209,15401,15405,11101,13301,13309,14301,14305;04;9;51;;E}</t>
  </si>
  <si>
    <t>#FNOBES{12501,12509,14901,14905,11101,13301,13309,14301,14305,15603;08;;51;;E}</t>
  </si>
  <si>
    <t>#FNOBES{12701,12709,15101,15105,11101,13301,13309,14301,14305,15607;02;;51;;E}</t>
  </si>
  <si>
    <t>#FNOBES{12901,12909,15301,15305,11101,13301,13309,14301,14305,15609;10;;51;;E}</t>
  </si>
  <si>
    <t>#FNOBES{13101,13109,15501,15505,11101,13301,13309,14301,14305,15613;09;;51;;E}</t>
  </si>
  <si>
    <t>#FNOBES{12101,12109,14501,14505,11101,13301,13309,14301,14305,15601;07;;51;;E}</t>
  </si>
  <si>
    <t>#FNOBES{12301,12309,14701,14705,11101,13301,13309,14301,14305;01;;51;;E}</t>
  </si>
  <si>
    <t>#FNOBES{13201,13209,15401,15405,11101,13301,13309,14301,14305;04;;51;;E}</t>
  </si>
  <si>
    <t>#FNOBES{13001,13009,15201,15205,11101,13301,13309,14301,14305,15611;03;;51;;E}</t>
  </si>
  <si>
    <t>#FNOBES{12401,12409,14801,14809,11101,13301,13309,14301,14305;12;;51;;E}</t>
  </si>
  <si>
    <t>#FNOBES{12601,12609,15001,15005,11101,13301,13309,14301,14305,15605;11;;51;;E}</t>
  </si>
  <si>
    <t>#FNOBES{12501,12509,14901,14905,11101,13301,13309,14301,14305,15603;08;2;51;;E}</t>
  </si>
  <si>
    <t>#FNOBES{12701,12709,15101,15105,11101,13301,13309,14301,14305,15607;02;2;51;;E}</t>
  </si>
  <si>
    <t>#FNOBES{12901,12909,15301,15305,11101,13301,13309,14301,14305,15609;10;2;51;;E}</t>
  </si>
  <si>
    <t>#FNOBES{13101,13109,15501,15505,11101,13301,13309,14301,14305,15613;09;2;51;;E}</t>
  </si>
  <si>
    <t>#FNOBES{12101,12109,14501,14505,11101,13301,13309,14301,14305,15601;07;2;51;;E}</t>
  </si>
  <si>
    <t>#FNOBES{12301,12309,14701,14705,11101,13301,13309,14301,14305;01;2;51;;E}</t>
  </si>
  <si>
    <t>#FNOBES{13201,13209,15401,15405,11101,13301,13309,14301,14305;04;2;51;;E}</t>
  </si>
  <si>
    <t>#FNOBES{13001,13009,15201,15205,11101,13301,13309,14301,14305,15611;03;2;51;;E}</t>
  </si>
  <si>
    <t>#FNOBES{12401,12409,14801,14809,11101,13301,13309,14301,14305;12;2;51;;E}</t>
  </si>
  <si>
    <t>#FNOBES{12601,12609,15001,15005,11101,13301,13309,14301,14305,15605;11;2;51;;E}</t>
  </si>
  <si>
    <t>Совместные и иностранные предприятия</t>
  </si>
  <si>
    <t>Итого кредита и лизинга</t>
  </si>
  <si>
    <r>
      <t>(Ж</t>
    </r>
    <r>
      <rPr>
        <sz val="8"/>
        <rFont val="Arial Cyr"/>
        <charset val="204"/>
      </rPr>
      <t>1</t>
    </r>
    <r>
      <rPr>
        <sz val="10"/>
        <rFont val="Arial Cyr"/>
        <family val="2"/>
        <charset val="204"/>
      </rPr>
      <t>)</t>
    </r>
  </si>
  <si>
    <t>(З)</t>
  </si>
  <si>
    <t>(И)</t>
  </si>
  <si>
    <t>(К)</t>
  </si>
  <si>
    <t>(Л)</t>
  </si>
  <si>
    <t>(М)</t>
  </si>
  <si>
    <t>(Н)</t>
  </si>
  <si>
    <t>(О)</t>
  </si>
  <si>
    <t>(П)</t>
  </si>
  <si>
    <t>(Р)</t>
  </si>
  <si>
    <t>(С)</t>
  </si>
  <si>
    <t>(Т)</t>
  </si>
  <si>
    <t>Кредиты к получению по отраслям экономики, типам клиентов и по типу обеспечения</t>
  </si>
  <si>
    <t>Таблица-8 (Форма-1516LES)</t>
  </si>
  <si>
    <t>B</t>
  </si>
  <si>
    <t>Общие резервы (1%)</t>
  </si>
  <si>
    <t>Специальные резервы (мин 10%)</t>
  </si>
  <si>
    <t>Неудовлетворительные</t>
  </si>
  <si>
    <t>Специальные резервы        (мин 25%)</t>
  </si>
  <si>
    <t>Специальные резервы       (мин 50%)</t>
  </si>
  <si>
    <t>Специальные резервы (100%)</t>
  </si>
  <si>
    <t>Совокупная сумма специальных резервов</t>
  </si>
  <si>
    <t>О=Ж+И+Л+Н</t>
  </si>
  <si>
    <t xml:space="preserve">1. Касса (наличность и монеты) и Драгоценные металлы </t>
  </si>
  <si>
    <t>3. К получению из других банков</t>
  </si>
  <si>
    <t>4. Ценные бумаги, выпущенные Правительством Республики Узбекистан и ЦБРУ  (векселя, облигации и другие долговые ценные бумаги)</t>
  </si>
  <si>
    <t>5. Ценные бумаги, выпущенные странами с низким уровня риска</t>
  </si>
  <si>
    <t>6. Другие легко реализуемые ценные бумаги</t>
  </si>
  <si>
    <t>7. Итого ликвидных активов</t>
  </si>
  <si>
    <t>8. Плюс: Ссуды со сроком погашения 30 дней или менее</t>
  </si>
  <si>
    <t>9. Минус: Просроченные, неблагоприятно классифицированные, неначисляемые, пролонгированные, или реструктуризированные ссуды, включенные в строку 7.</t>
  </si>
  <si>
    <t>10. Текущие Активы</t>
  </si>
  <si>
    <t>5. Кредиты (чистые)/ Депозиты</t>
  </si>
  <si>
    <t>1. Расчет коэффициента текущей ликвидности (Н4)</t>
  </si>
  <si>
    <t>Часть 4.</t>
  </si>
  <si>
    <t>1. Коэффициент покрытия ликвидности</t>
  </si>
  <si>
    <t>а) Высоколиквидные активы</t>
  </si>
  <si>
    <t>б) Чистый отток в последующие 30 дней</t>
  </si>
  <si>
    <t>2. Норма чистого стабильного финансирования</t>
  </si>
  <si>
    <t>3. Доступная сумма стабильного финансирования</t>
  </si>
  <si>
    <t>б) Обязательства свыше 1 года</t>
  </si>
  <si>
    <t>4. Необходимая сумма стабильного финансирования</t>
  </si>
  <si>
    <t>а) Регулятивный капитал</t>
  </si>
  <si>
    <t>в) 30% других бессрочных обязательств</t>
  </si>
  <si>
    <t>г) 30% других обязательств менее 1 года</t>
  </si>
  <si>
    <r>
      <rPr>
        <b/>
        <sz val="12"/>
        <rFont val="Times New Roman"/>
        <family val="1"/>
        <charset val="204"/>
      </rPr>
      <t>а)</t>
    </r>
    <r>
      <rPr>
        <sz val="12"/>
        <rFont val="Times New Roman"/>
        <family val="1"/>
        <charset val="204"/>
      </rPr>
      <t xml:space="preserve"> Активы свыше 1 года</t>
    </r>
  </si>
  <si>
    <r>
      <rPr>
        <b/>
        <sz val="12"/>
        <rFont val="Times New Roman"/>
        <family val="1"/>
        <charset val="204"/>
      </rPr>
      <t>б)</t>
    </r>
    <r>
      <rPr>
        <sz val="12"/>
        <rFont val="Times New Roman"/>
        <family val="1"/>
        <charset val="204"/>
      </rPr>
      <t xml:space="preserve"> Банковские помещения, мебель и оборудование, чистые</t>
    </r>
  </si>
  <si>
    <r>
      <rPr>
        <b/>
        <sz val="12"/>
        <rFont val="Times New Roman"/>
        <family val="1"/>
        <charset val="204"/>
      </rPr>
      <t>в)</t>
    </r>
    <r>
      <rPr>
        <sz val="12"/>
        <rFont val="Times New Roman"/>
        <family val="1"/>
        <charset val="204"/>
      </rPr>
      <t xml:space="preserve"> Кредиты и лизинги и авансы в процессе судебного разбирательства, чистые или не взысканные в установленном порядке</t>
    </r>
  </si>
  <si>
    <r>
      <rPr>
        <b/>
        <sz val="12"/>
        <rFont val="Times New Roman"/>
        <family val="1"/>
        <charset val="204"/>
      </rPr>
      <t>г)</t>
    </r>
    <r>
      <rPr>
        <sz val="12"/>
        <rFont val="Times New Roman"/>
        <family val="1"/>
        <charset val="204"/>
      </rPr>
      <t xml:space="preserve"> Активы в процессе судебного разбирательства или не взысканные в установленном порядке(не указанные в строке "в)")</t>
    </r>
  </si>
  <si>
    <r>
      <rPr>
        <b/>
        <sz val="12"/>
        <rFont val="Times New Roman"/>
        <family val="1"/>
        <charset val="204"/>
      </rPr>
      <t>д)</t>
    </r>
    <r>
      <rPr>
        <sz val="12"/>
        <rFont val="Times New Roman"/>
        <family val="1"/>
        <charset val="204"/>
      </rPr>
      <t xml:space="preserve"> 30% других активов менее 1 го года (за исключением бессрочных и со сроком менее 1 го года ликвидных активов)</t>
    </r>
  </si>
  <si>
    <r>
      <rPr>
        <b/>
        <sz val="12"/>
        <rFont val="Times New Roman"/>
        <family val="1"/>
        <charset val="204"/>
      </rPr>
      <t>е)</t>
    </r>
    <r>
      <rPr>
        <sz val="12"/>
        <rFont val="Times New Roman"/>
        <family val="1"/>
        <charset val="204"/>
      </rPr>
      <t xml:space="preserve"> 15% из забалансовых обязательств</t>
    </r>
  </si>
  <si>
    <t>#FN1{103}</t>
  </si>
  <si>
    <t>#FN1{10701, 10705, 10709, 10801, 10805, 15901, 15905}</t>
  </si>
  <si>
    <t>#FN1{10715, 10817, 15911}</t>
  </si>
  <si>
    <t>К получению из ЦБРУ не учитывая сумму "Резервов на покрытие возможных убытков" (без ДОР)</t>
  </si>
  <si>
    <t>К получению из ЦБРУ (сумма созданных резервов на покрытие возможных убытков по активам банка (ДОР))</t>
  </si>
  <si>
    <t xml:space="preserve">К получению со счетов в банках стран с низким уровнем риска (ностро, депозиты), но размещенные не в качестве обеспечения </t>
  </si>
  <si>
    <t>К получению из других банков по расчетам пластиковых карт</t>
  </si>
  <si>
    <t>3.3</t>
  </si>
  <si>
    <t>Другие статьи</t>
  </si>
  <si>
    <t>Ценные бумаги, выпущенные Правительством Республики Узбекистан и ЦБРУ  (векселя, облигации и другие долговые ценные бумаги)</t>
  </si>
  <si>
    <t>4.2</t>
  </si>
  <si>
    <t>Правительственные ценные бумаги стран с низкой степенью странового риска</t>
  </si>
  <si>
    <t>4.3</t>
  </si>
  <si>
    <t>Ценные бумаги ведущих транснациональных компаний с низким уровнем странового риска</t>
  </si>
  <si>
    <t>4.4</t>
  </si>
  <si>
    <t>Другие</t>
  </si>
  <si>
    <t>Кредиты и лизинги, предоставленные ЦБРУ, чистые</t>
  </si>
  <si>
    <t>Кредиты и лизинги, предоставленные другим банкам, чистые</t>
  </si>
  <si>
    <t>Кредиты и лизинги, предоставленные другим клиентам, чистые</t>
  </si>
  <si>
    <t>Кредиты и лизинги и авансы в процессе судебного разбирательства, чистые</t>
  </si>
  <si>
    <t>13.1</t>
  </si>
  <si>
    <t>Правительственные ценные бумаги купленные по соглашению с обратным выкупом (РЕПО)</t>
  </si>
  <si>
    <t>13,2</t>
  </si>
  <si>
    <t>Другие ценные бумаги купленные по соглашению с обратным выкупом (РЕПО)</t>
  </si>
  <si>
    <t>Коэффициент</t>
  </si>
  <si>
    <t xml:space="preserve">Сумма активов </t>
  </si>
  <si>
    <t xml:space="preserve">Высоко-ликвидные активы </t>
  </si>
  <si>
    <t>(К=З*И)</t>
  </si>
  <si>
    <t xml:space="preserve">Ликвидные активы </t>
  </si>
  <si>
    <t>Активы с риском 0%</t>
  </si>
  <si>
    <t>Чистый расход за 30 дней</t>
  </si>
  <si>
    <t>#FN1{10511, 10513}</t>
  </si>
  <si>
    <t>#FN1{10507}</t>
  </si>
  <si>
    <t>#FN1{105}</t>
  </si>
  <si>
    <t xml:space="preserve"> #FN1{107,108,109}</t>
  </si>
  <si>
    <t xml:space="preserve"> #FN1{10701,10705,10709, 10801,10805,10809,15901,15905}</t>
  </si>
  <si>
    <t xml:space="preserve"> #FN1{10715, 10779}</t>
  </si>
  <si>
    <t>#FN1{158,159}</t>
  </si>
  <si>
    <t>#FN1{118}</t>
  </si>
  <si>
    <t>Таблица-1(Форма-0110BS)</t>
  </si>
  <si>
    <t>Таблица-2 (Форма-0204IS)</t>
  </si>
  <si>
    <t>Таблица-3 (Форма-0206IS)</t>
  </si>
  <si>
    <t>Таблица-4                         (Форма-3004CAR)</t>
  </si>
  <si>
    <t>Таблица-5 (Форма-3006CAR)</t>
  </si>
  <si>
    <t>Таблица-6                      (Форма-3106CSA)</t>
  </si>
  <si>
    <t>Таблица-7      (Форма-0208IS)</t>
  </si>
  <si>
    <t>Таблица-9 (Форма-1604LOA)</t>
  </si>
  <si>
    <t>Таблица-10 (Форма-1596LKA)</t>
  </si>
  <si>
    <t>Таблица-11 (Форма-1624LCO)</t>
  </si>
  <si>
    <t>Таблица-12 (Форма-1574LBB)</t>
  </si>
  <si>
    <t>Таблица-13                  (Форма-1598LKA)</t>
  </si>
  <si>
    <t>ОТЧЕТ О ДЕПОЗИТАХ ПО ТИПАМ КЛИЕНТОВ         Таблица-14 (Форма-2106DMC)</t>
  </si>
  <si>
    <t>Таблица-15                           (Форма-1726SEC )</t>
  </si>
  <si>
    <t>Таблица-17 (Форма-0024AAL)</t>
  </si>
  <si>
    <t>Таблица-18 (Форма-0026AAL)</t>
  </si>
  <si>
    <t>Таблица-16 
      (Форма-0022AAL)</t>
  </si>
  <si>
    <r>
      <t xml:space="preserve">Таблица-20   </t>
    </r>
    <r>
      <rPr>
        <b/>
        <sz val="12"/>
        <rFont val="Times New Roman"/>
        <family val="1"/>
      </rPr>
      <t>(Форма-3006EN)</t>
    </r>
  </si>
  <si>
    <r>
      <t xml:space="preserve">Таблица-21                      </t>
    </r>
    <r>
      <rPr>
        <b/>
        <sz val="12"/>
        <rFont val="Arial Cyr"/>
      </rPr>
      <t>(Форма-9006ME)</t>
    </r>
  </si>
  <si>
    <r>
      <t xml:space="preserve">Вклады населения до востребования 
</t>
    </r>
    <r>
      <rPr>
        <i/>
        <sz val="10"/>
        <rFont val="Arial Cyr"/>
        <family val="2"/>
        <charset val="204"/>
      </rPr>
      <t>(гарантированные)</t>
    </r>
  </si>
  <si>
    <t>Вклады населения до востребования (не гарантированные)</t>
  </si>
  <si>
    <r>
      <t xml:space="preserve">Вклады населения до востребования 
</t>
    </r>
    <r>
      <rPr>
        <i/>
        <sz val="10"/>
        <rFont val="Arial Cyr"/>
        <family val="2"/>
        <charset val="204"/>
      </rPr>
      <t>(под залогом по выданным кредитам)</t>
    </r>
  </si>
  <si>
    <t>Другие депозиты до востребования (под залогом по выданным кредитам)</t>
  </si>
  <si>
    <t xml:space="preserve">Другие депозиты до востребования </t>
  </si>
  <si>
    <t>Кредиты и лизинговые операции к оплате</t>
  </si>
  <si>
    <t>Условные обязательства</t>
  </si>
  <si>
    <t>Сумма расхода за 30 дней</t>
  </si>
  <si>
    <t>Сумма чистого расхода за 30 дней</t>
  </si>
  <si>
    <t>отток</t>
  </si>
  <si>
    <t>Депозиты до востребования физ. лиц</t>
  </si>
  <si>
    <t>Депозиты до востребования юр. лиц</t>
  </si>
  <si>
    <t>#FN1{20206}</t>
  </si>
  <si>
    <t>8.1</t>
  </si>
  <si>
    <t xml:space="preserve">Средства на банковских пластиковых карточках </t>
  </si>
  <si>
    <t>8.2</t>
  </si>
  <si>
    <t>#FN1{12105}</t>
  </si>
  <si>
    <t xml:space="preserve">#FN1{12305,12405,12505,12605,12705,12905,13005,13105,13205,13305} </t>
  </si>
  <si>
    <t>#FN1{909}</t>
  </si>
  <si>
    <t>#FN1{918}</t>
  </si>
  <si>
    <t>Balance'!B3</t>
  </si>
  <si>
    <t>Balance'!A4</t>
  </si>
  <si>
    <t>#FN1{19995}</t>
  </si>
  <si>
    <t>Активы + забалансовые инструменты+ деривативные (производные) инструменты - Нематериальные активы</t>
  </si>
  <si>
    <t>2.2</t>
  </si>
  <si>
    <t>Коэффициент покрытия ликвидности</t>
  </si>
  <si>
    <t>Высоколиквидные активы</t>
  </si>
  <si>
    <t>Чистый отток в последующие 30 дней</t>
  </si>
  <si>
    <t>2.3</t>
  </si>
  <si>
    <t>Норма чистого стабильного финансирования</t>
  </si>
  <si>
    <t>Доступная сумма стабильного финансирования</t>
  </si>
  <si>
    <t>Необходимая сумма стабильного финансирования</t>
  </si>
  <si>
    <t>Нормативы по операциям с заемщиками</t>
  </si>
  <si>
    <t>Максимальный размер риска на одного заемщика или группу взаимосвязанных заемщиков,Обеспеченные кредиты</t>
  </si>
  <si>
    <t>Максимальная сумма кредита на одного заемщика, обеспеченные кредиты</t>
  </si>
  <si>
    <t>Максимальный размер риска на одного заемщика или группу взаимосвязанных заемщиков, Необеспеченные кредиты</t>
  </si>
  <si>
    <t>Максимальная сумма кредита на одного заемщика, необеспеченные кредиты</t>
  </si>
  <si>
    <t xml:space="preserve">               Нормативы показателей по операциям со связанными лицами (инсайдерами)</t>
  </si>
  <si>
    <t>Общая сумма лизинговых услуг (за исключением авиализинга)</t>
  </si>
  <si>
    <t>Сумма всех гарантий и средств, предоставленных коммерческими банками, уплаченных бенефициару и не покрытых принципалом</t>
  </si>
  <si>
    <t xml:space="preserve">Сумма всех предоставленных коммерческими банками гарантий </t>
  </si>
  <si>
    <t>#FN13{17101;000}/1000</t>
  </si>
  <si>
    <t>#FN1{92709,92732,92716,92736}</t>
  </si>
  <si>
    <t>#FN1{92709,92732}</t>
  </si>
  <si>
    <t>#FN1{92716,92736}</t>
  </si>
  <si>
    <t>#FN8{1,1;1000000}</t>
  </si>
  <si>
    <t>#FN8{1,2;1000000}</t>
  </si>
  <si>
    <t>#FN8{1,3;1000000}</t>
  </si>
  <si>
    <t>#FN8{1,4;1000000}</t>
  </si>
  <si>
    <t>#FN8{1,5;1000000}</t>
  </si>
  <si>
    <t>#FN8{1,6;1000000}</t>
  </si>
  <si>
    <t>#FN8{1,7;1000000}</t>
  </si>
  <si>
    <t>#FN8{1,8;1000000}</t>
  </si>
  <si>
    <t>#FN8{1,9;1000000}</t>
  </si>
  <si>
    <t>#FN8{2,1;1000000}</t>
  </si>
  <si>
    <t>#FN8{2,2;1000000}</t>
  </si>
  <si>
    <t>#FN8{2,3;1000000}</t>
  </si>
  <si>
    <t>#FN8{2,4;1000000}</t>
  </si>
  <si>
    <t>#FN8{2,5;1000000}</t>
  </si>
  <si>
    <t>#FN8{2,6;1000000}</t>
  </si>
  <si>
    <t>#FN8{2,7;1000000}</t>
  </si>
  <si>
    <t>#FN8{2,8;1000000}</t>
  </si>
  <si>
    <t>#FN8{2,9;1000000}</t>
  </si>
  <si>
    <t>#FN8{3,1;1000000}</t>
  </si>
  <si>
    <t>#FN8{3,2;1000000}</t>
  </si>
  <si>
    <t>#FN8{3,3;1000000}</t>
  </si>
  <si>
    <t>#FN8{3,4;1000000}</t>
  </si>
  <si>
    <t>#FN8{3,5;1000000}</t>
  </si>
  <si>
    <t>#FN8{3,6;1000000}</t>
  </si>
  <si>
    <t>#FN8{3,7;1000000}</t>
  </si>
  <si>
    <t>#FN8{3,8;1000000}</t>
  </si>
  <si>
    <t>#FN8{3,9;1000000}</t>
  </si>
  <si>
    <t>#FN8{4,1;1000000}</t>
  </si>
  <si>
    <t>#FN8{4,2;1000000}</t>
  </si>
  <si>
    <t>#FN8{4,3;1000000}</t>
  </si>
  <si>
    <t>#FN8{4,4;1000000}</t>
  </si>
  <si>
    <t>#FN8{4,5;1000000}</t>
  </si>
  <si>
    <t>#FN8{4,6;1000000}</t>
  </si>
  <si>
    <t>#FN8{4,7;1000000}</t>
  </si>
  <si>
    <t>#FN8{4,8;1000000}</t>
  </si>
  <si>
    <t>#FN8{4,9;1000000}</t>
  </si>
  <si>
    <t>#FN8{5,1;1000000}</t>
  </si>
  <si>
    <t>#FN8{5,2;1000000}</t>
  </si>
  <si>
    <t>#FN8{5,3;1000000}</t>
  </si>
  <si>
    <t>#FN8{5,4;1000000}</t>
  </si>
  <si>
    <t>#FN8{5,5;1000000}</t>
  </si>
  <si>
    <t>#FN8{5,6;1000000}</t>
  </si>
  <si>
    <t>#FN8{5,7;1000000}</t>
  </si>
  <si>
    <t>#FN8{5,8;1000000}</t>
  </si>
  <si>
    <t>#FN8{5,9;1000000}</t>
  </si>
  <si>
    <t>#FN8{6,1;1000000}</t>
  </si>
  <si>
    <t>#FN8{6,2;1000000}</t>
  </si>
  <si>
    <t>#FN8{6,3;1000000}</t>
  </si>
  <si>
    <t>#FN8{6,4;1000000}</t>
  </si>
  <si>
    <t>#FN8{6,5;1000000}</t>
  </si>
  <si>
    <t>#FN8{6,6;1000000}</t>
  </si>
  <si>
    <t>#FN8{6,7;1000000}</t>
  </si>
  <si>
    <t>#FN8{6,8;1000000}</t>
  </si>
  <si>
    <t>#FN8{6,9;1000000}</t>
  </si>
  <si>
    <t>#FN8{7,1;1000000}</t>
  </si>
  <si>
    <t>#FN8{7,2;1000000}</t>
  </si>
  <si>
    <t>#FN8{7,3;1000000}</t>
  </si>
  <si>
    <t>#FN8{7,4;1000000}</t>
  </si>
  <si>
    <t>#FN8{7,5;1000000}</t>
  </si>
  <si>
    <t>#FN8{7,6;1000000}</t>
  </si>
  <si>
    <t>#FN8{7,7;1000000}</t>
  </si>
  <si>
    <t>#FN8{7,8;1000000}</t>
  </si>
  <si>
    <t>#FN8{7,9;1000000}</t>
  </si>
  <si>
    <t>#FN8{8,1;1000000}</t>
  </si>
  <si>
    <t>#FN8{8,2;1000000}</t>
  </si>
  <si>
    <t>#FN8{8,3;1000000}</t>
  </si>
  <si>
    <t>#FN8{8,4;1000000}</t>
  </si>
  <si>
    <t>#FN8{8,5;1000000}</t>
  </si>
  <si>
    <t>#FN8{8,6;1000000}</t>
  </si>
  <si>
    <t>#FN8{8,7;1000000}</t>
  </si>
  <si>
    <t>#FN8{8,8;1000000}</t>
  </si>
  <si>
    <t>#FN8{8,9;1000000}</t>
  </si>
  <si>
    <t>#FN8{9,1;1000000}</t>
  </si>
  <si>
    <t>#FN8{9,2;1000000}</t>
  </si>
  <si>
    <t>#FN8{9,3;1000000}</t>
  </si>
  <si>
    <t>#FN8{9,4;1000000}</t>
  </si>
  <si>
    <t>#FN8{9,5;1000000}</t>
  </si>
  <si>
    <t>#FN8{9,6;1000000}</t>
  </si>
  <si>
    <t>#FN8{9,7;1000000}</t>
  </si>
  <si>
    <t>#FN8{9,8;1000000}</t>
  </si>
  <si>
    <t>#FN8{9,9;1000000}</t>
  </si>
  <si>
    <t>#FN8{10,1;1000000}</t>
  </si>
  <si>
    <t>#FN8{10,2;1000000}</t>
  </si>
  <si>
    <t>#FN8{10,3;1000000}</t>
  </si>
  <si>
    <t>#FN8{10,4;1000000}</t>
  </si>
  <si>
    <t>#FN8{10,5;1000000}</t>
  </si>
  <si>
    <t>#FN8{10,6;1000000}</t>
  </si>
  <si>
    <t>#FN8{10,7;1000000}</t>
  </si>
  <si>
    <t>#FN8{10,8;1000000}</t>
  </si>
  <si>
    <t>#FN8{10,9;1000000}</t>
  </si>
  <si>
    <t>#FN8{11,1;1000000}</t>
  </si>
  <si>
    <t>#FN8{11,2;1000000}</t>
  </si>
  <si>
    <t>#FN8{11,3;1000000}</t>
  </si>
  <si>
    <t>#FN8{11,4;1000000}</t>
  </si>
  <si>
    <t>#FN8{11,5;1000000}</t>
  </si>
  <si>
    <t>#FN8{11,6;1000000}</t>
  </si>
  <si>
    <t>#FN8{11,7;1000000}</t>
  </si>
  <si>
    <t>#FN8{11,8;1000000}</t>
  </si>
  <si>
    <t>#FN8{11,9;1000000}</t>
  </si>
  <si>
    <t>#FN8{12,1;1000000}</t>
  </si>
  <si>
    <t>#FN8{12,2;1000000}</t>
  </si>
  <si>
    <t>#FN8{12,3;1000000}</t>
  </si>
  <si>
    <t>#FN8{12,4;1000000}</t>
  </si>
  <si>
    <t>#FN8{12,5;1000000}</t>
  </si>
  <si>
    <t>#FN8{12,6;1000000}</t>
  </si>
  <si>
    <t>#FN8{12,7;1000000}</t>
  </si>
  <si>
    <t>#FN8{12,8;1000000}</t>
  </si>
  <si>
    <t>#FN8{12,9;1000000}</t>
  </si>
  <si>
    <t>#FN8{13,1;1000000}</t>
  </si>
  <si>
    <t>#FN8{13,2;1000000}</t>
  </si>
  <si>
    <t>#FN8{13,3;1000000}</t>
  </si>
  <si>
    <t>#FN8{13,4;1000000}</t>
  </si>
  <si>
    <t>#FN8{13,5;1000000}</t>
  </si>
  <si>
    <t>#FN8{13,6;1000000}</t>
  </si>
  <si>
    <t>#FN8{13,7;1000000}</t>
  </si>
  <si>
    <t>#FN8{13,8;1000000}</t>
  </si>
  <si>
    <t>#FN8{13,9;1000000}</t>
  </si>
  <si>
    <t>#FN8{14,1;1000000}</t>
  </si>
  <si>
    <t>#FN8{14,2;1000000}</t>
  </si>
  <si>
    <t>#FN8{14,3;1000000}</t>
  </si>
  <si>
    <t>#FN8{14,4;1000000}</t>
  </si>
  <si>
    <t>#FN8{14,5;1000000}</t>
  </si>
  <si>
    <t>#FN8{14,6;1000000}</t>
  </si>
  <si>
    <t>#FN8{14,7;1000000}</t>
  </si>
  <si>
    <t>#FN8{14,8;1000000}</t>
  </si>
  <si>
    <t>#FN8{14,9;1000000}</t>
  </si>
  <si>
    <t>#FN8{15,1;1000000}</t>
  </si>
  <si>
    <t>#FN8{15,2;1000000}</t>
  </si>
  <si>
    <t>#FN8{15,3;1000000}</t>
  </si>
  <si>
    <t>#FN8{15,4;1000000}</t>
  </si>
  <si>
    <t>#FN8{15,5;1000000}</t>
  </si>
  <si>
    <t>#FN8{15,6;1000000}</t>
  </si>
  <si>
    <t>#FN8{15,7;1000000}</t>
  </si>
  <si>
    <t>#FN8{15,8;1000000}</t>
  </si>
  <si>
    <t>#FN8{15,9;1000000}</t>
  </si>
  <si>
    <t>#FN8{16,1;1000000}</t>
  </si>
  <si>
    <t>#FN8{16,2;1000000}</t>
  </si>
  <si>
    <t>#FN8{16,3;1000000}</t>
  </si>
  <si>
    <t>#FN8{16,4;1000000}</t>
  </si>
  <si>
    <t>#FN8{16,5;1000000}</t>
  </si>
  <si>
    <t>#FN8{16,6;1000000}</t>
  </si>
  <si>
    <t>#FN8{16,7;1000000}</t>
  </si>
  <si>
    <t>#FN8{16,8;1000000}</t>
  </si>
  <si>
    <t>#FN8{16,9;1000000}</t>
  </si>
  <si>
    <t>#FN8{17,1;1000000}</t>
  </si>
  <si>
    <t>#FN8{17,2;1000000}</t>
  </si>
  <si>
    <t>#FN8{17,3;1000000}</t>
  </si>
  <si>
    <t>#FN8{17,4;1000000}</t>
  </si>
  <si>
    <t>#FN8{17,5;1000000}</t>
  </si>
  <si>
    <t>#FN8{17,6;1000000}</t>
  </si>
  <si>
    <t>#FN8{17,7;1000000}</t>
  </si>
  <si>
    <t>#FN8{17,8;1000000}</t>
  </si>
  <si>
    <t>#FN8{17,9;1000000}</t>
  </si>
  <si>
    <t>#FN8{18,1;1000000}</t>
  </si>
  <si>
    <t>#FN8{18,2;1000000}</t>
  </si>
  <si>
    <t>#FN8{18,3;1000000}</t>
  </si>
  <si>
    <t>#FN8{18,4;1000000}</t>
  </si>
  <si>
    <t>#FN8{18,5;1000000}</t>
  </si>
  <si>
    <t>#FN8{18,6;1000000}</t>
  </si>
  <si>
    <t>#FN8{18,7;1000000}</t>
  </si>
  <si>
    <t>#FN8{18,8;1000000}</t>
  </si>
  <si>
    <t>#FN8{18,9;1000000}</t>
  </si>
  <si>
    <t>#FN8{19,1;1000000}</t>
  </si>
  <si>
    <t>#FN8{19,2;1000000}</t>
  </si>
  <si>
    <t>#FN8{19,3;1000000}</t>
  </si>
  <si>
    <t>#FN8{19,4;1000000}</t>
  </si>
  <si>
    <t>#FN8{19,5;1000000}</t>
  </si>
  <si>
    <t>#FN8{19,6;1000000}</t>
  </si>
  <si>
    <t>#FN8{19,7;1000000}</t>
  </si>
  <si>
    <t>#FN8{19,8;1000000}</t>
  </si>
  <si>
    <t>#FN8{19,9;1000000}</t>
  </si>
  <si>
    <t>#FN8{20,1;1000000}</t>
  </si>
  <si>
    <t>#FN8{20,2;1000000}</t>
  </si>
  <si>
    <t>#FN8{20,3;1000000}</t>
  </si>
  <si>
    <t>#FN8{20,4;1000000}</t>
  </si>
  <si>
    <t>#FN8{20,5;1000000}</t>
  </si>
  <si>
    <t>#FN8{20,6;1000000}</t>
  </si>
  <si>
    <t>#FN8{20,7;1000000}</t>
  </si>
  <si>
    <t>#FN8{20,8;1000000}</t>
  </si>
  <si>
    <t>#FN8{20,9;1000000}</t>
  </si>
  <si>
    <t>#FN1{111,123,124,125,126,127,129,130,131,132,133,143,147,148,149,150,151,152,153,154,155,15603-15699}</t>
  </si>
  <si>
    <t>#FN1{103,16103}</t>
  </si>
  <si>
    <t>#FN1{119,123,147}</t>
  </si>
  <si>
    <t>#FN1{121}</t>
  </si>
  <si>
    <t>#FN1{123}</t>
  </si>
  <si>
    <t>#FN1{145}</t>
  </si>
  <si>
    <t>#FN1{147}</t>
  </si>
  <si>
    <t>FN1{119}</t>
  </si>
  <si>
    <t>FN1{121}</t>
  </si>
  <si>
    <t>FN1{123}</t>
  </si>
  <si>
    <t>FN1{145}</t>
  </si>
  <si>
    <t>FN1{147}</t>
  </si>
  <si>
    <t>#FN1{11195}</t>
  </si>
  <si>
    <t>#FNECTC{11101;10;;;E}</t>
  </si>
  <si>
    <t>#FNECTC{11101;09;;;E}</t>
  </si>
  <si>
    <t>#FNECTC{12109,12309,12409,12509,12609,12709,12909,13009,13109,13209,13309,14305,14505,14705,14809,14905,15005,15105,15205,15305,15405,15505,15619;;2;;E}</t>
  </si>
  <si>
    <t>#FNECTC{12109,12309,12409,12509,12609,12709,12909,13009,13109,13209,13309,14305,14505,14705,14809,14905,15005,15105,15205,15305,15405,15505,15619;;5;;E}</t>
  </si>
  <si>
    <t>#FNECTC{12109,12309,12409,12509,12609,12709,12909,13009,13109,13209,13309,14305,14505,14705,,14809,14905,15005,15105,15205,15305,15405,15505,15619;;6;;E}</t>
  </si>
  <si>
    <t>#FNECTC{12109,12309,12409,12509,12609,12709,12909,13009,13109,13209,13309,14305,14505,14705,14809,14905,15005,15105,15205,15305,15405,15505,15619;;7;;E}</t>
  </si>
  <si>
    <t>#FNECTC{12109,12309,12409,12509,12609,12709,12909,13009,13109,13209,13309,14305,14505,14705,14809,14905,15005,15105,15205,15305,15405,15505,15619;;8;;E}</t>
  </si>
  <si>
    <t>#FNECTC{12109,12309,12409,12509,12609,12709,12909,13009,13109,13209,13309,14305,14505,14705,14809,14905,15005,15105,15205,15305,15405,15505,15619;;9;;E}</t>
  </si>
  <si>
    <t>#FNECTC{12109,12309,12409,12509,12609,12709,12909,13009,13109,13209,13309,14305,14505,14705,14809,14905,15005,15105,15205,15305,15405,15505,15619;;1;;E}</t>
  </si>
  <si>
    <t>#FN1{22617,22618,22619,22620}</t>
  </si>
  <si>
    <t>#FN1{22602}</t>
  </si>
  <si>
    <t>#FN1{20206,22617,22618}</t>
  </si>
  <si>
    <t>#FN9{20206,22617,22618}</t>
  </si>
  <si>
    <t>всего</t>
  </si>
  <si>
    <t xml:space="preserve">срочные </t>
  </si>
  <si>
    <t>просроченные</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</si>
  <si>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1;;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</si>
  <si>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1;;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</si>
  <si>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1;;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</si>
  <si>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2;;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</si>
  <si>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2;;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</si>
  <si>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2;;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</si>
  <si>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</si>
  <si>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3;;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</si>
  <si>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</si>
  <si>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</si>
  <si>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4;;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</si>
  <si>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</si>
  <si>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5;;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</si>
  <si>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5;;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</si>
  <si>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1;5;;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</si>
  <si>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1;;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</si>
  <si>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1;;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</si>
  <si>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1;;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</si>
  <si>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2;;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</si>
  <si>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2;;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</si>
  <si>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2;;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</si>
  <si>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</si>
  <si>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3;;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</si>
  <si>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</si>
  <si>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</si>
  <si>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4;;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</si>
  <si>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</si>
  <si>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5;;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</si>
  <si>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5;;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</si>
  <si>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2;5;;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</si>
  <si>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1;;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</si>
  <si>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1;;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</si>
  <si>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1;;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</si>
  <si>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2;;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</si>
  <si>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2;;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</si>
  <si>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2;;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</si>
  <si>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</si>
  <si>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3;;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</si>
  <si>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</si>
  <si>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</si>
  <si>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4;;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</si>
  <si>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</si>
  <si>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5;;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</si>
  <si>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5;;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</si>
  <si>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5;5;;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</si>
  <si>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1;;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</si>
  <si>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1;;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</si>
  <si>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1;;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</si>
  <si>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2;;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</si>
  <si>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2;;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</si>
  <si>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2;;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</si>
  <si>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</si>
  <si>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3;;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</si>
  <si>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</si>
  <si>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</si>
  <si>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4;;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</si>
  <si>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</si>
  <si>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5;;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</si>
  <si>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5;;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</si>
  <si>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6;5;;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</si>
  <si>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1;;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</si>
  <si>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1;;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</si>
  <si>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1;;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</si>
  <si>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2;;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</si>
  <si>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2;;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</si>
  <si>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2;;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</si>
  <si>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</si>
  <si>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3;;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</si>
  <si>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</si>
  <si>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</si>
  <si>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4;;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</si>
  <si>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</si>
  <si>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5;;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</si>
  <si>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5;;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</si>
  <si>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7;5;;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</si>
  <si>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1;;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</si>
  <si>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1;;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</si>
  <si>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1;;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</si>
  <si>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2;;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</si>
  <si>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2;;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</si>
  <si>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2;;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</si>
  <si>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</si>
  <si>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3;;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</si>
  <si>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</si>
  <si>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</si>
  <si>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4;;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</si>
  <si>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</si>
  <si>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5;;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</si>
  <si>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5;;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</si>
  <si>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8;5;;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</si>
  <si>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1;;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</si>
  <si>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1;;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</si>
  <si>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1;;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</si>
  <si>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2;;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</si>
  <si>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2;;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</si>
  <si>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2;;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</si>
  <si>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</si>
  <si>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3;;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</si>
  <si>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3;;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</si>
  <si>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</si>
  <si>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4;;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</si>
  <si>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4;;E}</t>
  </si>
  <si>
    <t>#FNECTCO{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5;;E}</t>
  </si>
  <si>
    <t>#FNECTCOP{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5;;E}</t>
  </si>
  <si>
    <t>#FNECTCR{11101,11103,11105,11195,12301,12305,12309,12401,12405,12409,12501,12505,12509,12601,12605,12609,12701,12705,12709,12901,12905,12909,13001,13005,13009,13101,13105,13109,13201,13205,13209,13301,13305,13309,14301,14305,14601,14701,14705,14801,14809,14901,14905,15001,15005,15101,15105,15201,15205,15301,15305,15401,15405,15501,15505,15605,15607,15609,15611,15613,15615,15701,15703,15705;;9;5;;E}</t>
  </si>
  <si>
    <t>Просроченные кредиты и лизинг чистый</t>
  </si>
  <si>
    <t xml:space="preserve">Прочие </t>
  </si>
  <si>
    <t>#FNNGUAR{20206}</t>
  </si>
  <si>
    <t>#FNNGUAR{202}</t>
  </si>
  <si>
    <t>#FN1{10}</t>
  </si>
  <si>
    <t xml:space="preserve"> #FN1{101,100,223}</t>
  </si>
</sst>
</file>

<file path=xl/styles.xml><?xml version="1.0" encoding="utf-8"?>
<styleSheet xmlns="http://schemas.openxmlformats.org/spreadsheetml/2006/main">
  <numFmts count="9">
    <numFmt numFmtId="42" formatCode="_-* #,##0&quot;р.&quot;_-;\-* #,##0&quot;р.&quot;_-;_-* &quot;-&quot;&quot;р.&quot;_-;_-@_-"/>
    <numFmt numFmtId="41" formatCode="_-* #,##0_р_._-;\-* #,##0_р_._-;_-* &quot;-&quot;_р_._-;_-@_-"/>
    <numFmt numFmtId="43" formatCode="_-* #,##0.00_р_._-;\-* #,##0.00_р_._-;_-* &quot;-&quot;??_р_._-;_-@_-"/>
    <numFmt numFmtId="164" formatCode="\-##########"/>
    <numFmt numFmtId="165" formatCode="\-############"/>
    <numFmt numFmtId="166" formatCode="0.000"/>
    <numFmt numFmtId="167" formatCode="d\ mmmm\,\ yyyy"/>
    <numFmt numFmtId="168" formatCode="[$-F800]dddd\,\ mmmm\ dd\,\ yyyy"/>
    <numFmt numFmtId="169" formatCode="#,##0.0"/>
  </numFmts>
  <fonts count="68">
    <font>
      <sz val="10"/>
      <name val="Arial Cyr"/>
      <charset val="204"/>
    </font>
    <font>
      <sz val="11"/>
      <color theme="1"/>
      <name val="Calibri"/>
      <family val="2"/>
      <charset val="204"/>
      <scheme val="minor"/>
    </font>
    <font>
      <sz val="10"/>
      <name val="Arial Cyr"/>
      <charset val="204"/>
    </font>
    <font>
      <sz val="10"/>
      <name val="Times New Roman"/>
      <family val="1"/>
    </font>
    <font>
      <b/>
      <sz val="10"/>
      <name val="Times New Roman"/>
      <family val="1"/>
    </font>
    <font>
      <b/>
      <sz val="12"/>
      <name val="Times New Roman"/>
      <family val="1"/>
    </font>
    <font>
      <sz val="12"/>
      <name val="Times New Roman"/>
      <family val="1"/>
    </font>
    <font>
      <sz val="10"/>
      <color indexed="9"/>
      <name val="Times New Roman"/>
      <family val="1"/>
    </font>
    <font>
      <sz val="12"/>
      <color indexed="9"/>
      <name val="Times New Roman"/>
      <family val="1"/>
    </font>
    <font>
      <b/>
      <sz val="11"/>
      <name val="Times New Roman"/>
      <family val="1"/>
    </font>
    <font>
      <sz val="11"/>
      <color indexed="9"/>
      <name val="Times New Roman"/>
      <family val="1"/>
    </font>
    <font>
      <sz val="11"/>
      <name val="Times New Roman"/>
      <family val="1"/>
    </font>
    <font>
      <b/>
      <sz val="12"/>
      <color indexed="9"/>
      <name val="Times New Roman"/>
      <family val="1"/>
    </font>
    <font>
      <sz val="12"/>
      <color indexed="8"/>
      <name val="Times New Roman"/>
      <family val="1"/>
    </font>
    <font>
      <sz val="9"/>
      <name val="Times New Roman"/>
      <family val="1"/>
    </font>
    <font>
      <sz val="12"/>
      <color indexed="10"/>
      <name val="Times New Roman"/>
      <family val="1"/>
    </font>
    <font>
      <sz val="10"/>
      <color indexed="10"/>
      <name val="Times New Roman"/>
      <family val="1"/>
    </font>
    <font>
      <sz val="12"/>
      <name val="Arial Cyr"/>
      <charset val="204"/>
    </font>
    <font>
      <sz val="10"/>
      <color indexed="9"/>
      <name val="Arial Cyr"/>
      <charset val="204"/>
    </font>
    <font>
      <b/>
      <sz val="12"/>
      <name val="Times New Roman"/>
      <family val="1"/>
      <charset val="204"/>
    </font>
    <font>
      <sz val="12"/>
      <color indexed="12"/>
      <name val="Times New Roman"/>
      <family val="1"/>
    </font>
    <font>
      <sz val="10"/>
      <color indexed="22"/>
      <name val="Times New Roman"/>
      <family val="1"/>
    </font>
    <font>
      <sz val="10"/>
      <name val="Times New Roman"/>
      <family val="1"/>
      <charset val="204"/>
    </font>
    <font>
      <b/>
      <sz val="10"/>
      <name val="Arial Cyr"/>
      <family val="2"/>
      <charset val="204"/>
    </font>
    <font>
      <sz val="12"/>
      <color indexed="10"/>
      <name val="Times New Roman"/>
      <family val="1"/>
      <charset val="204"/>
    </font>
    <font>
      <sz val="10"/>
      <name val="Times New Roman Cyr"/>
      <charset val="204"/>
    </font>
    <font>
      <b/>
      <sz val="11"/>
      <color theme="0"/>
      <name val="Times New Roman Cyr"/>
      <charset val="204"/>
    </font>
    <font>
      <sz val="12"/>
      <name val="Times New Roman"/>
      <family val="1"/>
      <charset val="204"/>
    </font>
    <font>
      <sz val="10"/>
      <color theme="1"/>
      <name val="Times New Roman"/>
      <family val="1"/>
      <charset val="204"/>
    </font>
    <font>
      <b/>
      <sz val="10"/>
      <color theme="1"/>
      <name val="Times New Roman"/>
      <family val="1"/>
      <charset val="204"/>
    </font>
    <font>
      <b/>
      <sz val="10"/>
      <name val="Arial Cyr"/>
    </font>
    <font>
      <b/>
      <u/>
      <sz val="10"/>
      <color theme="1"/>
      <name val="Times New Roman"/>
      <family val="1"/>
      <charset val="204"/>
    </font>
    <font>
      <b/>
      <sz val="11"/>
      <color theme="1"/>
      <name val="Times New Roman"/>
      <family val="1"/>
      <charset val="204"/>
    </font>
    <font>
      <b/>
      <sz val="11"/>
      <name val="Times New Roman"/>
      <family val="1"/>
      <charset val="204"/>
    </font>
    <font>
      <sz val="10"/>
      <color indexed="8"/>
      <name val="Times New Roman"/>
      <family val="1"/>
      <charset val="204"/>
    </font>
    <font>
      <b/>
      <sz val="10"/>
      <name val="Times New Roman"/>
      <family val="1"/>
      <charset val="204"/>
    </font>
    <font>
      <sz val="10"/>
      <name val="Arial Cyr"/>
      <family val="2"/>
      <charset val="204"/>
    </font>
    <font>
      <sz val="10"/>
      <color theme="0"/>
      <name val="Times New Roman"/>
      <family val="1"/>
    </font>
    <font>
      <i/>
      <sz val="10"/>
      <name val="Arial Cyr"/>
      <family val="2"/>
      <charset val="204"/>
    </font>
    <font>
      <sz val="8"/>
      <name val="Arial Cyr"/>
      <charset val="204"/>
    </font>
    <font>
      <b/>
      <sz val="14"/>
      <name val="Arial Cyr"/>
      <family val="2"/>
      <charset val="204"/>
    </font>
    <font>
      <b/>
      <sz val="12"/>
      <name val="Arial Cyr"/>
      <family val="2"/>
      <charset val="204"/>
    </font>
    <font>
      <b/>
      <sz val="11"/>
      <name val="Arial Cyr"/>
      <family val="2"/>
      <charset val="204"/>
    </font>
    <font>
      <sz val="11"/>
      <name val="Arial Cyr"/>
      <family val="2"/>
      <charset val="204"/>
    </font>
    <font>
      <b/>
      <sz val="10"/>
      <name val="Arial Cyr"/>
      <charset val="204"/>
    </font>
    <font>
      <sz val="12"/>
      <color theme="0"/>
      <name val="Times New Roman"/>
      <family val="1"/>
    </font>
    <font>
      <b/>
      <sz val="12"/>
      <name val="Arial Cyr"/>
    </font>
    <font>
      <sz val="10"/>
      <color theme="0"/>
      <name val="Arial Cyr"/>
      <family val="2"/>
      <charset val="204"/>
    </font>
    <font>
      <b/>
      <sz val="12"/>
      <color theme="0"/>
      <name val="Arial Cyr"/>
      <family val="2"/>
      <charset val="204"/>
    </font>
    <font>
      <b/>
      <sz val="12"/>
      <name val="Times New Roman Cyr"/>
      <charset val="204"/>
    </font>
    <font>
      <b/>
      <sz val="12"/>
      <name val="Arial Cyr"/>
      <charset val="204"/>
    </font>
    <font>
      <sz val="12"/>
      <color rgb="FFFF0000"/>
      <name val="Times New Roman"/>
      <family val="1"/>
    </font>
    <font>
      <b/>
      <sz val="12"/>
      <color theme="0"/>
      <name val="Times New Roman"/>
      <family val="1"/>
    </font>
    <font>
      <sz val="10"/>
      <color theme="0"/>
      <name val="Times New Roman Cyr"/>
      <charset val="204"/>
    </font>
    <font>
      <sz val="9"/>
      <name val="Arial Cyr"/>
      <family val="2"/>
      <charset val="204"/>
    </font>
    <font>
      <sz val="10"/>
      <color rgb="FFFF0000"/>
      <name val="Times New Roman"/>
      <family val="1"/>
    </font>
    <font>
      <sz val="10"/>
      <color rgb="FFFF0000"/>
      <name val="Arial Cyr"/>
      <charset val="204"/>
    </font>
    <font>
      <sz val="12"/>
      <color theme="0"/>
      <name val="Arial Cyr"/>
      <family val="2"/>
      <charset val="204"/>
    </font>
    <font>
      <sz val="12"/>
      <color theme="0"/>
      <name val="Tahoma"/>
      <family val="2"/>
      <charset val="204"/>
    </font>
    <font>
      <sz val="12"/>
      <color theme="0"/>
      <name val="Arial Cyr"/>
      <charset val="204"/>
    </font>
    <font>
      <sz val="10"/>
      <color theme="0"/>
      <name val="Arial Cyr"/>
      <charset val="186"/>
    </font>
    <font>
      <sz val="10"/>
      <color theme="0"/>
      <name val="Arial Cyr"/>
      <charset val="204"/>
    </font>
    <font>
      <b/>
      <sz val="12"/>
      <color rgb="FFFF0000"/>
      <name val="Times New Roman"/>
      <family val="1"/>
      <charset val="204"/>
    </font>
    <font>
      <b/>
      <sz val="18"/>
      <color theme="0"/>
      <name val="Times New Roman"/>
      <family val="1"/>
    </font>
    <font>
      <b/>
      <sz val="10"/>
      <color theme="0"/>
      <name val="Times New Roman"/>
      <family val="1"/>
    </font>
    <font>
      <sz val="9"/>
      <color theme="0"/>
      <name val="Times New Roman"/>
      <family val="1"/>
    </font>
    <font>
      <b/>
      <sz val="12"/>
      <color theme="0"/>
      <name val="Times New Roman"/>
      <family val="1"/>
      <charset val="204"/>
    </font>
    <font>
      <sz val="12"/>
      <color theme="0"/>
      <name val="Times New Roman"/>
      <family val="1"/>
      <charset val="204"/>
    </font>
  </fonts>
  <fills count="16">
    <fill>
      <patternFill patternType="none"/>
    </fill>
    <fill>
      <patternFill patternType="gray125"/>
    </fill>
    <fill>
      <patternFill patternType="gray125">
        <bgColor indexed="55"/>
      </patternFill>
    </fill>
    <fill>
      <patternFill patternType="solid">
        <fgColor indexed="50"/>
        <bgColor indexed="64"/>
      </patternFill>
    </fill>
    <fill>
      <patternFill patternType="solid">
        <fgColor indexed="9"/>
        <bgColor indexed="64"/>
      </patternFill>
    </fill>
    <fill>
      <patternFill patternType="solid">
        <fgColor indexed="10"/>
        <bgColor indexed="64"/>
      </patternFill>
    </fill>
    <fill>
      <patternFill patternType="solid">
        <fgColor indexed="42"/>
        <bgColor indexed="64"/>
      </patternFill>
    </fill>
    <fill>
      <patternFill patternType="solid">
        <fgColor indexed="22"/>
        <bgColor indexed="64"/>
      </patternFill>
    </fill>
    <fill>
      <patternFill patternType="solid">
        <fgColor indexed="17"/>
        <bgColor indexed="64"/>
      </patternFill>
    </fill>
    <fill>
      <patternFill patternType="solid">
        <fgColor indexed="46"/>
        <bgColor indexed="64"/>
      </patternFill>
    </fill>
    <fill>
      <patternFill patternType="solid">
        <fgColor rgb="FFFF000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0"/>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right style="thin">
        <color indexed="64"/>
      </right>
      <top/>
      <bottom/>
      <diagonal/>
    </border>
    <border>
      <left style="thin">
        <color indexed="64"/>
      </left>
      <right/>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thin">
        <color indexed="64"/>
      </left>
      <right/>
      <top style="thin">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thin">
        <color indexed="64"/>
      </bottom>
      <diagonal/>
    </border>
  </borders>
  <cellStyleXfs count="5">
    <xf numFmtId="0" fontId="0" fillId="0" borderId="0"/>
    <xf numFmtId="42"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1" fillId="0" borderId="0"/>
  </cellStyleXfs>
  <cellXfs count="1132">
    <xf numFmtId="0" fontId="0" fillId="0" borderId="0" xfId="0"/>
    <xf numFmtId="3" fontId="3" fillId="0" borderId="0" xfId="0" applyNumberFormat="1" applyFont="1" applyBorder="1" applyAlignment="1" applyProtection="1">
      <alignment horizontal="centerContinuous"/>
    </xf>
    <xf numFmtId="3" fontId="3" fillId="2" borderId="1" xfId="0" applyNumberFormat="1" applyFont="1" applyFill="1" applyBorder="1" applyAlignment="1" applyProtection="1">
      <alignment horizontal="right" vertical="top"/>
    </xf>
    <xf numFmtId="3" fontId="3" fillId="2" borderId="2" xfId="0" applyNumberFormat="1" applyFont="1" applyFill="1" applyBorder="1" applyAlignment="1" applyProtection="1">
      <alignment horizontal="right" vertical="top"/>
    </xf>
    <xf numFmtId="0" fontId="3" fillId="0" borderId="0" xfId="0" applyFont="1" applyProtection="1"/>
    <xf numFmtId="3" fontId="3" fillId="0" borderId="1" xfId="0" applyNumberFormat="1" applyFont="1" applyBorder="1" applyProtection="1">
      <protection locked="0"/>
    </xf>
    <xf numFmtId="0" fontId="6" fillId="0" borderId="3" xfId="0" applyFont="1" applyBorder="1"/>
    <xf numFmtId="3" fontId="6" fillId="3" borderId="3" xfId="0" applyNumberFormat="1" applyFont="1" applyFill="1" applyBorder="1" applyProtection="1"/>
    <xf numFmtId="3" fontId="6" fillId="4" borderId="4" xfId="0" applyNumberFormat="1" applyFont="1" applyFill="1" applyBorder="1" applyProtection="1">
      <protection hidden="1"/>
    </xf>
    <xf numFmtId="3" fontId="6" fillId="0" borderId="3" xfId="0" applyNumberFormat="1" applyFont="1" applyBorder="1" applyAlignment="1" applyProtection="1">
      <alignment wrapText="1"/>
      <protection locked="0"/>
    </xf>
    <xf numFmtId="3" fontId="6" fillId="0" borderId="3" xfId="0" applyNumberFormat="1" applyFont="1" applyFill="1" applyBorder="1" applyProtection="1">
      <protection locked="0"/>
    </xf>
    <xf numFmtId="3" fontId="6" fillId="0" borderId="4" xfId="0" applyNumberFormat="1" applyFont="1" applyBorder="1" applyProtection="1">
      <protection locked="0"/>
    </xf>
    <xf numFmtId="3" fontId="6" fillId="0" borderId="3" xfId="0" applyNumberFormat="1" applyFont="1" applyBorder="1" applyProtection="1"/>
    <xf numFmtId="3" fontId="5" fillId="0" borderId="3" xfId="0" applyNumberFormat="1" applyFont="1" applyBorder="1" applyAlignment="1" applyProtection="1">
      <alignment horizontal="left"/>
    </xf>
    <xf numFmtId="0" fontId="3" fillId="0" borderId="0" xfId="0" applyFont="1"/>
    <xf numFmtId="167" fontId="3" fillId="0" borderId="0" xfId="0" applyNumberFormat="1" applyFont="1" applyBorder="1" applyAlignment="1" applyProtection="1">
      <alignment horizontal="centerContinuous"/>
    </xf>
    <xf numFmtId="0" fontId="3" fillId="0" borderId="0" xfId="0" applyFont="1" applyAlignment="1">
      <alignment horizontal="centerContinuous"/>
    </xf>
    <xf numFmtId="0" fontId="3" fillId="5" borderId="0" xfId="0" applyFont="1" applyFill="1"/>
    <xf numFmtId="3" fontId="3" fillId="0" borderId="1" xfId="0" applyNumberFormat="1" applyFont="1" applyBorder="1" applyProtection="1"/>
    <xf numFmtId="0" fontId="4" fillId="0" borderId="0" xfId="0" applyFont="1" applyBorder="1" applyAlignment="1" applyProtection="1">
      <alignment horizontal="left" vertical="top"/>
    </xf>
    <xf numFmtId="0" fontId="3" fillId="0" borderId="0" xfId="0" applyFont="1" applyBorder="1" applyAlignment="1" applyProtection="1">
      <alignment wrapText="1"/>
    </xf>
    <xf numFmtId="0" fontId="3" fillId="0" borderId="0" xfId="0" applyFont="1" applyBorder="1" applyProtection="1"/>
    <xf numFmtId="0" fontId="3" fillId="0" borderId="0" xfId="0" applyFont="1" applyBorder="1" applyAlignment="1" applyProtection="1">
      <alignment horizontal="left" vertical="top" wrapText="1"/>
    </xf>
    <xf numFmtId="3" fontId="3" fillId="0" borderId="1" xfId="0" applyNumberFormat="1" applyFont="1" applyBorder="1" applyProtection="1">
      <protection hidden="1"/>
    </xf>
    <xf numFmtId="0" fontId="4" fillId="0" borderId="0" xfId="0" applyFont="1" applyBorder="1"/>
    <xf numFmtId="0" fontId="6" fillId="0" borderId="0" xfId="0" applyFont="1"/>
    <xf numFmtId="0" fontId="6" fillId="0" borderId="0" xfId="0" applyFont="1" applyAlignment="1">
      <alignment horizontal="centerContinuous"/>
    </xf>
    <xf numFmtId="0" fontId="6" fillId="0" borderId="0" xfId="0" applyFont="1" applyAlignment="1">
      <alignment wrapText="1"/>
    </xf>
    <xf numFmtId="3" fontId="6" fillId="2" borderId="1" xfId="0" applyNumberFormat="1" applyFont="1" applyFill="1" applyBorder="1" applyAlignment="1" applyProtection="1">
      <alignment horizontal="right" vertical="top"/>
    </xf>
    <xf numFmtId="3" fontId="6" fillId="2" borderId="6" xfId="0" applyNumberFormat="1" applyFont="1" applyFill="1" applyBorder="1" applyAlignment="1" applyProtection="1">
      <alignment horizontal="right" vertical="top"/>
    </xf>
    <xf numFmtId="3" fontId="6" fillId="0" borderId="0" xfId="0" applyNumberFormat="1" applyFont="1" applyAlignment="1">
      <alignment wrapText="1"/>
    </xf>
    <xf numFmtId="0" fontId="6" fillId="5" borderId="0" xfId="0" applyFont="1" applyFill="1"/>
    <xf numFmtId="3" fontId="6" fillId="0" borderId="1" xfId="0" applyNumberFormat="1" applyFont="1" applyBorder="1" applyProtection="1"/>
    <xf numFmtId="3" fontId="6" fillId="0" borderId="7" xfId="0" applyNumberFormat="1" applyFont="1" applyBorder="1" applyProtection="1">
      <protection hidden="1"/>
    </xf>
    <xf numFmtId="0" fontId="5" fillId="0" borderId="0" xfId="0" applyFont="1" applyBorder="1"/>
    <xf numFmtId="0" fontId="5" fillId="0" borderId="0" xfId="0" applyFont="1" applyBorder="1" applyAlignment="1">
      <alignment horizontal="center"/>
    </xf>
    <xf numFmtId="14" fontId="5" fillId="0" borderId="0" xfId="0" applyNumberFormat="1" applyFont="1" applyBorder="1" applyProtection="1">
      <protection locked="0"/>
    </xf>
    <xf numFmtId="0" fontId="6" fillId="0" borderId="0" xfId="0" applyFont="1" applyBorder="1"/>
    <xf numFmtId="0" fontId="8" fillId="0" borderId="0" xfId="0" applyFont="1" applyProtection="1">
      <protection hidden="1"/>
    </xf>
    <xf numFmtId="0" fontId="6" fillId="0" borderId="0" xfId="0" applyFont="1" applyProtection="1">
      <protection hidden="1"/>
    </xf>
    <xf numFmtId="15" fontId="5" fillId="0" borderId="0" xfId="0" applyNumberFormat="1" applyFont="1" applyBorder="1" applyAlignment="1" applyProtection="1">
      <alignment horizontal="left"/>
      <protection locked="0"/>
    </xf>
    <xf numFmtId="0" fontId="8" fillId="0" borderId="0" xfId="0" applyFont="1" applyBorder="1" applyProtection="1">
      <protection hidden="1"/>
    </xf>
    <xf numFmtId="0" fontId="6" fillId="0" borderId="0" xfId="0" applyFont="1" applyBorder="1" applyProtection="1">
      <protection hidden="1"/>
    </xf>
    <xf numFmtId="0" fontId="6" fillId="0" borderId="1" xfId="0" applyFont="1" applyBorder="1"/>
    <xf numFmtId="3" fontId="6" fillId="0" borderId="0" xfId="0" applyNumberFormat="1" applyFont="1"/>
    <xf numFmtId="0" fontId="8" fillId="0" borderId="0" xfId="0" applyFont="1"/>
    <xf numFmtId="3" fontId="6" fillId="0" borderId="1" xfId="0" applyNumberFormat="1" applyFont="1" applyBorder="1"/>
    <xf numFmtId="0" fontId="8" fillId="0" borderId="0" xfId="0" quotePrefix="1" applyFont="1" applyBorder="1" applyAlignment="1" applyProtection="1">
      <alignment horizontal="left"/>
      <protection hidden="1"/>
    </xf>
    <xf numFmtId="0" fontId="6" fillId="0" borderId="1" xfId="0" applyFont="1" applyFill="1" applyBorder="1" applyAlignment="1"/>
    <xf numFmtId="0" fontId="7" fillId="0" borderId="0" xfId="0" applyFont="1" applyProtection="1">
      <protection hidden="1"/>
    </xf>
    <xf numFmtId="0" fontId="9" fillId="0" borderId="0" xfId="0" applyFont="1" applyBorder="1" applyAlignment="1">
      <alignment horizontal="centerContinuous"/>
    </xf>
    <xf numFmtId="0" fontId="10" fillId="0" borderId="0" xfId="0" applyFont="1" applyProtection="1">
      <protection hidden="1"/>
    </xf>
    <xf numFmtId="0" fontId="11" fillId="0" borderId="0" xfId="0" applyFont="1"/>
    <xf numFmtId="3" fontId="11" fillId="0" borderId="0" xfId="0" applyNumberFormat="1" applyFont="1" applyBorder="1" applyAlignment="1" applyProtection="1">
      <alignment horizontal="center" vertical="center"/>
    </xf>
    <xf numFmtId="0" fontId="10" fillId="0" borderId="0" xfId="0" applyFont="1" applyBorder="1" applyAlignment="1" applyProtection="1">
      <protection hidden="1"/>
    </xf>
    <xf numFmtId="0" fontId="10" fillId="0" borderId="0" xfId="0" applyFont="1" applyBorder="1" applyProtection="1">
      <protection hidden="1"/>
    </xf>
    <xf numFmtId="0" fontId="9" fillId="0" borderId="0" xfId="0" applyFont="1" applyBorder="1"/>
    <xf numFmtId="0" fontId="6" fillId="0" borderId="0" xfId="0" applyFont="1" applyBorder="1" applyAlignment="1">
      <alignment wrapText="1"/>
    </xf>
    <xf numFmtId="0" fontId="5" fillId="0" borderId="6" xfId="0" applyFont="1" applyBorder="1" applyAlignment="1">
      <alignment wrapText="1"/>
    </xf>
    <xf numFmtId="0" fontId="6" fillId="0" borderId="10" xfId="0" applyFont="1" applyBorder="1" applyAlignment="1">
      <alignment wrapText="1"/>
    </xf>
    <xf numFmtId="0" fontId="6" fillId="0" borderId="1" xfId="0" applyFont="1" applyBorder="1" applyAlignment="1">
      <alignment horizontal="center" wrapText="1"/>
    </xf>
    <xf numFmtId="0" fontId="6" fillId="0" borderId="6" xfId="0" applyFont="1" applyBorder="1" applyAlignment="1">
      <alignment horizontal="center" wrapText="1"/>
    </xf>
    <xf numFmtId="0" fontId="5" fillId="0" borderId="1" xfId="0" applyFont="1" applyBorder="1" applyAlignment="1">
      <alignment horizontal="left" vertical="center"/>
    </xf>
    <xf numFmtId="0" fontId="5" fillId="0" borderId="6" xfId="0" applyFont="1" applyBorder="1" applyAlignment="1">
      <alignment horizontal="left" vertical="center"/>
    </xf>
    <xf numFmtId="3" fontId="6" fillId="2" borderId="1" xfId="0" applyNumberFormat="1" applyFont="1" applyFill="1" applyBorder="1" applyAlignment="1">
      <alignment horizontal="right" vertical="top"/>
    </xf>
    <xf numFmtId="3" fontId="6" fillId="2" borderId="6" xfId="0" applyNumberFormat="1" applyFont="1" applyFill="1" applyBorder="1" applyAlignment="1">
      <alignment horizontal="right" vertical="top"/>
    </xf>
    <xf numFmtId="0" fontId="6" fillId="0" borderId="6" xfId="0" applyFont="1" applyBorder="1"/>
    <xf numFmtId="3" fontId="6" fillId="0" borderId="6" xfId="0" applyNumberFormat="1" applyFont="1" applyBorder="1"/>
    <xf numFmtId="3" fontId="3" fillId="5" borderId="1" xfId="0" applyNumberFormat="1" applyFont="1" applyFill="1" applyBorder="1" applyAlignment="1" applyProtection="1">
      <alignment horizontal="right" vertical="top"/>
      <protection locked="0"/>
    </xf>
    <xf numFmtId="0" fontId="3" fillId="0" borderId="0" xfId="0" applyFont="1" applyBorder="1"/>
    <xf numFmtId="3" fontId="3" fillId="0" borderId="1" xfId="0" applyNumberFormat="1" applyFont="1" applyBorder="1"/>
    <xf numFmtId="0" fontId="3" fillId="0" borderId="0" xfId="0" applyFont="1" applyFill="1"/>
    <xf numFmtId="3" fontId="5" fillId="0" borderId="0" xfId="0" applyNumberFormat="1" applyFont="1" applyBorder="1" applyAlignment="1">
      <alignment horizontal="centerContinuous"/>
    </xf>
    <xf numFmtId="3" fontId="3" fillId="0" borderId="12" xfId="0" applyNumberFormat="1" applyFont="1" applyBorder="1" applyAlignment="1">
      <alignment horizontal="center"/>
    </xf>
    <xf numFmtId="3" fontId="3" fillId="0" borderId="13" xfId="0" applyNumberFormat="1" applyFont="1" applyBorder="1"/>
    <xf numFmtId="3" fontId="3" fillId="0" borderId="14" xfId="0" applyNumberFormat="1" applyFont="1" applyBorder="1"/>
    <xf numFmtId="3" fontId="3" fillId="0" borderId="15" xfId="0" applyNumberFormat="1" applyFont="1" applyBorder="1"/>
    <xf numFmtId="3" fontId="3" fillId="0" borderId="16" xfId="0" applyNumberFormat="1" applyFont="1" applyBorder="1"/>
    <xf numFmtId="3" fontId="3" fillId="0" borderId="17" xfId="0" applyNumberFormat="1" applyFont="1" applyBorder="1" applyAlignment="1">
      <alignment horizontal="center"/>
    </xf>
    <xf numFmtId="3" fontId="3" fillId="0" borderId="18" xfId="0" applyNumberFormat="1" applyFont="1" applyBorder="1" applyAlignment="1">
      <alignment horizontal="center"/>
    </xf>
    <xf numFmtId="3" fontId="3" fillId="0" borderId="19" xfId="0" applyNumberFormat="1" applyFont="1" applyBorder="1" applyAlignment="1">
      <alignment horizontal="centerContinuous"/>
    </xf>
    <xf numFmtId="3" fontId="3" fillId="0" borderId="20" xfId="0" applyNumberFormat="1" applyFont="1" applyBorder="1" applyAlignment="1">
      <alignment horizontal="centerContinuous"/>
    </xf>
    <xf numFmtId="3" fontId="4" fillId="0" borderId="20" xfId="0" applyNumberFormat="1" applyFont="1" applyBorder="1" applyAlignment="1">
      <alignment horizontal="center"/>
    </xf>
    <xf numFmtId="3" fontId="3" fillId="0" borderId="21" xfId="0" applyNumberFormat="1" applyFont="1" applyBorder="1" applyAlignment="1">
      <alignment horizontal="center"/>
    </xf>
    <xf numFmtId="3" fontId="3" fillId="0" borderId="21" xfId="0" applyNumberFormat="1" applyFont="1" applyBorder="1"/>
    <xf numFmtId="3" fontId="3" fillId="0" borderId="22" xfId="0" applyNumberFormat="1" applyFont="1" applyBorder="1" applyAlignment="1">
      <alignment horizontal="center"/>
    </xf>
    <xf numFmtId="3" fontId="3" fillId="0" borderId="23" xfId="0" applyNumberFormat="1" applyFont="1" applyBorder="1"/>
    <xf numFmtId="3" fontId="3" fillId="0" borderId="24" xfId="0" applyNumberFormat="1" applyFont="1" applyBorder="1"/>
    <xf numFmtId="3" fontId="4" fillId="0" borderId="24" xfId="0" applyNumberFormat="1" applyFont="1" applyBorder="1" applyAlignment="1">
      <alignment horizontal="center"/>
    </xf>
    <xf numFmtId="3" fontId="3" fillId="0" borderId="25" xfId="0" applyNumberFormat="1" applyFont="1" applyBorder="1"/>
    <xf numFmtId="3" fontId="3" fillId="0" borderId="20" xfId="0" applyNumberFormat="1" applyFont="1" applyBorder="1"/>
    <xf numFmtId="3" fontId="3" fillId="0" borderId="26" xfId="0" applyNumberFormat="1" applyFont="1" applyBorder="1" applyAlignment="1">
      <alignment horizontal="center"/>
    </xf>
    <xf numFmtId="3" fontId="4" fillId="0" borderId="26" xfId="0" applyNumberFormat="1" applyFont="1" applyBorder="1" applyAlignment="1">
      <alignment horizontal="center" vertical="center" wrapText="1"/>
    </xf>
    <xf numFmtId="3" fontId="4" fillId="0" borderId="27" xfId="0" applyNumberFormat="1" applyFont="1" applyBorder="1" applyAlignment="1">
      <alignment horizontal="center" vertical="center" wrapText="1"/>
    </xf>
    <xf numFmtId="3" fontId="3" fillId="0" borderId="11" xfId="0" applyNumberFormat="1" applyFont="1" applyBorder="1" applyAlignment="1">
      <alignment horizontal="center" vertical="center" textRotation="90" wrapText="1"/>
    </xf>
    <xf numFmtId="3" fontId="3" fillId="0" borderId="28" xfId="0" applyNumberFormat="1" applyFont="1" applyBorder="1" applyAlignment="1">
      <alignment horizontal="center" vertical="center" textRotation="90" wrapText="1"/>
    </xf>
    <xf numFmtId="3" fontId="4" fillId="0" borderId="29" xfId="0" applyNumberFormat="1" applyFont="1" applyBorder="1" applyAlignment="1">
      <alignment horizontal="center" vertical="center" wrapText="1"/>
    </xf>
    <xf numFmtId="3" fontId="3" fillId="0" borderId="30" xfId="0" applyNumberFormat="1" applyFont="1" applyBorder="1" applyAlignment="1">
      <alignment horizontal="center" vertical="center" textRotation="90" wrapText="1"/>
    </xf>
    <xf numFmtId="3" fontId="3" fillId="0" borderId="2" xfId="0" applyNumberFormat="1" applyFont="1" applyBorder="1" applyAlignment="1">
      <alignment horizontal="center" vertical="center" textRotation="90" wrapText="1"/>
    </xf>
    <xf numFmtId="3" fontId="3" fillId="0" borderId="31" xfId="0" applyNumberFormat="1" applyFont="1" applyBorder="1" applyAlignment="1">
      <alignment horizontal="center" vertical="center" textRotation="90" wrapText="1"/>
    </xf>
    <xf numFmtId="3" fontId="3" fillId="0" borderId="7" xfId="0" applyNumberFormat="1" applyFont="1" applyBorder="1" applyAlignment="1">
      <alignment horizontal="center" vertical="center" textRotation="90" wrapText="1"/>
    </xf>
    <xf numFmtId="0" fontId="3" fillId="0" borderId="0" xfId="0" applyFont="1" applyBorder="1" applyAlignment="1">
      <alignment horizontal="center" vertical="center" textRotation="90" wrapText="1"/>
    </xf>
    <xf numFmtId="3" fontId="4" fillId="6" borderId="1" xfId="0" applyNumberFormat="1" applyFont="1" applyFill="1" applyBorder="1"/>
    <xf numFmtId="3" fontId="3" fillId="6" borderId="1" xfId="0" applyNumberFormat="1" applyFont="1" applyFill="1" applyBorder="1" applyProtection="1"/>
    <xf numFmtId="3" fontId="3" fillId="6" borderId="1" xfId="0" applyNumberFormat="1" applyFont="1" applyFill="1" applyBorder="1"/>
    <xf numFmtId="3" fontId="3" fillId="0" borderId="0" xfId="0" applyNumberFormat="1" applyFont="1"/>
    <xf numFmtId="9" fontId="3" fillId="0" borderId="0" xfId="0" applyNumberFormat="1" applyFont="1"/>
    <xf numFmtId="3" fontId="3" fillId="0" borderId="1" xfId="0" quotePrefix="1" applyNumberFormat="1" applyFont="1" applyBorder="1" applyAlignment="1">
      <alignment horizontal="left"/>
    </xf>
    <xf numFmtId="10" fontId="3" fillId="6" borderId="1" xfId="0" applyNumberFormat="1" applyFont="1" applyFill="1" applyBorder="1"/>
    <xf numFmtId="10" fontId="3" fillId="6" borderId="1" xfId="0" applyNumberFormat="1" applyFont="1" applyFill="1" applyBorder="1" applyProtection="1">
      <protection locked="0"/>
    </xf>
    <xf numFmtId="3" fontId="5" fillId="0" borderId="0" xfId="0" applyNumberFormat="1" applyFont="1" applyAlignment="1">
      <alignment horizontal="centerContinuous"/>
    </xf>
    <xf numFmtId="3" fontId="6" fillId="0" borderId="0" xfId="0" applyNumberFormat="1" applyFont="1" applyAlignment="1">
      <alignment horizontal="centerContinuous"/>
    </xf>
    <xf numFmtId="3" fontId="6" fillId="0" borderId="0" xfId="0" applyNumberFormat="1" applyFont="1" applyBorder="1" applyAlignment="1">
      <alignment horizontal="centerContinuous"/>
    </xf>
    <xf numFmtId="3" fontId="5" fillId="0" borderId="0" xfId="0" applyNumberFormat="1" applyFont="1"/>
    <xf numFmtId="3" fontId="6" fillId="0" borderId="12" xfId="0" applyNumberFormat="1" applyFont="1" applyBorder="1" applyAlignment="1">
      <alignment horizontal="center" vertical="center"/>
    </xf>
    <xf numFmtId="3" fontId="6" fillId="0" borderId="15" xfId="0" applyNumberFormat="1" applyFont="1" applyBorder="1" applyAlignment="1">
      <alignment horizontal="center" vertical="center"/>
    </xf>
    <xf numFmtId="3" fontId="6" fillId="0" borderId="21" xfId="0" applyNumberFormat="1" applyFont="1" applyBorder="1" applyAlignment="1">
      <alignment horizontal="center" vertical="center"/>
    </xf>
    <xf numFmtId="3" fontId="6" fillId="0" borderId="24" xfId="0" applyNumberFormat="1" applyFont="1" applyBorder="1" applyAlignment="1">
      <alignment horizontal="center" vertical="center"/>
    </xf>
    <xf numFmtId="3" fontId="5" fillId="0" borderId="21" xfId="0" applyNumberFormat="1" applyFont="1" applyBorder="1" applyAlignment="1">
      <alignment horizontal="center" vertical="center"/>
    </xf>
    <xf numFmtId="3" fontId="6" fillId="0" borderId="21" xfId="0" applyNumberFormat="1" applyFont="1" applyBorder="1"/>
    <xf numFmtId="3" fontId="5" fillId="0" borderId="21" xfId="0" applyNumberFormat="1" applyFont="1" applyBorder="1" applyAlignment="1">
      <alignment horizontal="center"/>
    </xf>
    <xf numFmtId="3" fontId="5" fillId="0" borderId="21" xfId="0" quotePrefix="1" applyNumberFormat="1" applyFont="1" applyBorder="1" applyAlignment="1">
      <alignment horizontal="center"/>
    </xf>
    <xf numFmtId="3" fontId="5" fillId="0" borderId="21" xfId="0" quotePrefix="1" applyNumberFormat="1" applyFont="1" applyBorder="1" applyAlignment="1">
      <alignment horizontal="center" wrapText="1"/>
    </xf>
    <xf numFmtId="0" fontId="5" fillId="0" borderId="21" xfId="0" applyFont="1" applyBorder="1" applyAlignment="1">
      <alignment horizontal="center" wrapText="1"/>
    </xf>
    <xf numFmtId="3" fontId="5" fillId="0" borderId="21" xfId="0" quotePrefix="1" applyNumberFormat="1" applyFont="1" applyBorder="1" applyAlignment="1">
      <alignment horizontal="left"/>
    </xf>
    <xf numFmtId="3" fontId="5" fillId="0" borderId="32" xfId="0" applyNumberFormat="1" applyFont="1" applyBorder="1"/>
    <xf numFmtId="3" fontId="5" fillId="0" borderId="33" xfId="0" applyNumberFormat="1" applyFont="1" applyBorder="1" applyAlignment="1">
      <alignment horizontal="center"/>
    </xf>
    <xf numFmtId="3" fontId="5" fillId="0" borderId="34" xfId="0" applyNumberFormat="1" applyFont="1" applyBorder="1" applyAlignment="1">
      <alignment horizontal="center"/>
    </xf>
    <xf numFmtId="0" fontId="5" fillId="7" borderId="4" xfId="0" applyFont="1" applyFill="1" applyBorder="1" applyAlignment="1">
      <alignment horizontal="center"/>
    </xf>
    <xf numFmtId="3" fontId="6" fillId="7" borderId="4" xfId="0" applyNumberFormat="1" applyFont="1" applyFill="1" applyBorder="1"/>
    <xf numFmtId="9" fontId="6" fillId="0" borderId="1" xfId="2" applyFont="1" applyBorder="1"/>
    <xf numFmtId="3" fontId="6" fillId="0" borderId="1" xfId="0" applyNumberFormat="1" applyFont="1" applyBorder="1" applyAlignment="1" applyProtection="1">
      <alignment horizontal="right"/>
      <protection locked="0"/>
    </xf>
    <xf numFmtId="9" fontId="6" fillId="0" borderId="1" xfId="0" applyNumberFormat="1" applyFont="1" applyBorder="1"/>
    <xf numFmtId="0" fontId="5" fillId="0" borderId="0" xfId="0" applyFont="1" applyAlignment="1">
      <alignment horizontal="centerContinuous"/>
    </xf>
    <xf numFmtId="3" fontId="5" fillId="0" borderId="0" xfId="0" applyNumberFormat="1" applyFont="1" applyAlignment="1">
      <alignment horizontal="center"/>
    </xf>
    <xf numFmtId="3" fontId="3" fillId="0" borderId="6" xfId="0" applyNumberFormat="1" applyFont="1" applyBorder="1" applyProtection="1"/>
    <xf numFmtId="0" fontId="5" fillId="0" borderId="0" xfId="0" applyFont="1"/>
    <xf numFmtId="0" fontId="3" fillId="0" borderId="0" xfId="0" applyFont="1" applyProtection="1">
      <protection hidden="1"/>
    </xf>
    <xf numFmtId="3" fontId="6" fillId="0" borderId="0" xfId="0" applyNumberFormat="1" applyFont="1" applyBorder="1"/>
    <xf numFmtId="3" fontId="5" fillId="0" borderId="35" xfId="0" applyNumberFormat="1" applyFont="1" applyBorder="1" applyAlignment="1">
      <alignment horizontal="center"/>
    </xf>
    <xf numFmtId="3" fontId="5" fillId="0" borderId="0" xfId="0" quotePrefix="1" applyNumberFormat="1" applyFont="1" applyAlignment="1">
      <alignment horizontal="left"/>
    </xf>
    <xf numFmtId="0" fontId="5" fillId="0" borderId="36" xfId="0" applyFont="1" applyBorder="1" applyAlignment="1">
      <alignment horizontal="centerContinuous"/>
    </xf>
    <xf numFmtId="0" fontId="5" fillId="0" borderId="36" xfId="0" quotePrefix="1" applyFont="1" applyBorder="1" applyAlignment="1">
      <alignment horizontal="centerContinuous"/>
    </xf>
    <xf numFmtId="3" fontId="5" fillId="0" borderId="37" xfId="0" applyNumberFormat="1" applyFont="1" applyBorder="1" applyAlignment="1">
      <alignment horizontal="center" vertical="top" wrapText="1"/>
    </xf>
    <xf numFmtId="3" fontId="5" fillId="0" borderId="32" xfId="0" applyNumberFormat="1" applyFont="1" applyBorder="1" applyAlignment="1">
      <alignment horizontal="centerContinuous" vertical="top" wrapText="1"/>
    </xf>
    <xf numFmtId="3" fontId="5" fillId="0" borderId="34" xfId="0" applyNumberFormat="1" applyFont="1" applyBorder="1" applyAlignment="1">
      <alignment horizontal="centerContinuous"/>
    </xf>
    <xf numFmtId="3" fontId="5" fillId="0" borderId="34" xfId="0" applyNumberFormat="1" applyFont="1" applyBorder="1" applyAlignment="1">
      <alignment horizontal="centerContinuous" vertical="top" wrapText="1"/>
    </xf>
    <xf numFmtId="3" fontId="5" fillId="0" borderId="38" xfId="0" applyNumberFormat="1" applyFont="1" applyBorder="1" applyAlignment="1">
      <alignment horizontal="center" vertical="top" wrapText="1"/>
    </xf>
    <xf numFmtId="3" fontId="5" fillId="0" borderId="35" xfId="0" applyNumberFormat="1" applyFont="1" applyBorder="1" applyAlignment="1">
      <alignment horizontal="center" vertical="top" wrapText="1"/>
    </xf>
    <xf numFmtId="3" fontId="6" fillId="0" borderId="10" xfId="0" applyNumberFormat="1" applyFont="1" applyBorder="1" applyAlignment="1">
      <alignment wrapText="1"/>
    </xf>
    <xf numFmtId="3" fontId="6" fillId="0" borderId="1" xfId="0" applyNumberFormat="1" applyFont="1" applyBorder="1" applyAlignment="1" applyProtection="1">
      <alignment horizontal="right" vertical="top"/>
      <protection locked="0"/>
    </xf>
    <xf numFmtId="3" fontId="6" fillId="0" borderId="10" xfId="0" applyNumberFormat="1" applyFont="1" applyBorder="1" applyAlignment="1">
      <alignment vertical="top"/>
    </xf>
    <xf numFmtId="3" fontId="6" fillId="0" borderId="11" xfId="0" applyNumberFormat="1" applyFont="1" applyBorder="1" applyAlignment="1">
      <alignment wrapText="1"/>
    </xf>
    <xf numFmtId="3" fontId="6" fillId="0" borderId="33" xfId="0" applyNumberFormat="1" applyFont="1" applyBorder="1" applyProtection="1">
      <protection hidden="1"/>
    </xf>
    <xf numFmtId="3" fontId="5" fillId="0" borderId="0" xfId="0" applyNumberFormat="1" applyFont="1" applyBorder="1"/>
    <xf numFmtId="0" fontId="3" fillId="0" borderId="0" xfId="0" quotePrefix="1" applyFont="1" applyAlignment="1" applyProtection="1">
      <alignment horizontal="right"/>
      <protection hidden="1"/>
    </xf>
    <xf numFmtId="0" fontId="4" fillId="0" borderId="39" xfId="0" applyFont="1" applyBorder="1" applyAlignment="1">
      <alignment horizontal="center" vertical="center"/>
    </xf>
    <xf numFmtId="49" fontId="4" fillId="0" borderId="8" xfId="0" applyNumberFormat="1" applyFont="1" applyBorder="1" applyAlignment="1">
      <alignment horizontal="center" vertical="center"/>
    </xf>
    <xf numFmtId="49" fontId="4" fillId="0" borderId="9" xfId="0" applyNumberFormat="1" applyFont="1" applyBorder="1" applyAlignment="1">
      <alignment horizontal="center" wrapText="1"/>
    </xf>
    <xf numFmtId="0" fontId="4" fillId="0" borderId="10" xfId="0" applyFont="1" applyBorder="1"/>
    <xf numFmtId="0" fontId="3" fillId="3" borderId="1" xfId="0" applyFont="1" applyFill="1" applyBorder="1"/>
    <xf numFmtId="0" fontId="7" fillId="3" borderId="6" xfId="0" applyFont="1" applyFill="1" applyBorder="1" applyProtection="1">
      <protection hidden="1"/>
    </xf>
    <xf numFmtId="0" fontId="3" fillId="0" borderId="10" xfId="0" applyFont="1" applyBorder="1"/>
    <xf numFmtId="0" fontId="7" fillId="0" borderId="6" xfId="0" applyFont="1" applyBorder="1" applyProtection="1">
      <protection hidden="1"/>
    </xf>
    <xf numFmtId="3" fontId="3" fillId="3" borderId="1" xfId="0" applyNumberFormat="1" applyFont="1" applyFill="1" applyBorder="1"/>
    <xf numFmtId="0" fontId="3" fillId="0" borderId="11" xfId="0" applyFont="1" applyBorder="1" applyAlignment="1">
      <alignment horizontal="left" wrapText="1"/>
    </xf>
    <xf numFmtId="3" fontId="3" fillId="0" borderId="2" xfId="0" applyNumberFormat="1" applyFont="1" applyBorder="1" applyAlignment="1" applyProtection="1">
      <alignment horizontal="center"/>
      <protection locked="0"/>
    </xf>
    <xf numFmtId="0" fontId="7" fillId="0" borderId="7" xfId="0" applyFont="1" applyBorder="1" applyProtection="1">
      <protection hidden="1"/>
    </xf>
    <xf numFmtId="0" fontId="6" fillId="0" borderId="10" xfId="0" applyFont="1" applyBorder="1"/>
    <xf numFmtId="0" fontId="5" fillId="0" borderId="10" xfId="0" applyFont="1" applyFill="1" applyBorder="1" applyAlignment="1">
      <alignment horizontal="center"/>
    </xf>
    <xf numFmtId="0" fontId="5" fillId="0" borderId="10" xfId="0" applyFont="1" applyFill="1" applyBorder="1" applyAlignment="1">
      <alignment horizontal="left"/>
    </xf>
    <xf numFmtId="0" fontId="3" fillId="0" borderId="11" xfId="0" applyFont="1" applyBorder="1"/>
    <xf numFmtId="0" fontId="5" fillId="0" borderId="39" xfId="0" applyFont="1" applyBorder="1" applyAlignment="1">
      <alignment horizontal="left" vertical="top"/>
    </xf>
    <xf numFmtId="0" fontId="6" fillId="0" borderId="10" xfId="0" applyFont="1" applyFill="1" applyBorder="1" applyAlignment="1">
      <alignment horizontal="left"/>
    </xf>
    <xf numFmtId="0" fontId="6" fillId="0" borderId="10" xfId="0" applyFont="1" applyFill="1" applyBorder="1" applyAlignment="1"/>
    <xf numFmtId="0" fontId="5" fillId="0" borderId="10" xfId="0" quotePrefix="1" applyFont="1" applyFill="1" applyBorder="1" applyAlignment="1">
      <alignment horizontal="left"/>
    </xf>
    <xf numFmtId="3" fontId="6" fillId="0" borderId="1" xfId="0" applyNumberFormat="1" applyFont="1" applyFill="1" applyBorder="1" applyAlignment="1"/>
    <xf numFmtId="3" fontId="6" fillId="0" borderId="6" xfId="0" applyNumberFormat="1" applyFont="1" applyFill="1" applyBorder="1" applyAlignment="1"/>
    <xf numFmtId="0" fontId="6" fillId="0" borderId="10" xfId="0" quotePrefix="1" applyFont="1" applyFill="1" applyBorder="1" applyAlignment="1">
      <alignment horizontal="left"/>
    </xf>
    <xf numFmtId="3" fontId="6" fillId="2" borderId="6" xfId="0" applyNumberFormat="1" applyFont="1" applyFill="1" applyBorder="1" applyAlignment="1"/>
    <xf numFmtId="0" fontId="5" fillId="0" borderId="10" xfId="0" applyFont="1" applyFill="1" applyBorder="1" applyAlignment="1"/>
    <xf numFmtId="0" fontId="6" fillId="0" borderId="6" xfId="0" applyFont="1" applyFill="1" applyBorder="1" applyAlignment="1"/>
    <xf numFmtId="0" fontId="5" fillId="0" borderId="10" xfId="0" quotePrefix="1" applyFont="1" applyBorder="1" applyAlignment="1">
      <alignment horizontal="left" vertical="top" wrapText="1"/>
    </xf>
    <xf numFmtId="0" fontId="5" fillId="0" borderId="1" xfId="0" applyFont="1" applyBorder="1" applyAlignment="1">
      <alignment horizontal="center" wrapText="1"/>
    </xf>
    <xf numFmtId="0" fontId="5" fillId="0" borderId="6" xfId="0" applyFont="1" applyBorder="1" applyAlignment="1">
      <alignment horizontal="center" wrapText="1"/>
    </xf>
    <xf numFmtId="0" fontId="5" fillId="0" borderId="10" xfId="0" quotePrefix="1" applyFont="1" applyFill="1" applyBorder="1" applyAlignment="1">
      <alignment horizontal="left" vertical="top"/>
    </xf>
    <xf numFmtId="0" fontId="5" fillId="0" borderId="10" xfId="0" applyFont="1" applyBorder="1"/>
    <xf numFmtId="0" fontId="6" fillId="0" borderId="10" xfId="0" quotePrefix="1" applyFont="1" applyBorder="1" applyAlignment="1">
      <alignment horizontal="left"/>
    </xf>
    <xf numFmtId="3" fontId="6" fillId="2" borderId="1" xfId="0" applyNumberFormat="1" applyFont="1" applyFill="1" applyBorder="1" applyAlignment="1"/>
    <xf numFmtId="0" fontId="8" fillId="0" borderId="0" xfId="0" applyFont="1" applyFill="1" applyBorder="1" applyProtection="1">
      <protection hidden="1"/>
    </xf>
    <xf numFmtId="0" fontId="6" fillId="0" borderId="10" xfId="0" quotePrefix="1" applyFont="1" applyBorder="1" applyAlignment="1">
      <alignment horizontal="left" wrapText="1"/>
    </xf>
    <xf numFmtId="3" fontId="6" fillId="0" borderId="1" xfId="0" applyNumberFormat="1" applyFont="1" applyFill="1" applyBorder="1" applyProtection="1">
      <protection locked="0"/>
    </xf>
    <xf numFmtId="3" fontId="6" fillId="0" borderId="1" xfId="0" applyNumberFormat="1" applyFont="1" applyFill="1" applyBorder="1" applyProtection="1"/>
    <xf numFmtId="0" fontId="6" fillId="0" borderId="11" xfId="0" applyFont="1" applyBorder="1"/>
    <xf numFmtId="3" fontId="6" fillId="0" borderId="2" xfId="0" applyNumberFormat="1" applyFont="1" applyFill="1" applyBorder="1" applyProtection="1"/>
    <xf numFmtId="3" fontId="6" fillId="0" borderId="7" xfId="0" applyNumberFormat="1" applyFont="1" applyBorder="1"/>
    <xf numFmtId="3" fontId="8" fillId="0" borderId="0" xfId="0" applyNumberFormat="1" applyFont="1" applyProtection="1">
      <protection hidden="1"/>
    </xf>
    <xf numFmtId="0" fontId="5" fillId="0" borderId="0" xfId="0" applyFont="1" applyBorder="1" applyAlignment="1">
      <alignment horizontal="center" shrinkToFit="1"/>
    </xf>
    <xf numFmtId="0" fontId="9" fillId="0" borderId="39" xfId="0" applyFont="1" applyBorder="1" applyAlignment="1">
      <alignment horizontal="center"/>
    </xf>
    <xf numFmtId="49" fontId="9" fillId="0" borderId="9" xfId="0" quotePrefix="1" applyNumberFormat="1" applyFont="1" applyBorder="1" applyAlignment="1">
      <alignment horizontal="center"/>
    </xf>
    <xf numFmtId="0" fontId="5" fillId="0" borderId="10" xfId="0" applyFont="1" applyBorder="1" applyAlignment="1">
      <alignment horizontal="center"/>
    </xf>
    <xf numFmtId="0" fontId="5" fillId="0" borderId="6" xfId="0" applyFont="1" applyBorder="1" applyAlignment="1">
      <alignment horizontal="center"/>
    </xf>
    <xf numFmtId="0" fontId="5" fillId="0" borderId="39" xfId="0" applyFont="1" applyBorder="1" applyAlignment="1">
      <alignment horizontal="center"/>
    </xf>
    <xf numFmtId="49" fontId="5" fillId="0" borderId="9" xfId="0" quotePrefix="1" applyNumberFormat="1" applyFont="1" applyBorder="1" applyAlignment="1">
      <alignment horizontal="center"/>
    </xf>
    <xf numFmtId="3" fontId="6" fillId="0" borderId="6" xfId="0" applyNumberFormat="1" applyFont="1" applyBorder="1" applyProtection="1">
      <protection locked="0"/>
    </xf>
    <xf numFmtId="0" fontId="6" fillId="0" borderId="10" xfId="0" applyFont="1" applyBorder="1" applyAlignment="1">
      <alignment horizontal="left" wrapText="1"/>
    </xf>
    <xf numFmtId="0" fontId="6" fillId="3" borderId="6" xfId="0" applyFont="1" applyFill="1" applyBorder="1"/>
    <xf numFmtId="10" fontId="6" fillId="0" borderId="6" xfId="0" applyNumberFormat="1" applyFont="1" applyBorder="1" applyProtection="1"/>
    <xf numFmtId="0" fontId="5" fillId="0" borderId="10" xfId="0" applyFont="1" applyBorder="1" applyAlignment="1">
      <alignment wrapText="1"/>
    </xf>
    <xf numFmtId="10" fontId="6" fillId="0" borderId="6" xfId="0" applyNumberFormat="1" applyFont="1" applyBorder="1" applyProtection="1">
      <protection locked="0"/>
    </xf>
    <xf numFmtId="4" fontId="6" fillId="0" borderId="7" xfId="0" applyNumberFormat="1" applyFont="1" applyBorder="1" applyProtection="1">
      <protection locked="0"/>
    </xf>
    <xf numFmtId="3" fontId="5" fillId="0" borderId="12" xfId="0" applyNumberFormat="1" applyFont="1" applyBorder="1" applyAlignment="1">
      <alignment horizontal="center" vertical="center"/>
    </xf>
    <xf numFmtId="3" fontId="6" fillId="0" borderId="17" xfId="0" applyNumberFormat="1" applyFont="1" applyBorder="1"/>
    <xf numFmtId="3" fontId="6" fillId="0" borderId="4" xfId="0" applyNumberFormat="1" applyFont="1" applyBorder="1"/>
    <xf numFmtId="3" fontId="6" fillId="0" borderId="6" xfId="0" applyNumberFormat="1" applyFont="1" applyBorder="1" applyProtection="1"/>
    <xf numFmtId="3" fontId="5" fillId="0" borderId="40" xfId="0" applyNumberFormat="1" applyFont="1" applyBorder="1" applyAlignment="1" applyProtection="1">
      <alignment horizontal="center" vertical="top"/>
    </xf>
    <xf numFmtId="3" fontId="5" fillId="0" borderId="40" xfId="0" quotePrefix="1" applyNumberFormat="1" applyFont="1" applyBorder="1" applyAlignment="1" applyProtection="1">
      <alignment horizontal="center" vertical="top"/>
    </xf>
    <xf numFmtId="3" fontId="5" fillId="0" borderId="41" xfId="0" quotePrefix="1" applyNumberFormat="1" applyFont="1" applyBorder="1" applyAlignment="1" applyProtection="1">
      <alignment horizontal="center" vertical="top"/>
    </xf>
    <xf numFmtId="3" fontId="5" fillId="0" borderId="35" xfId="0" quotePrefix="1" applyNumberFormat="1" applyFont="1" applyBorder="1" applyAlignment="1" applyProtection="1">
      <alignment horizontal="center" vertical="top"/>
    </xf>
    <xf numFmtId="3" fontId="5" fillId="0" borderId="0" xfId="0" applyNumberFormat="1" applyFont="1" applyBorder="1" applyAlignment="1">
      <alignment horizontal="centerContinuous" wrapText="1"/>
    </xf>
    <xf numFmtId="3" fontId="6" fillId="0" borderId="42" xfId="0" applyNumberFormat="1" applyFont="1" applyBorder="1"/>
    <xf numFmtId="3" fontId="6" fillId="0" borderId="43" xfId="0" applyNumberFormat="1" applyFont="1" applyBorder="1"/>
    <xf numFmtId="0" fontId="12" fillId="0" borderId="0" xfId="0" applyFont="1" applyProtection="1">
      <protection hidden="1"/>
    </xf>
    <xf numFmtId="0" fontId="5" fillId="0" borderId="39" xfId="0" applyFont="1" applyBorder="1" applyAlignment="1">
      <alignment horizontal="left"/>
    </xf>
    <xf numFmtId="0" fontId="5" fillId="0" borderId="19" xfId="0" applyFont="1" applyBorder="1" applyAlignment="1">
      <alignment horizontal="left"/>
    </xf>
    <xf numFmtId="0" fontId="6" fillId="0" borderId="43" xfId="0" applyFont="1" applyBorder="1"/>
    <xf numFmtId="0" fontId="6" fillId="0" borderId="19" xfId="0" applyFont="1" applyBorder="1"/>
    <xf numFmtId="0" fontId="6" fillId="0" borderId="19" xfId="0" applyFont="1" applyBorder="1" applyAlignment="1">
      <alignment wrapText="1"/>
    </xf>
    <xf numFmtId="3" fontId="6" fillId="0" borderId="43" xfId="0" applyNumberFormat="1" applyFont="1" applyBorder="1" applyProtection="1">
      <protection locked="0"/>
    </xf>
    <xf numFmtId="0" fontId="6" fillId="0" borderId="19" xfId="0" applyFont="1" applyBorder="1" applyAlignment="1">
      <alignment horizontal="left" wrapText="1" indent="2"/>
    </xf>
    <xf numFmtId="3" fontId="6" fillId="0" borderId="43" xfId="0" applyNumberFormat="1" applyFont="1" applyBorder="1" applyAlignment="1" applyProtection="1">
      <alignment wrapText="1"/>
      <protection locked="0"/>
    </xf>
    <xf numFmtId="0" fontId="5" fillId="0" borderId="19" xfId="0" applyFont="1" applyBorder="1"/>
    <xf numFmtId="3" fontId="6" fillId="0" borderId="43" xfId="0" applyNumberFormat="1" applyFont="1" applyBorder="1" applyProtection="1"/>
    <xf numFmtId="3" fontId="6" fillId="0" borderId="43" xfId="0" applyNumberFormat="1" applyFont="1" applyBorder="1" applyAlignment="1" applyProtection="1">
      <alignment horizontal="centerContinuous"/>
    </xf>
    <xf numFmtId="0" fontId="6" fillId="0" borderId="19" xfId="1" applyNumberFormat="1" applyFont="1" applyBorder="1"/>
    <xf numFmtId="0" fontId="5" fillId="0" borderId="9" xfId="0" applyFont="1" applyBorder="1" applyAlignment="1">
      <alignment horizontal="center"/>
    </xf>
    <xf numFmtId="0" fontId="5" fillId="0" borderId="10" xfId="0" quotePrefix="1" applyFont="1" applyBorder="1" applyAlignment="1">
      <alignment horizontal="left"/>
    </xf>
    <xf numFmtId="3" fontId="6" fillId="4" borderId="6" xfId="0" applyNumberFormat="1" applyFont="1" applyFill="1" applyBorder="1"/>
    <xf numFmtId="3" fontId="6" fillId="3" borderId="6" xfId="0" applyNumberFormat="1" applyFont="1" applyFill="1" applyBorder="1"/>
    <xf numFmtId="3" fontId="6" fillId="0" borderId="6" xfId="0" applyNumberFormat="1" applyFont="1" applyFill="1" applyBorder="1"/>
    <xf numFmtId="0" fontId="6" fillId="0" borderId="10" xfId="0" quotePrefix="1" applyFont="1" applyBorder="1" applyAlignment="1">
      <alignment horizontal="left" vertical="top"/>
    </xf>
    <xf numFmtId="0" fontId="6" fillId="0" borderId="10" xfId="0" quotePrefix="1" applyFont="1" applyBorder="1" applyAlignment="1">
      <alignment horizontal="left" indent="1"/>
    </xf>
    <xf numFmtId="0" fontId="5" fillId="0" borderId="10" xfId="0" applyFont="1" applyBorder="1" applyAlignment="1">
      <alignment horizontal="left" wrapText="1" indent="2"/>
    </xf>
    <xf numFmtId="0" fontId="6" fillId="0" borderId="10" xfId="0" applyFont="1" applyBorder="1" applyAlignment="1">
      <alignment horizontal="left"/>
    </xf>
    <xf numFmtId="0" fontId="5" fillId="0" borderId="11" xfId="0" applyFont="1" applyBorder="1"/>
    <xf numFmtId="3" fontId="6" fillId="4" borderId="7" xfId="0" applyNumberFormat="1" applyFont="1" applyFill="1" applyBorder="1"/>
    <xf numFmtId="0" fontId="9" fillId="0" borderId="10" xfId="0" applyFont="1" applyBorder="1"/>
    <xf numFmtId="0" fontId="11" fillId="3" borderId="6" xfId="0" applyFont="1" applyFill="1" applyBorder="1" applyProtection="1"/>
    <xf numFmtId="0" fontId="11" fillId="0" borderId="10" xfId="0" applyFont="1" applyFill="1" applyBorder="1" applyAlignment="1"/>
    <xf numFmtId="3" fontId="11" fillId="0" borderId="6" xfId="0" applyNumberFormat="1" applyFont="1" applyBorder="1" applyProtection="1"/>
    <xf numFmtId="0" fontId="11" fillId="0" borderId="10" xfId="0" applyFont="1" applyBorder="1"/>
    <xf numFmtId="3" fontId="11" fillId="3" borderId="6" xfId="0" applyNumberFormat="1" applyFont="1" applyFill="1" applyBorder="1" applyProtection="1"/>
    <xf numFmtId="0" fontId="11" fillId="0" borderId="10" xfId="0" applyFont="1" applyFill="1" applyBorder="1" applyAlignment="1">
      <alignment horizontal="left"/>
    </xf>
    <xf numFmtId="0" fontId="11" fillId="0" borderId="10" xfId="0" quotePrefix="1" applyFont="1" applyBorder="1" applyAlignment="1">
      <alignment horizontal="left" vertical="top"/>
    </xf>
    <xf numFmtId="0" fontId="11" fillId="0" borderId="10" xfId="0" quotePrefix="1" applyFont="1" applyBorder="1" applyAlignment="1">
      <alignment horizontal="left"/>
    </xf>
    <xf numFmtId="3" fontId="11" fillId="4" borderId="6" xfId="0" applyNumberFormat="1" applyFont="1" applyFill="1" applyBorder="1" applyProtection="1"/>
    <xf numFmtId="3" fontId="11" fillId="8" borderId="6" xfId="0" applyNumberFormat="1" applyFont="1" applyFill="1" applyBorder="1" applyProtection="1"/>
    <xf numFmtId="0" fontId="9" fillId="0" borderId="10" xfId="0" quotePrefix="1" applyFont="1" applyBorder="1" applyAlignment="1">
      <alignment horizontal="left"/>
    </xf>
    <xf numFmtId="0" fontId="9" fillId="0" borderId="11" xfId="0" applyFont="1" applyBorder="1"/>
    <xf numFmtId="3" fontId="11" fillId="0" borderId="7" xfId="0" applyNumberFormat="1" applyFont="1" applyBorder="1" applyProtection="1"/>
    <xf numFmtId="0" fontId="4" fillId="0" borderId="1" xfId="0" applyFont="1" applyBorder="1" applyAlignment="1" applyProtection="1">
      <alignment horizontal="right" vertical="center"/>
    </xf>
    <xf numFmtId="3" fontId="4" fillId="0" borderId="1" xfId="0" applyNumberFormat="1" applyFont="1" applyBorder="1" applyAlignment="1" applyProtection="1">
      <alignment horizontal="centerContinuous"/>
    </xf>
    <xf numFmtId="0" fontId="3" fillId="0" borderId="1" xfId="0" applyFont="1" applyBorder="1" applyAlignment="1" applyProtection="1">
      <alignment wrapText="1"/>
    </xf>
    <xf numFmtId="0" fontId="4" fillId="0" borderId="39" xfId="0" applyFont="1" applyBorder="1" applyAlignment="1" applyProtection="1"/>
    <xf numFmtId="0" fontId="4" fillId="0" borderId="8" xfId="0" applyFont="1" applyBorder="1" applyAlignment="1" applyProtection="1">
      <alignment horizontal="center" vertical="center"/>
    </xf>
    <xf numFmtId="9" fontId="3" fillId="0" borderId="8" xfId="2" applyFont="1" applyBorder="1" applyAlignment="1" applyProtection="1">
      <alignment horizontal="center" vertical="center"/>
    </xf>
    <xf numFmtId="0" fontId="4" fillId="0" borderId="10" xfId="0" applyFont="1" applyBorder="1" applyAlignment="1" applyProtection="1"/>
    <xf numFmtId="0" fontId="4" fillId="0" borderId="10" xfId="0" applyFont="1" applyBorder="1" applyAlignment="1" applyProtection="1">
      <alignment horizontal="center"/>
    </xf>
    <xf numFmtId="0" fontId="4" fillId="0" borderId="10" xfId="0" applyFont="1" applyBorder="1" applyAlignment="1" applyProtection="1">
      <alignment horizontal="centerContinuous"/>
    </xf>
    <xf numFmtId="0" fontId="4" fillId="0" borderId="10" xfId="0" applyFont="1" applyBorder="1" applyAlignment="1" applyProtection="1">
      <alignment horizontal="left" vertical="top"/>
    </xf>
    <xf numFmtId="0" fontId="4" fillId="0" borderId="10" xfId="0" applyFont="1" applyBorder="1" applyAlignment="1" applyProtection="1">
      <alignment horizontal="right" vertical="top"/>
    </xf>
    <xf numFmtId="3" fontId="3" fillId="5" borderId="6" xfId="0" applyNumberFormat="1" applyFont="1" applyFill="1" applyBorder="1" applyAlignment="1" applyProtection="1">
      <alignment horizontal="right" vertical="top"/>
      <protection locked="0"/>
    </xf>
    <xf numFmtId="0" fontId="4" fillId="0" borderId="11" xfId="0" applyFont="1" applyBorder="1" applyAlignment="1" applyProtection="1">
      <alignment horizontal="left" vertical="top"/>
    </xf>
    <xf numFmtId="0" fontId="3" fillId="0" borderId="2" xfId="0" applyFont="1" applyBorder="1" applyAlignment="1" applyProtection="1">
      <alignment wrapText="1"/>
    </xf>
    <xf numFmtId="3" fontId="4" fillId="0" borderId="1" xfId="0" applyNumberFormat="1" applyFont="1" applyBorder="1" applyAlignment="1" applyProtection="1">
      <alignment horizontal="center"/>
    </xf>
    <xf numFmtId="9" fontId="3" fillId="0" borderId="1" xfId="0" applyNumberFormat="1" applyFont="1" applyBorder="1" applyAlignment="1" applyProtection="1">
      <alignment horizontal="center" vertical="center"/>
    </xf>
    <xf numFmtId="3" fontId="3" fillId="2" borderId="1" xfId="0" applyNumberFormat="1" applyFont="1" applyFill="1" applyBorder="1" applyAlignment="1" applyProtection="1">
      <alignment horizontal="center" vertical="center"/>
    </xf>
    <xf numFmtId="10" fontId="3" fillId="0" borderId="1" xfId="0" applyNumberFormat="1" applyFont="1" applyBorder="1" applyAlignment="1" applyProtection="1">
      <alignment horizontal="center" vertical="center"/>
    </xf>
    <xf numFmtId="9" fontId="4" fillId="0" borderId="8" xfId="0" applyNumberFormat="1" applyFont="1" applyBorder="1" applyAlignment="1" applyProtection="1">
      <alignment horizontal="center"/>
    </xf>
    <xf numFmtId="0" fontId="3" fillId="0" borderId="10" xfId="0" applyFont="1" applyBorder="1" applyAlignment="1" applyProtection="1">
      <alignment horizontal="left" wrapText="1"/>
    </xf>
    <xf numFmtId="0" fontId="3" fillId="0" borderId="10" xfId="0" applyFont="1" applyBorder="1" applyAlignment="1" applyProtection="1">
      <alignment horizontal="right" wrapText="1"/>
    </xf>
    <xf numFmtId="0" fontId="3" fillId="0" borderId="11" xfId="0" applyFont="1" applyBorder="1" applyAlignment="1" applyProtection="1">
      <alignment horizontal="left" wrapText="1"/>
    </xf>
    <xf numFmtId="3" fontId="3" fillId="2" borderId="2" xfId="0" applyNumberFormat="1" applyFont="1" applyFill="1" applyBorder="1" applyAlignment="1" applyProtection="1">
      <alignment horizontal="center" vertical="center"/>
    </xf>
    <xf numFmtId="0" fontId="4" fillId="0" borderId="39" xfId="0" applyFont="1" applyBorder="1" applyAlignment="1">
      <alignment horizontal="center"/>
    </xf>
    <xf numFmtId="49" fontId="4" fillId="0" borderId="9" xfId="0" quotePrefix="1" applyNumberFormat="1" applyFont="1" applyBorder="1" applyAlignment="1">
      <alignment horizontal="center"/>
    </xf>
    <xf numFmtId="165" fontId="3" fillId="5" borderId="6" xfId="0" applyNumberFormat="1" applyFont="1" applyFill="1" applyBorder="1" applyProtection="1">
      <protection locked="0"/>
    </xf>
    <xf numFmtId="3" fontId="3" fillId="6" borderId="10" xfId="0" applyNumberFormat="1" applyFont="1" applyFill="1" applyBorder="1" applyAlignment="1">
      <alignment horizontal="center"/>
    </xf>
    <xf numFmtId="3" fontId="3" fillId="6" borderId="6" xfId="0" applyNumberFormat="1" applyFont="1" applyFill="1" applyBorder="1"/>
    <xf numFmtId="3" fontId="3" fillId="0" borderId="10" xfId="0" applyNumberFormat="1" applyFont="1" applyBorder="1" applyAlignment="1">
      <alignment horizontal="center"/>
    </xf>
    <xf numFmtId="3" fontId="3" fillId="6" borderId="6" xfId="0" applyNumberFormat="1" applyFont="1" applyFill="1" applyBorder="1" applyProtection="1"/>
    <xf numFmtId="3" fontId="3" fillId="6" borderId="2" xfId="0" applyNumberFormat="1" applyFont="1" applyFill="1" applyBorder="1" applyProtection="1"/>
    <xf numFmtId="3" fontId="5" fillId="7" borderId="18" xfId="0" applyNumberFormat="1" applyFont="1" applyFill="1" applyBorder="1" applyAlignment="1">
      <alignment horizontal="center"/>
    </xf>
    <xf numFmtId="3" fontId="6" fillId="7" borderId="43" xfId="0" applyNumberFormat="1" applyFont="1" applyFill="1" applyBorder="1"/>
    <xf numFmtId="3" fontId="5" fillId="0" borderId="10" xfId="0" applyNumberFormat="1" applyFont="1" applyBorder="1" applyAlignment="1">
      <alignment horizontal="center"/>
    </xf>
    <xf numFmtId="3" fontId="6" fillId="0" borderId="6" xfId="0" applyNumberFormat="1" applyFont="1" applyBorder="1" applyAlignment="1" applyProtection="1">
      <alignment horizontal="right"/>
      <protection locked="0"/>
    </xf>
    <xf numFmtId="3" fontId="6" fillId="0" borderId="0" xfId="0" applyNumberFormat="1" applyFont="1" applyBorder="1" applyAlignment="1">
      <alignment horizontal="center"/>
    </xf>
    <xf numFmtId="3" fontId="5" fillId="0" borderId="0" xfId="0" quotePrefix="1" applyNumberFormat="1" applyFont="1" applyBorder="1" applyAlignment="1">
      <alignment horizontal="left"/>
    </xf>
    <xf numFmtId="0" fontId="6" fillId="0" borderId="39" xfId="0" applyFont="1" applyBorder="1"/>
    <xf numFmtId="0" fontId="6" fillId="0" borderId="8" xfId="0" applyFont="1" applyBorder="1"/>
    <xf numFmtId="0" fontId="6" fillId="0" borderId="2" xfId="0" applyFont="1" applyBorder="1"/>
    <xf numFmtId="3" fontId="6" fillId="0" borderId="6" xfId="0" applyNumberFormat="1" applyFont="1" applyBorder="1" applyAlignment="1" applyProtection="1">
      <alignment horizontal="right" vertical="top"/>
      <protection locked="0"/>
    </xf>
    <xf numFmtId="3" fontId="6" fillId="0" borderId="34" xfId="0" applyNumberFormat="1" applyFont="1" applyBorder="1" applyProtection="1">
      <protection hidden="1"/>
    </xf>
    <xf numFmtId="3" fontId="5" fillId="0" borderId="33" xfId="0" applyNumberFormat="1" applyFont="1" applyBorder="1" applyAlignment="1">
      <alignment horizontal="centerContinuous"/>
    </xf>
    <xf numFmtId="0" fontId="5" fillId="0" borderId="34" xfId="0" applyFont="1" applyBorder="1" applyAlignment="1"/>
    <xf numFmtId="3" fontId="5" fillId="0" borderId="33" xfId="0" applyNumberFormat="1" applyFont="1" applyBorder="1" applyAlignment="1">
      <alignment horizontal="center" vertical="top" wrapText="1"/>
    </xf>
    <xf numFmtId="0" fontId="5" fillId="0" borderId="34" xfId="0" applyNumberFormat="1" applyFont="1" applyBorder="1" applyAlignment="1">
      <alignment horizontal="center" vertical="top" wrapText="1"/>
    </xf>
    <xf numFmtId="0" fontId="5" fillId="0" borderId="34" xfId="0" applyFont="1" applyBorder="1" applyAlignment="1">
      <alignment horizontal="center"/>
    </xf>
    <xf numFmtId="3" fontId="6" fillId="0" borderId="33" xfId="0" applyNumberFormat="1" applyFont="1" applyBorder="1" applyProtection="1"/>
    <xf numFmtId="3" fontId="5" fillId="0" borderId="52" xfId="0" applyNumberFormat="1" applyFont="1" applyBorder="1" applyAlignment="1">
      <alignment wrapText="1"/>
    </xf>
    <xf numFmtId="3" fontId="5" fillId="0" borderId="52" xfId="0" applyNumberFormat="1" applyFont="1" applyBorder="1" applyAlignment="1">
      <alignment horizontal="center" wrapText="1"/>
    </xf>
    <xf numFmtId="3" fontId="5" fillId="0" borderId="45" xfId="0" applyNumberFormat="1" applyFont="1" applyBorder="1" applyAlignment="1">
      <alignment horizontal="center" wrapText="1"/>
    </xf>
    <xf numFmtId="3" fontId="6" fillId="0" borderId="49" xfId="0" applyNumberFormat="1" applyFont="1" applyBorder="1" applyAlignment="1">
      <alignment wrapText="1"/>
    </xf>
    <xf numFmtId="3" fontId="6" fillId="0" borderId="53" xfId="0" applyNumberFormat="1" applyFont="1" applyBorder="1" applyAlignment="1">
      <alignment wrapText="1"/>
    </xf>
    <xf numFmtId="3" fontId="5" fillId="0" borderId="35" xfId="0" applyNumberFormat="1" applyFont="1" applyBorder="1"/>
    <xf numFmtId="3" fontId="5" fillId="0" borderId="40" xfId="0" applyNumberFormat="1" applyFont="1" applyBorder="1" applyAlignment="1">
      <alignment horizontal="left"/>
    </xf>
    <xf numFmtId="3" fontId="5" fillId="0" borderId="40" xfId="0" applyNumberFormat="1" applyFont="1" applyBorder="1" applyAlignment="1">
      <alignment horizontal="left" vertical="top"/>
    </xf>
    <xf numFmtId="3" fontId="5" fillId="0" borderId="9" xfId="0" applyNumberFormat="1" applyFont="1" applyBorder="1" applyAlignment="1">
      <alignment horizontal="center"/>
    </xf>
    <xf numFmtId="49" fontId="6" fillId="5" borderId="6" xfId="0" applyNumberFormat="1" applyFont="1" applyFill="1" applyBorder="1" applyAlignment="1" applyProtection="1">
      <alignment horizontal="center"/>
      <protection locked="0"/>
    </xf>
    <xf numFmtId="3" fontId="6" fillId="5" borderId="6" xfId="0" applyNumberFormat="1" applyFont="1" applyFill="1" applyBorder="1" applyAlignment="1" applyProtection="1">
      <alignment horizontal="center"/>
      <protection locked="0"/>
    </xf>
    <xf numFmtId="3" fontId="5" fillId="0" borderId="6" xfId="0" applyNumberFormat="1" applyFont="1" applyBorder="1" applyAlignment="1">
      <alignment horizontal="center"/>
    </xf>
    <xf numFmtId="3" fontId="6" fillId="5" borderId="6" xfId="0" applyNumberFormat="1" applyFont="1" applyFill="1" applyBorder="1" applyProtection="1">
      <protection locked="0"/>
    </xf>
    <xf numFmtId="3" fontId="6" fillId="5" borderId="7" xfId="0" applyNumberFormat="1" applyFont="1" applyFill="1" applyBorder="1" applyProtection="1">
      <protection locked="0"/>
    </xf>
    <xf numFmtId="0" fontId="5" fillId="0" borderId="0" xfId="0" applyFont="1" applyBorder="1" applyAlignment="1">
      <alignment horizontal="left" vertical="center"/>
    </xf>
    <xf numFmtId="3" fontId="5" fillId="0" borderId="14" xfId="0" applyNumberFormat="1" applyFont="1" applyBorder="1"/>
    <xf numFmtId="3" fontId="5" fillId="0" borderId="63" xfId="0" applyNumberFormat="1" applyFont="1" applyBorder="1" applyAlignment="1">
      <alignment horizontal="center"/>
    </xf>
    <xf numFmtId="3" fontId="5" fillId="0" borderId="1" xfId="0" applyNumberFormat="1" applyFont="1" applyBorder="1" applyAlignment="1">
      <alignment horizontal="center" vertical="top" wrapText="1"/>
    </xf>
    <xf numFmtId="3" fontId="5" fillId="0" borderId="1" xfId="0" applyNumberFormat="1" applyFont="1" applyBorder="1" applyAlignment="1">
      <alignment horizontal="center"/>
    </xf>
    <xf numFmtId="3" fontId="5" fillId="0" borderId="8" xfId="0" applyNumberFormat="1" applyFont="1" applyBorder="1" applyAlignment="1">
      <alignment horizontal="centerContinuous"/>
    </xf>
    <xf numFmtId="0" fontId="5" fillId="0" borderId="8" xfId="0" applyFont="1" applyBorder="1" applyAlignment="1">
      <alignment horizontal="centerContinuous"/>
    </xf>
    <xf numFmtId="3" fontId="5" fillId="0" borderId="9" xfId="0" applyNumberFormat="1" applyFont="1" applyBorder="1" applyAlignment="1">
      <alignment horizontal="right"/>
    </xf>
    <xf numFmtId="3" fontId="5" fillId="0" borderId="6" xfId="0" applyNumberFormat="1" applyFont="1" applyBorder="1" applyAlignment="1">
      <alignment horizontal="center" vertical="top" wrapText="1"/>
    </xf>
    <xf numFmtId="3" fontId="5" fillId="0" borderId="64" xfId="0" applyNumberFormat="1" applyFont="1" applyBorder="1" applyAlignment="1">
      <alignment horizontal="center"/>
    </xf>
    <xf numFmtId="3" fontId="5" fillId="0" borderId="19" xfId="0" applyNumberFormat="1" applyFont="1" applyBorder="1" applyAlignment="1">
      <alignment horizontal="center"/>
    </xf>
    <xf numFmtId="0" fontId="6" fillId="0" borderId="65" xfId="0" applyFont="1" applyBorder="1" applyAlignment="1" applyProtection="1">
      <alignment wrapText="1"/>
    </xf>
    <xf numFmtId="0" fontId="6" fillId="0" borderId="65" xfId="0" quotePrefix="1" applyFont="1" applyBorder="1" applyAlignment="1" applyProtection="1">
      <alignment horizontal="left" wrapText="1"/>
    </xf>
    <xf numFmtId="0" fontId="6" fillId="0" borderId="65" xfId="0" applyFont="1" applyBorder="1" applyProtection="1"/>
    <xf numFmtId="0" fontId="6" fillId="0" borderId="50" xfId="0" applyFont="1" applyBorder="1" applyProtection="1"/>
    <xf numFmtId="3" fontId="5" fillId="0" borderId="35" xfId="0" applyNumberFormat="1" applyFont="1" applyBorder="1" applyProtection="1"/>
    <xf numFmtId="0" fontId="5" fillId="0" borderId="39" xfId="0" applyFont="1" applyBorder="1"/>
    <xf numFmtId="3" fontId="6" fillId="0" borderId="8" xfId="0" applyNumberFormat="1" applyFont="1" applyBorder="1" applyProtection="1">
      <protection locked="0"/>
    </xf>
    <xf numFmtId="3" fontId="6" fillId="0" borderId="9" xfId="0" applyNumberFormat="1" applyFont="1" applyBorder="1" applyProtection="1"/>
    <xf numFmtId="3" fontId="6" fillId="0" borderId="2" xfId="0" applyNumberFormat="1" applyFont="1" applyBorder="1" applyProtection="1">
      <protection locked="0"/>
    </xf>
    <xf numFmtId="3" fontId="6" fillId="0" borderId="7" xfId="0" applyNumberFormat="1" applyFont="1" applyBorder="1" applyProtection="1"/>
    <xf numFmtId="3" fontId="6" fillId="4" borderId="1" xfId="0" applyNumberFormat="1" applyFont="1" applyFill="1" applyBorder="1"/>
    <xf numFmtId="3" fontId="6" fillId="0" borderId="1" xfId="0" applyNumberFormat="1" applyFont="1" applyFill="1" applyBorder="1" applyAlignment="1" applyProtection="1"/>
    <xf numFmtId="3" fontId="6" fillId="0" borderId="6" xfId="0" applyNumberFormat="1" applyFont="1" applyFill="1" applyBorder="1" applyAlignment="1" applyProtection="1"/>
    <xf numFmtId="0" fontId="6" fillId="0" borderId="0" xfId="0" quotePrefix="1" applyFont="1" applyBorder="1" applyAlignment="1" applyProtection="1">
      <alignment horizontal="left"/>
      <protection hidden="1"/>
    </xf>
    <xf numFmtId="1" fontId="3" fillId="0" borderId="1" xfId="0" applyNumberFormat="1" applyFont="1" applyBorder="1"/>
    <xf numFmtId="1" fontId="3" fillId="0" borderId="6" xfId="0" applyNumberFormat="1" applyFont="1" applyBorder="1"/>
    <xf numFmtId="1" fontId="7" fillId="0" borderId="6" xfId="0" applyNumberFormat="1" applyFont="1" applyBorder="1" applyProtection="1">
      <protection hidden="1"/>
    </xf>
    <xf numFmtId="1" fontId="3" fillId="3" borderId="1" xfId="0" applyNumberFormat="1" applyFont="1" applyFill="1" applyBorder="1"/>
    <xf numFmtId="1" fontId="7" fillId="3" borderId="6" xfId="0" applyNumberFormat="1" applyFont="1" applyFill="1" applyBorder="1" applyProtection="1">
      <protection hidden="1"/>
    </xf>
    <xf numFmtId="3" fontId="6" fillId="3" borderId="3" xfId="0" applyNumberFormat="1" applyFont="1" applyFill="1" applyBorder="1" applyProtection="1">
      <protection locked="0"/>
    </xf>
    <xf numFmtId="3" fontId="11" fillId="0" borderId="6" xfId="0" applyNumberFormat="1" applyFont="1" applyBorder="1" applyProtection="1">
      <protection locked="0"/>
    </xf>
    <xf numFmtId="3" fontId="3" fillId="0" borderId="1" xfId="0" applyNumberFormat="1" applyFont="1" applyBorder="1" applyAlignment="1" applyProtection="1">
      <alignment wrapText="1"/>
      <protection locked="0"/>
    </xf>
    <xf numFmtId="3" fontId="3" fillId="0" borderId="6" xfId="0" applyNumberFormat="1" applyFont="1" applyBorder="1" applyProtection="1">
      <protection locked="0"/>
    </xf>
    <xf numFmtId="3" fontId="6" fillId="0" borderId="1" xfId="0" applyNumberFormat="1" applyFont="1" applyBorder="1" applyProtection="1">
      <protection locked="0"/>
    </xf>
    <xf numFmtId="10" fontId="3" fillId="0" borderId="1" xfId="2" applyNumberFormat="1" applyFont="1" applyBorder="1" applyProtection="1">
      <protection locked="0"/>
    </xf>
    <xf numFmtId="0" fontId="3" fillId="0" borderId="0" xfId="0" applyFont="1" applyProtection="1">
      <protection locked="0"/>
    </xf>
    <xf numFmtId="1" fontId="3" fillId="0" borderId="1" xfId="0" applyNumberFormat="1" applyFont="1" applyBorder="1" applyProtection="1">
      <protection locked="0"/>
    </xf>
    <xf numFmtId="1" fontId="3" fillId="0" borderId="6" xfId="0" applyNumberFormat="1" applyFont="1" applyBorder="1" applyProtection="1">
      <protection locked="0"/>
    </xf>
    <xf numFmtId="0" fontId="6" fillId="0" borderId="8" xfId="0" applyFont="1" applyBorder="1" applyProtection="1">
      <protection locked="0"/>
    </xf>
    <xf numFmtId="0" fontId="6" fillId="0" borderId="2" xfId="0" applyFont="1" applyBorder="1" applyProtection="1">
      <protection locked="0"/>
    </xf>
    <xf numFmtId="0" fontId="6" fillId="0" borderId="0" xfId="0" applyFont="1" applyProtection="1">
      <protection locked="0"/>
    </xf>
    <xf numFmtId="3" fontId="6" fillId="3" borderId="6" xfId="0" applyNumberFormat="1" applyFont="1" applyFill="1" applyBorder="1" applyProtection="1">
      <protection locked="0"/>
    </xf>
    <xf numFmtId="3" fontId="3" fillId="2" borderId="1" xfId="0" applyNumberFormat="1" applyFont="1" applyFill="1" applyBorder="1" applyAlignment="1" applyProtection="1">
      <alignment horizontal="right" vertical="top"/>
      <protection locked="0"/>
    </xf>
    <xf numFmtId="3" fontId="3" fillId="5" borderId="1" xfId="0" applyNumberFormat="1" applyFont="1" applyFill="1" applyBorder="1" applyProtection="1">
      <protection locked="0"/>
    </xf>
    <xf numFmtId="9" fontId="3" fillId="0" borderId="1" xfId="0" applyNumberFormat="1" applyFont="1" applyBorder="1" applyAlignment="1" applyProtection="1">
      <alignment horizontal="center" vertical="center"/>
      <protection locked="0"/>
    </xf>
    <xf numFmtId="3" fontId="3" fillId="2" borderId="1" xfId="0" applyNumberFormat="1" applyFont="1" applyFill="1" applyBorder="1" applyAlignment="1" applyProtection="1">
      <alignment horizontal="center" vertical="center"/>
      <protection locked="0"/>
    </xf>
    <xf numFmtId="3" fontId="6" fillId="4" borderId="1" xfId="0" applyNumberFormat="1" applyFont="1" applyFill="1" applyBorder="1" applyProtection="1">
      <protection locked="0"/>
    </xf>
    <xf numFmtId="3" fontId="6" fillId="0" borderId="1" xfId="0" applyNumberFormat="1" applyFont="1" applyBorder="1" applyAlignment="1" applyProtection="1">
      <alignment wrapText="1"/>
      <protection locked="0"/>
    </xf>
    <xf numFmtId="0" fontId="6" fillId="0" borderId="0" xfId="0" applyFont="1" applyBorder="1" applyProtection="1">
      <protection locked="0"/>
    </xf>
    <xf numFmtId="0" fontId="11" fillId="0" borderId="0" xfId="0" applyFont="1" applyFill="1" applyBorder="1" applyAlignment="1" applyProtection="1">
      <protection locked="0"/>
    </xf>
    <xf numFmtId="167" fontId="5" fillId="0" borderId="0" xfId="0" applyNumberFormat="1" applyFont="1" applyAlignment="1" applyProtection="1">
      <alignment horizontal="centerContinuous"/>
      <protection locked="0"/>
    </xf>
    <xf numFmtId="3" fontId="6" fillId="4" borderId="4" xfId="0" applyNumberFormat="1" applyFont="1" applyFill="1" applyBorder="1" applyProtection="1">
      <protection locked="0"/>
    </xf>
    <xf numFmtId="3" fontId="6" fillId="4" borderId="43" xfId="0" applyNumberFormat="1" applyFont="1" applyFill="1" applyBorder="1" applyProtection="1">
      <protection locked="0"/>
    </xf>
    <xf numFmtId="3" fontId="6" fillId="0" borderId="66" xfId="0" applyNumberFormat="1" applyFont="1" applyFill="1" applyBorder="1" applyProtection="1">
      <protection locked="0"/>
    </xf>
    <xf numFmtId="0" fontId="4" fillId="0" borderId="0" xfId="0" applyFont="1" applyAlignment="1" applyProtection="1">
      <alignment horizontal="centerContinuous"/>
      <protection locked="0"/>
    </xf>
    <xf numFmtId="3" fontId="3" fillId="0" borderId="0" xfId="0" applyNumberFormat="1" applyFont="1" applyAlignment="1" applyProtection="1">
      <alignment horizontal="centerContinuous"/>
      <protection locked="0"/>
    </xf>
    <xf numFmtId="3" fontId="3" fillId="0" borderId="0" xfId="0" applyNumberFormat="1" applyFont="1" applyBorder="1" applyProtection="1">
      <protection locked="0"/>
    </xf>
    <xf numFmtId="3" fontId="4" fillId="0" borderId="35" xfId="0" applyNumberFormat="1" applyFont="1" applyBorder="1" applyAlignment="1" applyProtection="1">
      <alignment horizontal="center" vertical="center"/>
      <protection locked="0"/>
    </xf>
    <xf numFmtId="3" fontId="4" fillId="0" borderId="35" xfId="0" quotePrefix="1" applyNumberFormat="1" applyFont="1" applyBorder="1" applyAlignment="1" applyProtection="1">
      <alignment horizontal="center" vertical="center" textRotation="90" wrapText="1"/>
      <protection locked="0"/>
    </xf>
    <xf numFmtId="3" fontId="4" fillId="0" borderId="35" xfId="0" applyNumberFormat="1" applyFont="1" applyBorder="1" applyAlignment="1" applyProtection="1">
      <alignment horizontal="center" vertical="center" textRotation="90" wrapText="1"/>
      <protection locked="0"/>
    </xf>
    <xf numFmtId="0" fontId="4" fillId="0" borderId="35" xfId="0" quotePrefix="1" applyFont="1" applyBorder="1" applyAlignment="1" applyProtection="1">
      <alignment horizontal="center" vertical="center" textRotation="90" wrapText="1"/>
      <protection locked="0"/>
    </xf>
    <xf numFmtId="3" fontId="4" fillId="0" borderId="23" xfId="0" applyNumberFormat="1" applyFont="1" applyBorder="1" applyProtection="1">
      <protection locked="0"/>
    </xf>
    <xf numFmtId="3" fontId="4" fillId="0" borderId="35" xfId="0" applyNumberFormat="1" applyFont="1" applyBorder="1" applyAlignment="1" applyProtection="1">
      <alignment horizontal="center"/>
      <protection locked="0"/>
    </xf>
    <xf numFmtId="3" fontId="4" fillId="0" borderId="35" xfId="0" applyNumberFormat="1" applyFont="1" applyBorder="1" applyAlignment="1" applyProtection="1">
      <alignment horizontal="center" wrapText="1"/>
      <protection locked="0"/>
    </xf>
    <xf numFmtId="3" fontId="4" fillId="0" borderId="50" xfId="0" applyNumberFormat="1" applyFont="1" applyBorder="1" applyAlignment="1" applyProtection="1">
      <alignment horizontal="center"/>
      <protection locked="0"/>
    </xf>
    <xf numFmtId="0" fontId="3" fillId="0" borderId="0" xfId="0" applyFont="1" applyBorder="1" applyProtection="1">
      <protection locked="0"/>
    </xf>
    <xf numFmtId="3" fontId="4" fillId="0" borderId="22" xfId="0" applyNumberFormat="1" applyFont="1" applyBorder="1" applyAlignment="1" applyProtection="1">
      <alignment horizontal="center"/>
      <protection locked="0"/>
    </xf>
    <xf numFmtId="49" fontId="4" fillId="0" borderId="9" xfId="0" quotePrefix="1" applyNumberFormat="1" applyFont="1" applyBorder="1" applyAlignment="1" applyProtection="1">
      <alignment horizontal="center"/>
      <protection locked="0"/>
    </xf>
    <xf numFmtId="3" fontId="3" fillId="4" borderId="6" xfId="0" applyNumberFormat="1" applyFont="1" applyFill="1" applyBorder="1" applyProtection="1">
      <protection locked="0"/>
    </xf>
    <xf numFmtId="3" fontId="4" fillId="0" borderId="0" xfId="0" applyNumberFormat="1" applyFont="1" applyBorder="1" applyAlignment="1" applyProtection="1">
      <alignment horizontal="center"/>
      <protection locked="0"/>
    </xf>
    <xf numFmtId="3" fontId="3" fillId="0" borderId="0" xfId="0" applyNumberFormat="1" applyFont="1" applyProtection="1">
      <protection locked="0"/>
    </xf>
    <xf numFmtId="0" fontId="3" fillId="0" borderId="23" xfId="0" applyFont="1" applyBorder="1" applyProtection="1">
      <protection locked="0"/>
    </xf>
    <xf numFmtId="3" fontId="3" fillId="0" borderId="0" xfId="0" applyNumberFormat="1" applyFont="1" applyFill="1" applyProtection="1">
      <protection locked="0"/>
    </xf>
    <xf numFmtId="0" fontId="3" fillId="0" borderId="0" xfId="0" applyFont="1" applyFill="1" applyProtection="1">
      <protection locked="0"/>
    </xf>
    <xf numFmtId="0" fontId="3" fillId="0" borderId="23" xfId="0" applyFont="1" applyFill="1" applyBorder="1" applyProtection="1">
      <protection locked="0"/>
    </xf>
    <xf numFmtId="0" fontId="3" fillId="0" borderId="0" xfId="0" applyFont="1" applyFill="1" applyBorder="1" applyProtection="1">
      <protection locked="0"/>
    </xf>
    <xf numFmtId="3" fontId="3" fillId="0" borderId="0" xfId="0" applyNumberFormat="1" applyFont="1" applyFill="1" applyBorder="1" applyProtection="1">
      <protection locked="0"/>
    </xf>
    <xf numFmtId="3" fontId="3" fillId="0" borderId="0" xfId="0" applyNumberFormat="1" applyFont="1" applyFill="1" applyBorder="1" applyAlignment="1" applyProtection="1">
      <alignment horizontal="right"/>
      <protection locked="0"/>
    </xf>
    <xf numFmtId="3" fontId="3" fillId="0" borderId="0" xfId="0" applyNumberFormat="1" applyFont="1" applyFill="1" applyBorder="1" applyAlignment="1" applyProtection="1">
      <alignment horizontal="right" vertical="top"/>
      <protection locked="0"/>
    </xf>
    <xf numFmtId="3" fontId="3" fillId="0" borderId="0" xfId="0" applyNumberFormat="1" applyFont="1" applyBorder="1" applyAlignment="1" applyProtection="1">
      <protection locked="0"/>
    </xf>
    <xf numFmtId="3" fontId="3" fillId="0" borderId="0" xfId="0" applyNumberFormat="1" applyFont="1" applyFill="1" applyBorder="1" applyAlignment="1" applyProtection="1">
      <protection locked="0"/>
    </xf>
    <xf numFmtId="3" fontId="3" fillId="0" borderId="0" xfId="0" applyNumberFormat="1" applyFont="1" applyBorder="1" applyAlignment="1" applyProtection="1">
      <alignment horizontal="center" vertical="center" textRotation="90" wrapText="1"/>
      <protection locked="0"/>
    </xf>
    <xf numFmtId="3" fontId="3" fillId="0" borderId="26" xfId="0" applyNumberFormat="1" applyFont="1" applyBorder="1" applyAlignment="1" applyProtection="1">
      <alignment horizontal="center" wrapText="1"/>
      <protection locked="0"/>
    </xf>
    <xf numFmtId="0" fontId="6" fillId="0" borderId="19" xfId="0" applyFont="1" applyBorder="1" applyAlignment="1">
      <alignment horizontal="right"/>
    </xf>
    <xf numFmtId="0" fontId="5" fillId="0" borderId="19" xfId="0" applyFont="1" applyBorder="1" applyAlignment="1">
      <alignment horizontal="right"/>
    </xf>
    <xf numFmtId="3" fontId="6" fillId="3" borderId="43" xfId="0" applyNumberFormat="1" applyFont="1" applyFill="1" applyBorder="1" applyProtection="1">
      <protection locked="0"/>
    </xf>
    <xf numFmtId="3" fontId="6" fillId="0" borderId="3" xfId="0" applyNumberFormat="1" applyFont="1" applyBorder="1" applyProtection="1">
      <protection locked="0"/>
    </xf>
    <xf numFmtId="3" fontId="3" fillId="0" borderId="1" xfId="0" applyNumberFormat="1" applyFont="1" applyFill="1" applyBorder="1" applyProtection="1">
      <protection locked="0"/>
    </xf>
    <xf numFmtId="0" fontId="5" fillId="0" borderId="10" xfId="0" applyFont="1" applyBorder="1" applyAlignment="1">
      <alignment horizontal="left" wrapText="1"/>
    </xf>
    <xf numFmtId="0" fontId="8" fillId="0" borderId="0" xfId="0" applyFont="1" applyBorder="1" applyProtection="1">
      <protection locked="0"/>
    </xf>
    <xf numFmtId="3" fontId="8" fillId="0" borderId="4" xfId="0" applyNumberFormat="1" applyFont="1" applyBorder="1" applyProtection="1">
      <protection locked="0"/>
    </xf>
    <xf numFmtId="3" fontId="3" fillId="0" borderId="6" xfId="0" applyNumberFormat="1" applyFont="1" applyFill="1" applyBorder="1" applyProtection="1">
      <protection locked="0"/>
    </xf>
    <xf numFmtId="3" fontId="5" fillId="0" borderId="0" xfId="0" applyNumberFormat="1" applyFont="1" applyFill="1" applyAlignment="1">
      <alignment horizontal="centerContinuous"/>
    </xf>
    <xf numFmtId="3" fontId="3" fillId="0" borderId="0" xfId="0" applyNumberFormat="1" applyFont="1" applyFill="1" applyAlignment="1">
      <alignment horizontal="centerContinuous"/>
    </xf>
    <xf numFmtId="14" fontId="3" fillId="0" borderId="0" xfId="0" applyNumberFormat="1" applyFont="1" applyFill="1" applyAlignment="1">
      <alignment horizontal="centerContinuous"/>
    </xf>
    <xf numFmtId="0" fontId="6" fillId="0" borderId="0" xfId="0" applyFont="1" applyFill="1" applyBorder="1" applyProtection="1">
      <protection locked="0"/>
    </xf>
    <xf numFmtId="3" fontId="3" fillId="0" borderId="0" xfId="0" applyNumberFormat="1" applyFont="1" applyFill="1" applyBorder="1"/>
    <xf numFmtId="14" fontId="3" fillId="0" borderId="0" xfId="0" applyNumberFormat="1" applyFont="1" applyFill="1" applyBorder="1"/>
    <xf numFmtId="3" fontId="4" fillId="0" borderId="35" xfId="0" applyNumberFormat="1" applyFont="1" applyFill="1" applyBorder="1" applyAlignment="1">
      <alignment horizontal="center" vertical="center"/>
    </xf>
    <xf numFmtId="3" fontId="4" fillId="0" borderId="35" xfId="0" quotePrefix="1" applyNumberFormat="1" applyFont="1" applyFill="1" applyBorder="1" applyAlignment="1">
      <alignment horizontal="center" vertical="center" textRotation="90" wrapText="1"/>
    </xf>
    <xf numFmtId="14" fontId="4" fillId="0" borderId="35" xfId="0" applyNumberFormat="1" applyFont="1" applyFill="1" applyBorder="1" applyAlignment="1">
      <alignment horizontal="center" vertical="center" textRotation="90" wrapText="1"/>
    </xf>
    <xf numFmtId="0" fontId="4" fillId="0" borderId="35" xfId="0" quotePrefix="1" applyFont="1" applyFill="1" applyBorder="1" applyAlignment="1">
      <alignment horizontal="center" vertical="center" textRotation="90" wrapText="1"/>
    </xf>
    <xf numFmtId="3" fontId="4" fillId="0" borderId="35" xfId="0" applyNumberFormat="1" applyFont="1" applyFill="1" applyBorder="1" applyAlignment="1">
      <alignment horizontal="center" vertical="center" textRotation="90" wrapText="1"/>
    </xf>
    <xf numFmtId="3" fontId="4" fillId="0" borderId="23" xfId="0" applyNumberFormat="1" applyFont="1" applyFill="1" applyBorder="1"/>
    <xf numFmtId="3" fontId="4" fillId="0" borderId="35" xfId="0" applyNumberFormat="1" applyFont="1" applyFill="1" applyBorder="1" applyAlignment="1">
      <alignment horizontal="center"/>
    </xf>
    <xf numFmtId="3" fontId="4" fillId="0" borderId="35" xfId="0" applyNumberFormat="1" applyFont="1" applyFill="1" applyBorder="1" applyAlignment="1">
      <alignment horizontal="center" wrapText="1"/>
    </xf>
    <xf numFmtId="14" fontId="4" fillId="0" borderId="35" xfId="0" applyNumberFormat="1" applyFont="1" applyFill="1" applyBorder="1" applyAlignment="1">
      <alignment horizontal="center" wrapText="1"/>
    </xf>
    <xf numFmtId="3" fontId="4" fillId="0" borderId="50" xfId="0" applyNumberFormat="1" applyFont="1" applyFill="1" applyBorder="1" applyAlignment="1">
      <alignment horizontal="center"/>
    </xf>
    <xf numFmtId="14" fontId="3" fillId="0" borderId="0" xfId="0" applyNumberFormat="1" applyFont="1" applyFill="1"/>
    <xf numFmtId="0" fontId="3" fillId="0" borderId="23" xfId="0" applyFont="1" applyFill="1" applyBorder="1"/>
    <xf numFmtId="3" fontId="4" fillId="0" borderId="22" xfId="0" applyNumberFormat="1" applyFont="1" applyFill="1" applyBorder="1" applyAlignment="1">
      <alignment horizontal="center"/>
    </xf>
    <xf numFmtId="0" fontId="3" fillId="0" borderId="0" xfId="0" applyFont="1" applyFill="1" applyBorder="1" applyProtection="1">
      <protection hidden="1"/>
    </xf>
    <xf numFmtId="14" fontId="3" fillId="0" borderId="0" xfId="0" applyNumberFormat="1" applyFont="1" applyFill="1" applyBorder="1" applyProtection="1">
      <protection hidden="1"/>
    </xf>
    <xf numFmtId="3" fontId="3" fillId="0" borderId="1" xfId="0" applyNumberFormat="1" applyFont="1" applyFill="1" applyBorder="1"/>
    <xf numFmtId="10" fontId="3" fillId="0" borderId="1" xfId="2" applyNumberFormat="1" applyFont="1" applyFill="1" applyBorder="1" applyProtection="1">
      <protection locked="0"/>
    </xf>
    <xf numFmtId="3" fontId="5" fillId="0" borderId="10" xfId="0" applyNumberFormat="1" applyFont="1" applyFill="1" applyBorder="1" applyAlignment="1">
      <alignment horizontal="center"/>
    </xf>
    <xf numFmtId="3" fontId="6" fillId="0" borderId="1" xfId="0" applyNumberFormat="1" applyFont="1" applyFill="1" applyBorder="1"/>
    <xf numFmtId="9" fontId="6" fillId="0" borderId="1" xfId="2" applyFont="1" applyFill="1" applyBorder="1"/>
    <xf numFmtId="3" fontId="6" fillId="0" borderId="1" xfId="0" applyNumberFormat="1" applyFont="1" applyFill="1" applyBorder="1" applyAlignment="1" applyProtection="1">
      <alignment horizontal="right"/>
      <protection locked="0"/>
    </xf>
    <xf numFmtId="9" fontId="6" fillId="0" borderId="1" xfId="0" applyNumberFormat="1" applyFont="1" applyFill="1" applyBorder="1"/>
    <xf numFmtId="3" fontId="6" fillId="0" borderId="6" xfId="0" applyNumberFormat="1" applyFont="1" applyFill="1" applyBorder="1" applyAlignment="1" applyProtection="1">
      <alignment horizontal="right"/>
      <protection locked="0"/>
    </xf>
    <xf numFmtId="0" fontId="6" fillId="0" borderId="0" xfId="0" applyFont="1" applyFill="1"/>
    <xf numFmtId="3" fontId="6" fillId="0" borderId="0" xfId="0" applyNumberFormat="1" applyFont="1" applyFill="1"/>
    <xf numFmtId="0" fontId="7" fillId="0" borderId="0" xfId="0" applyFont="1"/>
    <xf numFmtId="0" fontId="15" fillId="0" borderId="0" xfId="0" applyFont="1" applyAlignment="1">
      <alignment wrapText="1"/>
    </xf>
    <xf numFmtId="3" fontId="16" fillId="5" borderId="6" xfId="0" applyNumberFormat="1" applyFont="1" applyFill="1" applyBorder="1" applyProtection="1">
      <protection locked="0"/>
    </xf>
    <xf numFmtId="3" fontId="6" fillId="0" borderId="3" xfId="0" applyNumberFormat="1" applyFont="1" applyBorder="1" applyAlignment="1" applyProtection="1">
      <protection locked="0"/>
    </xf>
    <xf numFmtId="4" fontId="17" fillId="0" borderId="46" xfId="0" applyNumberFormat="1" applyFont="1" applyBorder="1" applyProtection="1">
      <protection locked="0"/>
    </xf>
    <xf numFmtId="4" fontId="6" fillId="0" borderId="40" xfId="0" applyNumberFormat="1" applyFont="1" applyBorder="1" applyProtection="1">
      <protection locked="0"/>
    </xf>
    <xf numFmtId="3" fontId="5" fillId="0" borderId="40" xfId="0" quotePrefix="1" applyNumberFormat="1" applyFont="1" applyFill="1" applyBorder="1" applyAlignment="1">
      <alignment horizontal="left"/>
    </xf>
    <xf numFmtId="3" fontId="6" fillId="0" borderId="49" xfId="0" applyNumberFormat="1" applyFont="1" applyFill="1" applyBorder="1" applyAlignment="1">
      <alignment wrapText="1"/>
    </xf>
    <xf numFmtId="4" fontId="6" fillId="0" borderId="40" xfId="0" applyNumberFormat="1" applyFont="1" applyFill="1" applyBorder="1" applyProtection="1">
      <protection locked="0"/>
    </xf>
    <xf numFmtId="0" fontId="3" fillId="0" borderId="0" xfId="0" applyFont="1" applyFill="1" applyBorder="1"/>
    <xf numFmtId="3" fontId="3" fillId="0" borderId="0" xfId="0" applyNumberFormat="1" applyFont="1" applyFill="1"/>
    <xf numFmtId="3" fontId="6" fillId="5" borderId="6" xfId="0" applyNumberFormat="1" applyFont="1" applyFill="1" applyBorder="1" applyProtection="1">
      <protection hidden="1"/>
    </xf>
    <xf numFmtId="164" fontId="6" fillId="5" borderId="6" xfId="0" applyNumberFormat="1" applyFont="1" applyFill="1" applyBorder="1" applyProtection="1">
      <protection hidden="1"/>
    </xf>
    <xf numFmtId="0" fontId="6" fillId="0" borderId="0" xfId="0" applyFont="1" applyFill="1" applyBorder="1" applyProtection="1">
      <protection hidden="1"/>
    </xf>
    <xf numFmtId="0" fontId="18" fillId="0" borderId="0" xfId="0" applyFont="1" applyFill="1"/>
    <xf numFmtId="3" fontId="20" fillId="0" borderId="6" xfId="0" applyNumberFormat="1" applyFont="1" applyBorder="1" applyProtection="1">
      <protection locked="0"/>
    </xf>
    <xf numFmtId="3" fontId="6" fillId="5" borderId="1" xfId="0" applyNumberFormat="1" applyFont="1" applyFill="1" applyBorder="1" applyProtection="1">
      <protection locked="0"/>
    </xf>
    <xf numFmtId="0" fontId="3" fillId="0" borderId="0" xfId="0" applyFont="1" applyFill="1" applyProtection="1">
      <protection hidden="1"/>
    </xf>
    <xf numFmtId="3" fontId="7" fillId="0" borderId="15" xfId="0" applyNumberFormat="1" applyFont="1" applyFill="1" applyBorder="1"/>
    <xf numFmtId="3" fontId="7" fillId="0" borderId="20" xfId="0" applyNumberFormat="1" applyFont="1" applyFill="1" applyBorder="1" applyAlignment="1">
      <alignment horizontal="centerContinuous"/>
    </xf>
    <xf numFmtId="3" fontId="7" fillId="0" borderId="24" xfId="0" applyNumberFormat="1" applyFont="1" applyFill="1" applyBorder="1"/>
    <xf numFmtId="3" fontId="7" fillId="0" borderId="28" xfId="0" applyNumberFormat="1" applyFont="1" applyFill="1" applyBorder="1" applyAlignment="1">
      <alignment horizontal="center" vertical="center" textRotation="90" wrapText="1"/>
    </xf>
    <xf numFmtId="3" fontId="7" fillId="0" borderId="1" xfId="0" applyNumberFormat="1" applyFont="1" applyFill="1" applyBorder="1"/>
    <xf numFmtId="3" fontId="7" fillId="0" borderId="1" xfId="0" applyNumberFormat="1" applyFont="1" applyFill="1" applyBorder="1" applyProtection="1">
      <protection locked="0"/>
    </xf>
    <xf numFmtId="3" fontId="7" fillId="0" borderId="1" xfId="0" applyNumberFormat="1" applyFont="1" applyFill="1" applyBorder="1" applyProtection="1"/>
    <xf numFmtId="3" fontId="7" fillId="0" borderId="2" xfId="0" applyNumberFormat="1" applyFont="1" applyFill="1" applyBorder="1" applyProtection="1"/>
    <xf numFmtId="3" fontId="7" fillId="0" borderId="0" xfId="0" applyNumberFormat="1" applyFont="1" applyFill="1"/>
    <xf numFmtId="0" fontId="7" fillId="0" borderId="0" xfId="0" applyFont="1" applyFill="1"/>
    <xf numFmtId="3" fontId="3" fillId="5" borderId="6" xfId="0" applyNumberFormat="1" applyFont="1" applyFill="1" applyBorder="1" applyProtection="1">
      <protection locked="0"/>
    </xf>
    <xf numFmtId="3" fontId="15" fillId="5" borderId="1" xfId="0" applyNumberFormat="1" applyFont="1" applyFill="1" applyBorder="1" applyProtection="1">
      <protection locked="0"/>
    </xf>
    <xf numFmtId="0" fontId="3" fillId="0" borderId="67" xfId="0" applyFont="1" applyBorder="1" applyAlignment="1">
      <alignment horizontal="centerContinuous"/>
    </xf>
    <xf numFmtId="3" fontId="3" fillId="0" borderId="67" xfId="0" applyNumberFormat="1" applyFont="1" applyBorder="1" applyAlignment="1" applyProtection="1">
      <alignment horizontal="centerContinuous"/>
    </xf>
    <xf numFmtId="3" fontId="3" fillId="0" borderId="2" xfId="0" applyNumberFormat="1" applyFont="1" applyBorder="1" applyProtection="1"/>
    <xf numFmtId="0" fontId="3" fillId="0" borderId="67" xfId="0" applyFont="1" applyBorder="1" applyProtection="1"/>
    <xf numFmtId="0" fontId="3" fillId="0" borderId="67" xfId="0" applyFont="1" applyBorder="1" applyAlignment="1" applyProtection="1">
      <alignment horizontal="left" vertical="top" wrapText="1"/>
    </xf>
    <xf numFmtId="0" fontId="3" fillId="0" borderId="67" xfId="0" applyFont="1" applyBorder="1"/>
    <xf numFmtId="0" fontId="3" fillId="9" borderId="0" xfId="0" applyFont="1" applyFill="1"/>
    <xf numFmtId="3" fontId="21" fillId="0" borderId="10" xfId="0" applyNumberFormat="1" applyFont="1" applyFill="1" applyBorder="1" applyAlignment="1">
      <alignment horizontal="center"/>
    </xf>
    <xf numFmtId="3" fontId="21" fillId="0" borderId="1" xfId="0" applyNumberFormat="1" applyFont="1" applyFill="1" applyBorder="1"/>
    <xf numFmtId="3" fontId="21" fillId="0" borderId="1" xfId="0" applyNumberFormat="1" applyFont="1" applyFill="1" applyBorder="1" applyProtection="1">
      <protection locked="0"/>
    </xf>
    <xf numFmtId="10" fontId="21" fillId="0" borderId="1" xfId="2" applyNumberFormat="1" applyFont="1" applyFill="1" applyBorder="1" applyProtection="1">
      <protection locked="0"/>
    </xf>
    <xf numFmtId="0" fontId="21" fillId="0" borderId="0" xfId="0" applyFont="1" applyFill="1"/>
    <xf numFmtId="3" fontId="21" fillId="0" borderId="0" xfId="0" applyNumberFormat="1" applyFont="1" applyFill="1"/>
    <xf numFmtId="3" fontId="3" fillId="0" borderId="1" xfId="0" applyNumberFormat="1" applyFont="1" applyBorder="1" applyAlignment="1">
      <alignment horizontal="left"/>
    </xf>
    <xf numFmtId="10" fontId="22" fillId="6" borderId="1" xfId="0" applyNumberFormat="1" applyFont="1" applyFill="1" applyBorder="1"/>
    <xf numFmtId="3" fontId="21" fillId="0" borderId="1" xfId="0" applyNumberFormat="1" applyFont="1" applyBorder="1"/>
    <xf numFmtId="0" fontId="21" fillId="0" borderId="0" xfId="0" applyFont="1"/>
    <xf numFmtId="3" fontId="21" fillId="0" borderId="0" xfId="0" applyNumberFormat="1" applyFont="1"/>
    <xf numFmtId="3" fontId="21" fillId="0" borderId="10" xfId="0" applyNumberFormat="1" applyFont="1" applyBorder="1" applyAlignment="1">
      <alignment horizontal="center"/>
    </xf>
    <xf numFmtId="3" fontId="23" fillId="6" borderId="1" xfId="0" applyNumberFormat="1" applyFont="1" applyFill="1" applyBorder="1"/>
    <xf numFmtId="3" fontId="3" fillId="0" borderId="0" xfId="0" applyNumberFormat="1" applyFont="1" applyFill="1" applyBorder="1" applyAlignment="1">
      <alignment horizontal="center"/>
    </xf>
    <xf numFmtId="3" fontId="4" fillId="0" borderId="0" xfId="0" applyNumberFormat="1" applyFont="1" applyFill="1" applyBorder="1"/>
    <xf numFmtId="3" fontId="3" fillId="0" borderId="0" xfId="0" applyNumberFormat="1" applyFont="1" applyFill="1" applyBorder="1" applyProtection="1"/>
    <xf numFmtId="10" fontId="3" fillId="0" borderId="0" xfId="0" applyNumberFormat="1" applyFont="1" applyFill="1" applyBorder="1"/>
    <xf numFmtId="3" fontId="7" fillId="0" borderId="0" xfId="0" applyNumberFormat="1" applyFont="1" applyFill="1" applyBorder="1" applyProtection="1"/>
    <xf numFmtId="0" fontId="6" fillId="0" borderId="21" xfId="0" applyFont="1" applyBorder="1" applyAlignment="1">
      <alignment vertical="center" wrapText="1"/>
    </xf>
    <xf numFmtId="0" fontId="19" fillId="0" borderId="26" xfId="0" applyFont="1" applyBorder="1" applyAlignment="1">
      <alignment vertical="center" wrapText="1"/>
    </xf>
    <xf numFmtId="3" fontId="6" fillId="0" borderId="1" xfId="0" applyNumberFormat="1" applyFont="1" applyFill="1" applyBorder="1" applyAlignment="1" applyProtection="1">
      <alignment horizontal="left"/>
      <protection locked="0"/>
    </xf>
    <xf numFmtId="3" fontId="6" fillId="0" borderId="1" xfId="0" applyNumberFormat="1" applyFont="1" applyBorder="1" applyAlignment="1" applyProtection="1">
      <alignment horizontal="left"/>
      <protection locked="0"/>
    </xf>
    <xf numFmtId="3" fontId="3" fillId="0" borderId="10" xfId="0" applyNumberFormat="1" applyFont="1" applyFill="1" applyBorder="1" applyAlignment="1">
      <alignment horizontal="center"/>
    </xf>
    <xf numFmtId="3" fontId="3" fillId="6" borderId="11" xfId="0" applyNumberFormat="1" applyFont="1" applyFill="1" applyBorder="1" applyAlignment="1">
      <alignment horizontal="center"/>
    </xf>
    <xf numFmtId="1" fontId="5" fillId="0" borderId="0" xfId="0" applyNumberFormat="1" applyFont="1" applyAlignment="1">
      <alignment horizontal="centerContinuous"/>
    </xf>
    <xf numFmtId="1" fontId="5" fillId="0" borderId="0" xfId="0" applyNumberFormat="1" applyFont="1"/>
    <xf numFmtId="1" fontId="5" fillId="0" borderId="21" xfId="0" applyNumberFormat="1" applyFont="1" applyBorder="1" applyAlignment="1">
      <alignment horizontal="center" vertical="center"/>
    </xf>
    <xf numFmtId="1" fontId="5" fillId="0" borderId="33" xfId="0" applyNumberFormat="1" applyFont="1" applyBorder="1" applyAlignment="1">
      <alignment horizontal="center"/>
    </xf>
    <xf numFmtId="1" fontId="6" fillId="7" borderId="4" xfId="0" applyNumberFormat="1" applyFont="1" applyFill="1" applyBorder="1"/>
    <xf numFmtId="1" fontId="6" fillId="0" borderId="1" xfId="0" applyNumberFormat="1" applyFont="1" applyFill="1" applyBorder="1"/>
    <xf numFmtId="1" fontId="6" fillId="0" borderId="1" xfId="0" applyNumberFormat="1" applyFont="1" applyBorder="1"/>
    <xf numFmtId="1" fontId="6" fillId="0" borderId="0" xfId="0" applyNumberFormat="1" applyFont="1" applyFill="1"/>
    <xf numFmtId="1" fontId="6" fillId="0" borderId="0" xfId="0" applyNumberFormat="1" applyFont="1"/>
    <xf numFmtId="10" fontId="3" fillId="0" borderId="1" xfId="0" applyNumberFormat="1" applyFont="1" applyBorder="1" applyProtection="1">
      <protection locked="0"/>
    </xf>
    <xf numFmtId="10" fontId="3" fillId="0" borderId="1" xfId="0" applyNumberFormat="1" applyFont="1" applyFill="1" applyBorder="1" applyProtection="1">
      <protection locked="0"/>
    </xf>
    <xf numFmtId="3" fontId="6" fillId="0" borderId="4" xfId="0" applyNumberFormat="1" applyFont="1" applyFill="1" applyBorder="1" applyProtection="1">
      <protection locked="0"/>
    </xf>
    <xf numFmtId="3" fontId="4" fillId="0" borderId="12" xfId="0" quotePrefix="1" applyNumberFormat="1" applyFont="1" applyFill="1" applyBorder="1" applyAlignment="1">
      <alignment horizontal="center"/>
    </xf>
    <xf numFmtId="3" fontId="4" fillId="0" borderId="15" xfId="0" applyNumberFormat="1" applyFont="1" applyFill="1" applyBorder="1" applyAlignment="1">
      <alignment horizontal="center"/>
    </xf>
    <xf numFmtId="3" fontId="4" fillId="0" borderId="35" xfId="0" applyNumberFormat="1" applyFont="1" applyFill="1" applyBorder="1" applyAlignment="1">
      <alignment horizontal="center" vertical="top" wrapText="1"/>
    </xf>
    <xf numFmtId="3" fontId="4" fillId="0" borderId="40" xfId="0" applyNumberFormat="1" applyFont="1" applyFill="1" applyBorder="1" applyAlignment="1">
      <alignment horizontal="center" vertical="top"/>
    </xf>
    <xf numFmtId="3" fontId="3" fillId="0" borderId="49" xfId="0" applyNumberFormat="1" applyFont="1" applyFill="1" applyBorder="1"/>
    <xf numFmtId="3" fontId="14" fillId="0" borderId="3" xfId="0" applyNumberFormat="1" applyFont="1" applyFill="1" applyBorder="1" applyAlignment="1" applyProtection="1">
      <alignment wrapText="1"/>
      <protection locked="0"/>
    </xf>
    <xf numFmtId="3" fontId="6" fillId="0" borderId="3" xfId="0" applyNumberFormat="1" applyFont="1" applyFill="1" applyBorder="1" applyAlignment="1" applyProtection="1">
      <alignment wrapText="1"/>
      <protection locked="0"/>
    </xf>
    <xf numFmtId="0" fontId="4" fillId="0" borderId="35" xfId="0" applyFont="1" applyFill="1" applyBorder="1" applyAlignment="1">
      <alignment vertical="top"/>
    </xf>
    <xf numFmtId="3" fontId="4" fillId="0" borderId="52" xfId="0" applyNumberFormat="1" applyFont="1" applyFill="1" applyBorder="1" applyAlignment="1">
      <alignment wrapText="1"/>
    </xf>
    <xf numFmtId="3" fontId="3" fillId="0" borderId="33" xfId="0" applyNumberFormat="1" applyFont="1" applyFill="1" applyBorder="1" applyProtection="1"/>
    <xf numFmtId="3" fontId="3" fillId="0" borderId="54" xfId="0" applyNumberFormat="1" applyFont="1" applyFill="1" applyBorder="1" applyProtection="1"/>
    <xf numFmtId="3" fontId="3" fillId="0" borderId="35" xfId="0" applyNumberFormat="1" applyFont="1" applyFill="1" applyBorder="1" applyProtection="1"/>
    <xf numFmtId="0" fontId="4" fillId="0" borderId="0" xfId="0" applyFont="1" applyFill="1" applyBorder="1"/>
    <xf numFmtId="0" fontId="5" fillId="0" borderId="0" xfId="0" applyFont="1" applyFill="1"/>
    <xf numFmtId="0" fontId="6" fillId="0" borderId="19" xfId="0" applyFont="1" applyFill="1" applyBorder="1"/>
    <xf numFmtId="3" fontId="6" fillId="0" borderId="3" xfId="0" applyNumberFormat="1" applyFont="1" applyFill="1" applyBorder="1" applyProtection="1"/>
    <xf numFmtId="3" fontId="6" fillId="0" borderId="43" xfId="0" applyNumberFormat="1" applyFont="1" applyFill="1" applyBorder="1" applyProtection="1">
      <protection locked="0"/>
    </xf>
    <xf numFmtId="0" fontId="6" fillId="0" borderId="0" xfId="0" applyFont="1" applyFill="1" applyBorder="1"/>
    <xf numFmtId="0" fontId="6" fillId="0" borderId="10" xfId="0" applyFont="1" applyFill="1" applyBorder="1"/>
    <xf numFmtId="3" fontId="6" fillId="0" borderId="24" xfId="0" applyNumberFormat="1" applyFont="1" applyFill="1" applyBorder="1" applyProtection="1"/>
    <xf numFmtId="3" fontId="6" fillId="0" borderId="31" xfId="0" applyNumberFormat="1" applyFont="1" applyFill="1" applyBorder="1" applyProtection="1"/>
    <xf numFmtId="3" fontId="6" fillId="0" borderId="29" xfId="0" applyNumberFormat="1" applyFont="1" applyFill="1" applyBorder="1" applyProtection="1"/>
    <xf numFmtId="0" fontId="19" fillId="0" borderId="19" xfId="0" applyFont="1" applyFill="1" applyBorder="1"/>
    <xf numFmtId="3" fontId="6" fillId="0" borderId="6" xfId="0" applyNumberFormat="1" applyFont="1" applyFill="1" applyBorder="1" applyProtection="1">
      <protection locked="0"/>
    </xf>
    <xf numFmtId="3" fontId="11" fillId="0" borderId="6" xfId="0" applyNumberFormat="1" applyFont="1" applyFill="1" applyBorder="1" applyProtection="1">
      <protection locked="0"/>
    </xf>
    <xf numFmtId="0" fontId="19" fillId="0" borderId="1" xfId="0" applyFont="1" applyBorder="1" applyAlignment="1">
      <alignment wrapText="1"/>
    </xf>
    <xf numFmtId="0" fontId="19" fillId="0" borderId="10" xfId="0" applyFont="1" applyBorder="1" applyAlignment="1">
      <alignment wrapText="1"/>
    </xf>
    <xf numFmtId="0" fontId="19" fillId="0" borderId="10" xfId="0" applyFont="1" applyBorder="1" applyAlignment="1">
      <alignment horizontal="right" vertical="center" wrapText="1"/>
    </xf>
    <xf numFmtId="0" fontId="25" fillId="0" borderId="0" xfId="0" applyFont="1"/>
    <xf numFmtId="0" fontId="25" fillId="0" borderId="0" xfId="0" applyFont="1" applyBorder="1"/>
    <xf numFmtId="3" fontId="25" fillId="2" borderId="1" xfId="0" applyNumberFormat="1" applyFont="1" applyFill="1" applyBorder="1" applyAlignment="1">
      <alignment horizontal="right" vertical="center"/>
    </xf>
    <xf numFmtId="0" fontId="25" fillId="0" borderId="0" xfId="0" applyFont="1" applyAlignment="1">
      <alignment vertical="center"/>
    </xf>
    <xf numFmtId="0" fontId="25" fillId="0" borderId="0" xfId="0" applyFont="1" applyBorder="1" applyAlignment="1">
      <alignment vertical="center"/>
    </xf>
    <xf numFmtId="0" fontId="26" fillId="0" borderId="0" xfId="4" applyFont="1" applyBorder="1" applyAlignment="1">
      <alignment horizontal="right"/>
    </xf>
    <xf numFmtId="3" fontId="25" fillId="0" borderId="0" xfId="0" applyNumberFormat="1" applyFont="1" applyBorder="1" applyAlignment="1">
      <alignment vertical="center"/>
    </xf>
    <xf numFmtId="3" fontId="25" fillId="0" borderId="0" xfId="0" applyNumberFormat="1" applyFont="1" applyAlignment="1">
      <alignment vertical="center"/>
    </xf>
    <xf numFmtId="0" fontId="25" fillId="0" borderId="0" xfId="0" applyFont="1" applyFill="1" applyAlignment="1">
      <alignment vertical="center"/>
    </xf>
    <xf numFmtId="3" fontId="25" fillId="0" borderId="0" xfId="0" applyNumberFormat="1" applyFont="1" applyFill="1" applyBorder="1" applyAlignment="1">
      <alignment vertical="center"/>
    </xf>
    <xf numFmtId="3" fontId="25" fillId="0" borderId="0" xfId="0" applyNumberFormat="1" applyFont="1" applyFill="1" applyAlignment="1">
      <alignment vertical="center"/>
    </xf>
    <xf numFmtId="3" fontId="25" fillId="0" borderId="0" xfId="0" applyNumberFormat="1" applyFont="1"/>
    <xf numFmtId="3" fontId="6" fillId="4" borderId="0" xfId="0" applyNumberFormat="1" applyFont="1" applyFill="1" applyBorder="1" applyProtection="1">
      <protection hidden="1"/>
    </xf>
    <xf numFmtId="0" fontId="27" fillId="0" borderId="0" xfId="0" applyFont="1"/>
    <xf numFmtId="0" fontId="28" fillId="0" borderId="0" xfId="4" applyFont="1" applyProtection="1">
      <protection hidden="1"/>
    </xf>
    <xf numFmtId="0" fontId="29" fillId="0" borderId="1" xfId="4" applyFont="1" applyBorder="1" applyAlignment="1" applyProtection="1">
      <alignment horizontal="center" vertical="center"/>
      <protection hidden="1"/>
    </xf>
    <xf numFmtId="0" fontId="29" fillId="0" borderId="1" xfId="4" applyFont="1" applyBorder="1" applyAlignment="1" applyProtection="1">
      <alignment horizontal="center" vertical="center" wrapText="1"/>
      <protection hidden="1"/>
    </xf>
    <xf numFmtId="0" fontId="28" fillId="0" borderId="1" xfId="4" applyFont="1" applyBorder="1" applyAlignment="1" applyProtection="1">
      <alignment horizontal="center" vertical="center"/>
      <protection hidden="1"/>
    </xf>
    <xf numFmtId="0" fontId="31" fillId="0" borderId="0" xfId="4" applyFont="1" applyProtection="1">
      <protection hidden="1"/>
    </xf>
    <xf numFmtId="0" fontId="28" fillId="0" borderId="1" xfId="4" applyFont="1" applyBorder="1" applyAlignment="1" applyProtection="1">
      <alignment vertical="center" wrapText="1"/>
      <protection hidden="1"/>
    </xf>
    <xf numFmtId="0" fontId="32" fillId="0" borderId="1" xfId="4" applyFont="1" applyBorder="1" applyAlignment="1" applyProtection="1">
      <alignment vertical="center" wrapText="1"/>
      <protection hidden="1"/>
    </xf>
    <xf numFmtId="0" fontId="33" fillId="0" borderId="1" xfId="4" applyFont="1" applyBorder="1" applyAlignment="1" applyProtection="1">
      <alignment vertical="center" wrapText="1"/>
      <protection hidden="1"/>
    </xf>
    <xf numFmtId="0" fontId="28" fillId="11" borderId="0" xfId="4" applyFont="1" applyFill="1" applyBorder="1" applyAlignment="1" applyProtection="1">
      <alignment horizontal="center" vertical="center"/>
      <protection hidden="1"/>
    </xf>
    <xf numFmtId="0" fontId="28" fillId="11" borderId="0" xfId="4" applyFont="1" applyFill="1" applyBorder="1" applyAlignment="1" applyProtection="1">
      <alignment vertical="center" wrapText="1"/>
      <protection hidden="1"/>
    </xf>
    <xf numFmtId="16" fontId="28" fillId="0" borderId="1" xfId="4" applyNumberFormat="1" applyFont="1" applyBorder="1" applyAlignment="1" applyProtection="1">
      <alignment horizontal="center" vertical="center"/>
      <protection hidden="1"/>
    </xf>
    <xf numFmtId="0" fontId="34" fillId="0" borderId="1" xfId="4" applyFont="1" applyBorder="1" applyAlignment="1" applyProtection="1">
      <alignment vertical="center" wrapText="1"/>
      <protection hidden="1"/>
    </xf>
    <xf numFmtId="0" fontId="29" fillId="0" borderId="1" xfId="4" applyFont="1" applyBorder="1" applyAlignment="1" applyProtection="1">
      <alignment vertical="center" wrapText="1"/>
      <protection hidden="1"/>
    </xf>
    <xf numFmtId="0" fontId="19" fillId="0" borderId="0" xfId="0" applyFont="1" applyProtection="1">
      <protection hidden="1"/>
    </xf>
    <xf numFmtId="0" fontId="28" fillId="0" borderId="1" xfId="4" applyFont="1" applyBorder="1" applyAlignment="1" applyProtection="1">
      <alignment wrapText="1"/>
      <protection hidden="1"/>
    </xf>
    <xf numFmtId="0" fontId="23" fillId="0" borderId="0" xfId="0" applyFont="1" applyBorder="1" applyProtection="1">
      <protection hidden="1"/>
    </xf>
    <xf numFmtId="0" fontId="22" fillId="0" borderId="1" xfId="0" applyFont="1" applyFill="1" applyBorder="1" applyAlignment="1" applyProtection="1">
      <alignment wrapText="1"/>
      <protection hidden="1"/>
    </xf>
    <xf numFmtId="0" fontId="35" fillId="0" borderId="10" xfId="0" applyFont="1" applyBorder="1" applyAlignment="1" applyProtection="1">
      <alignment horizontal="center" vertical="center"/>
      <protection hidden="1"/>
    </xf>
    <xf numFmtId="0" fontId="22" fillId="0" borderId="0" xfId="0" applyFont="1" applyProtection="1">
      <protection hidden="1"/>
    </xf>
    <xf numFmtId="0" fontId="22" fillId="0" borderId="1" xfId="0" applyFont="1" applyFill="1" applyBorder="1" applyAlignment="1" applyProtection="1">
      <alignment vertical="center" wrapText="1"/>
      <protection hidden="1"/>
    </xf>
    <xf numFmtId="0" fontId="3" fillId="0" borderId="1" xfId="0" applyFont="1" applyFill="1" applyBorder="1" applyAlignment="1" applyProtection="1">
      <alignment wrapText="1"/>
    </xf>
    <xf numFmtId="0" fontId="22" fillId="0" borderId="0" xfId="0" applyFont="1" applyFill="1" applyProtection="1">
      <protection hidden="1"/>
    </xf>
    <xf numFmtId="9" fontId="4" fillId="0" borderId="60" xfId="0" applyNumberFormat="1" applyFont="1" applyBorder="1" applyAlignment="1" applyProtection="1">
      <alignment horizontal="center"/>
    </xf>
    <xf numFmtId="3" fontId="4" fillId="0" borderId="48" xfId="0" applyNumberFormat="1" applyFont="1" applyBorder="1" applyAlignment="1" applyProtection="1">
      <alignment horizontal="center"/>
    </xf>
    <xf numFmtId="3" fontId="3" fillId="5" borderId="48" xfId="0" applyNumberFormat="1" applyFont="1" applyFill="1" applyBorder="1" applyProtection="1">
      <protection locked="0"/>
    </xf>
    <xf numFmtId="3" fontId="3" fillId="0" borderId="48" xfId="0" applyNumberFormat="1" applyFont="1" applyBorder="1" applyProtection="1">
      <protection locked="0"/>
    </xf>
    <xf numFmtId="3" fontId="3" fillId="0" borderId="48" xfId="0" applyNumberFormat="1" applyFont="1" applyBorder="1"/>
    <xf numFmtId="3" fontId="3" fillId="2" borderId="48" xfId="0" applyNumberFormat="1" applyFont="1" applyFill="1" applyBorder="1" applyAlignment="1" applyProtection="1">
      <alignment horizontal="right" vertical="top"/>
      <protection locked="0"/>
    </xf>
    <xf numFmtId="3" fontId="3" fillId="0" borderId="48" xfId="0" applyNumberFormat="1" applyFont="1" applyBorder="1" applyProtection="1">
      <protection hidden="1"/>
    </xf>
    <xf numFmtId="3" fontId="3" fillId="2" borderId="48" xfId="0" applyNumberFormat="1" applyFont="1" applyFill="1" applyBorder="1" applyAlignment="1" applyProtection="1">
      <alignment horizontal="right" vertical="top"/>
    </xf>
    <xf numFmtId="3" fontId="3" fillId="2" borderId="31" xfId="0" applyNumberFormat="1" applyFont="1" applyFill="1" applyBorder="1" applyAlignment="1" applyProtection="1">
      <alignment horizontal="right" vertical="top"/>
    </xf>
    <xf numFmtId="9" fontId="4" fillId="0" borderId="1" xfId="0" applyNumberFormat="1" applyFont="1" applyBorder="1" applyAlignment="1" applyProtection="1">
      <alignment horizontal="center"/>
    </xf>
    <xf numFmtId="0" fontId="22" fillId="0" borderId="1" xfId="0" applyFont="1" applyBorder="1" applyAlignment="1" applyProtection="1">
      <alignment wrapText="1"/>
      <protection hidden="1"/>
    </xf>
    <xf numFmtId="0" fontId="3" fillId="0" borderId="1" xfId="0" applyFont="1" applyBorder="1" applyProtection="1"/>
    <xf numFmtId="3" fontId="3" fillId="0" borderId="1" xfId="0" applyNumberFormat="1" applyFont="1" applyFill="1" applyBorder="1" applyAlignment="1" applyProtection="1">
      <alignment wrapText="1"/>
      <protection locked="0"/>
    </xf>
    <xf numFmtId="3" fontId="3" fillId="2" borderId="1" xfId="0" applyNumberFormat="1" applyFont="1" applyFill="1" applyBorder="1" applyAlignment="1" applyProtection="1">
      <alignment horizontal="right" vertical="top"/>
      <protection hidden="1"/>
    </xf>
    <xf numFmtId="3" fontId="3" fillId="10" borderId="1" xfId="0" applyNumberFormat="1" applyFont="1" applyFill="1" applyBorder="1" applyAlignment="1" applyProtection="1">
      <alignment horizontal="right" vertical="top"/>
      <protection locked="0" hidden="1"/>
    </xf>
    <xf numFmtId="3" fontId="3" fillId="2" borderId="6" xfId="0" applyNumberFormat="1" applyFont="1" applyFill="1" applyBorder="1" applyAlignment="1" applyProtection="1">
      <alignment horizontal="right" vertical="top"/>
      <protection hidden="1"/>
    </xf>
    <xf numFmtId="3" fontId="3" fillId="0" borderId="0" xfId="0" applyNumberFormat="1" applyFont="1" applyBorder="1" applyAlignment="1" applyProtection="1">
      <alignment wrapText="1"/>
      <protection locked="0"/>
    </xf>
    <xf numFmtId="3" fontId="3" fillId="0" borderId="1" xfId="0" applyNumberFormat="1" applyFont="1" applyFill="1" applyBorder="1" applyAlignment="1" applyProtection="1">
      <alignment horizontal="right" vertical="top"/>
      <protection locked="0" hidden="1"/>
    </xf>
    <xf numFmtId="3" fontId="3" fillId="2" borderId="49" xfId="0" applyNumberFormat="1" applyFont="1" applyFill="1" applyBorder="1" applyAlignment="1" applyProtection="1">
      <alignment horizontal="right" vertical="top"/>
      <protection hidden="1"/>
    </xf>
    <xf numFmtId="3" fontId="3" fillId="0" borderId="1" xfId="0" applyNumberFormat="1" applyFont="1" applyBorder="1" applyAlignment="1" applyProtection="1">
      <alignment horizontal="right" vertical="top"/>
      <protection locked="0"/>
    </xf>
    <xf numFmtId="0" fontId="3" fillId="0" borderId="1" xfId="0" applyFont="1" applyBorder="1"/>
    <xf numFmtId="3" fontId="3" fillId="0" borderId="1" xfId="0" applyNumberFormat="1" applyFont="1" applyFill="1" applyBorder="1" applyAlignment="1" applyProtection="1">
      <alignment horizontal="right" vertical="top"/>
      <protection hidden="1"/>
    </xf>
    <xf numFmtId="3" fontId="3" fillId="0" borderId="1" xfId="0" applyNumberFormat="1" applyFont="1" applyFill="1" applyBorder="1" applyAlignment="1" applyProtection="1">
      <alignment horizontal="right" vertical="top"/>
      <protection locked="0"/>
    </xf>
    <xf numFmtId="0" fontId="4" fillId="0" borderId="10" xfId="0" applyFont="1" applyFill="1" applyBorder="1" applyAlignment="1" applyProtection="1">
      <alignment horizontal="left" vertical="top"/>
    </xf>
    <xf numFmtId="3" fontId="3" fillId="0" borderId="1" xfId="0" applyNumberFormat="1" applyFont="1" applyFill="1" applyBorder="1" applyAlignment="1" applyProtection="1">
      <alignment horizontal="right" vertical="top"/>
    </xf>
    <xf numFmtId="3" fontId="3" fillId="0" borderId="19" xfId="0" applyNumberFormat="1" applyFont="1" applyBorder="1" applyAlignment="1">
      <alignment horizontal="center"/>
    </xf>
    <xf numFmtId="0" fontId="36" fillId="0" borderId="48" xfId="0" applyFont="1" applyBorder="1"/>
    <xf numFmtId="0" fontId="36" fillId="0" borderId="3" xfId="0" quotePrefix="1" applyFont="1" applyBorder="1" applyAlignment="1">
      <alignment horizontal="left"/>
    </xf>
    <xf numFmtId="0" fontId="36" fillId="0" borderId="3" xfId="0" applyFont="1" applyBorder="1"/>
    <xf numFmtId="0" fontId="36" fillId="0" borderId="3" xfId="0" applyFont="1" applyBorder="1" applyAlignment="1">
      <alignment horizontal="left"/>
    </xf>
    <xf numFmtId="0" fontId="36" fillId="0" borderId="0" xfId="0" applyFont="1" applyBorder="1" applyAlignment="1">
      <alignment horizontal="center" vertical="center" wrapText="1"/>
    </xf>
    <xf numFmtId="0" fontId="37" fillId="0" borderId="0" xfId="0" applyFont="1" applyFill="1"/>
    <xf numFmtId="3" fontId="36" fillId="0" borderId="1" xfId="0" applyNumberFormat="1" applyFont="1" applyBorder="1" applyAlignment="1">
      <alignment horizontal="center"/>
    </xf>
    <xf numFmtId="3" fontId="3" fillId="0" borderId="19" xfId="0" applyNumberFormat="1" applyFont="1" applyBorder="1" applyAlignment="1"/>
    <xf numFmtId="3" fontId="3" fillId="0" borderId="25" xfId="0" applyNumberFormat="1" applyFont="1" applyBorder="1" applyAlignment="1"/>
    <xf numFmtId="3" fontId="3" fillId="0" borderId="20" xfId="0" applyNumberFormat="1" applyFont="1" applyBorder="1" applyAlignment="1"/>
    <xf numFmtId="3" fontId="3" fillId="12" borderId="6" xfId="0" applyNumberFormat="1" applyFont="1" applyFill="1" applyBorder="1" applyProtection="1"/>
    <xf numFmtId="3" fontId="23" fillId="7" borderId="1" xfId="0" applyNumberFormat="1" applyFont="1" applyFill="1" applyBorder="1" applyAlignment="1">
      <alignment horizontal="left" wrapText="1"/>
    </xf>
    <xf numFmtId="3" fontId="5" fillId="13" borderId="10" xfId="0" applyNumberFormat="1" applyFont="1" applyFill="1" applyBorder="1" applyAlignment="1">
      <alignment horizontal="center"/>
    </xf>
    <xf numFmtId="3" fontId="23" fillId="13" borderId="1" xfId="0" applyNumberFormat="1" applyFont="1" applyFill="1" applyBorder="1" applyAlignment="1">
      <alignment horizontal="left" wrapText="1"/>
    </xf>
    <xf numFmtId="3" fontId="6" fillId="13" borderId="1" xfId="0" applyNumberFormat="1" applyFont="1" applyFill="1" applyBorder="1" applyProtection="1">
      <protection locked="0"/>
    </xf>
    <xf numFmtId="9" fontId="6" fillId="13" borderId="1" xfId="2" applyFont="1" applyFill="1" applyBorder="1"/>
    <xf numFmtId="9" fontId="6" fillId="13" borderId="1" xfId="0" applyNumberFormat="1" applyFont="1" applyFill="1" applyBorder="1"/>
    <xf numFmtId="3" fontId="6" fillId="13" borderId="1" xfId="0" applyNumberFormat="1" applyFont="1" applyFill="1" applyBorder="1"/>
    <xf numFmtId="1" fontId="6" fillId="13" borderId="1" xfId="0" applyNumberFormat="1" applyFont="1" applyFill="1" applyBorder="1"/>
    <xf numFmtId="3" fontId="6" fillId="13" borderId="1" xfId="0" applyNumberFormat="1" applyFont="1" applyFill="1" applyBorder="1" applyAlignment="1" applyProtection="1">
      <alignment horizontal="left"/>
      <protection locked="0"/>
    </xf>
    <xf numFmtId="0" fontId="6" fillId="13" borderId="0" xfId="0" applyFont="1" applyFill="1"/>
    <xf numFmtId="3" fontId="6" fillId="13" borderId="0" xfId="0" applyNumberFormat="1" applyFont="1" applyFill="1"/>
    <xf numFmtId="0" fontId="23" fillId="7" borderId="1" xfId="0" applyFont="1" applyFill="1" applyBorder="1" applyAlignment="1">
      <alignment horizontal="center"/>
    </xf>
    <xf numFmtId="3" fontId="38" fillId="0" borderId="4" xfId="0" applyNumberFormat="1" applyFont="1" applyBorder="1" applyAlignment="1">
      <alignment horizontal="center" vertical="center"/>
    </xf>
    <xf numFmtId="3" fontId="36" fillId="0" borderId="4" xfId="0" applyNumberFormat="1" applyFont="1" applyBorder="1" applyAlignment="1">
      <alignment horizontal="center" vertical="center"/>
    </xf>
    <xf numFmtId="3" fontId="36" fillId="0" borderId="4" xfId="0" quotePrefix="1" applyNumberFormat="1" applyFont="1" applyBorder="1" applyAlignment="1">
      <alignment horizontal="center" vertical="center"/>
    </xf>
    <xf numFmtId="0" fontId="36" fillId="0" borderId="4" xfId="0" applyFont="1" applyBorder="1" applyAlignment="1">
      <alignment horizontal="center" vertical="center"/>
    </xf>
    <xf numFmtId="3" fontId="40" fillId="0" borderId="0" xfId="0" applyNumberFormat="1" applyFont="1" applyBorder="1" applyAlignment="1">
      <alignment horizontal="centerContinuous"/>
    </xf>
    <xf numFmtId="3" fontId="41" fillId="0" borderId="0" xfId="0" applyNumberFormat="1" applyFont="1" applyBorder="1" applyAlignment="1">
      <alignment horizontal="centerContinuous"/>
    </xf>
    <xf numFmtId="3" fontId="41" fillId="0" borderId="0" xfId="0" applyNumberFormat="1" applyFont="1" applyBorder="1" applyAlignment="1" applyProtection="1">
      <alignment horizontal="centerContinuous"/>
      <protection hidden="1"/>
    </xf>
    <xf numFmtId="0" fontId="36" fillId="0" borderId="0" xfId="0" applyFont="1"/>
    <xf numFmtId="3" fontId="3" fillId="0" borderId="35" xfId="0" applyNumberFormat="1" applyFont="1" applyFill="1" applyBorder="1"/>
    <xf numFmtId="3" fontId="4" fillId="0" borderId="56" xfId="0" applyNumberFormat="1" applyFont="1" applyFill="1" applyBorder="1"/>
    <xf numFmtId="3" fontId="23" fillId="0" borderId="1" xfId="0" applyNumberFormat="1" applyFont="1" applyBorder="1" applyAlignment="1">
      <alignment horizontal="center" vertical="center" textRotation="90" wrapText="1"/>
    </xf>
    <xf numFmtId="3" fontId="23" fillId="0" borderId="1" xfId="0" applyNumberFormat="1" applyFont="1" applyBorder="1" applyAlignment="1">
      <alignment horizontal="center" vertical="center" wrapText="1"/>
    </xf>
    <xf numFmtId="0" fontId="36" fillId="0" borderId="1" xfId="0" applyFont="1" applyFill="1" applyBorder="1" applyAlignment="1" applyProtection="1">
      <alignment wrapText="1"/>
    </xf>
    <xf numFmtId="0" fontId="23" fillId="0" borderId="3" xfId="0" applyFont="1" applyBorder="1" applyAlignment="1">
      <alignment wrapText="1"/>
    </xf>
    <xf numFmtId="0" fontId="42" fillId="0" borderId="0" xfId="0" applyFont="1" applyBorder="1" applyAlignment="1">
      <alignment horizontal="center"/>
    </xf>
    <xf numFmtId="0" fontId="43" fillId="0" borderId="0" xfId="0" applyFont="1" applyBorder="1"/>
    <xf numFmtId="0" fontId="36" fillId="0" borderId="25" xfId="0" applyFont="1" applyBorder="1"/>
    <xf numFmtId="0" fontId="23" fillId="0" borderId="25" xfId="0" applyFont="1" applyBorder="1" applyAlignment="1">
      <alignment horizontal="center"/>
    </xf>
    <xf numFmtId="0" fontId="23" fillId="0" borderId="3" xfId="0" applyFont="1" applyBorder="1"/>
    <xf numFmtId="0" fontId="36" fillId="3" borderId="47" xfId="0" applyFont="1" applyFill="1" applyBorder="1"/>
    <xf numFmtId="0" fontId="36" fillId="3" borderId="4" xfId="0" applyFont="1" applyFill="1" applyBorder="1"/>
    <xf numFmtId="0" fontId="36" fillId="0" borderId="3" xfId="0" applyFont="1" applyBorder="1" applyAlignment="1">
      <alignment wrapText="1"/>
    </xf>
    <xf numFmtId="0" fontId="44" fillId="0" borderId="0" xfId="0" applyFont="1" applyBorder="1" applyAlignment="1">
      <alignment horizontal="center" wrapText="1"/>
    </xf>
    <xf numFmtId="4" fontId="36" fillId="0" borderId="0" xfId="0" applyNumberFormat="1" applyFont="1" applyBorder="1" applyProtection="1">
      <protection locked="0"/>
    </xf>
    <xf numFmtId="0" fontId="44" fillId="0" borderId="1" xfId="0" applyFont="1" applyFill="1" applyBorder="1" applyAlignment="1">
      <alignment wrapText="1"/>
    </xf>
    <xf numFmtId="9" fontId="44" fillId="0" borderId="1" xfId="2" applyFont="1" applyFill="1" applyBorder="1" applyProtection="1">
      <protection hidden="1"/>
    </xf>
    <xf numFmtId="0" fontId="23" fillId="0" borderId="0" xfId="0" applyFont="1" applyBorder="1"/>
    <xf numFmtId="0" fontId="27" fillId="0" borderId="10" xfId="0" applyFont="1" applyBorder="1"/>
    <xf numFmtId="0" fontId="27" fillId="0" borderId="10" xfId="0" applyFont="1" applyBorder="1" applyAlignment="1">
      <alignment wrapText="1"/>
    </xf>
    <xf numFmtId="3" fontId="45" fillId="0" borderId="6" xfId="0" applyNumberFormat="1" applyFont="1" applyBorder="1" applyProtection="1">
      <protection locked="0"/>
    </xf>
    <xf numFmtId="0" fontId="45" fillId="0" borderId="0" xfId="0" applyFont="1" applyProtection="1">
      <protection hidden="1"/>
    </xf>
    <xf numFmtId="9" fontId="44" fillId="10" borderId="1" xfId="2" applyFont="1" applyFill="1" applyBorder="1" applyProtection="1">
      <protection hidden="1"/>
    </xf>
    <xf numFmtId="3" fontId="44" fillId="10" borderId="1" xfId="0" applyNumberFormat="1" applyFont="1" applyFill="1" applyBorder="1" applyProtection="1">
      <protection hidden="1"/>
    </xf>
    <xf numFmtId="3" fontId="0" fillId="10" borderId="1" xfId="0" applyNumberFormat="1" applyFont="1" applyFill="1" applyBorder="1" applyProtection="1">
      <protection hidden="1"/>
    </xf>
    <xf numFmtId="3" fontId="44" fillId="10" borderId="1" xfId="2" applyNumberFormat="1" applyFont="1" applyFill="1" applyBorder="1" applyProtection="1">
      <protection hidden="1"/>
    </xf>
    <xf numFmtId="3" fontId="44" fillId="10" borderId="1" xfId="0" applyNumberFormat="1" applyFont="1" applyFill="1" applyBorder="1" applyProtection="1">
      <protection locked="0"/>
    </xf>
    <xf numFmtId="49" fontId="23" fillId="0" borderId="10" xfId="0" applyNumberFormat="1" applyFont="1" applyFill="1" applyBorder="1" applyAlignment="1" applyProtection="1">
      <alignment horizontal="center" vertical="top"/>
    </xf>
    <xf numFmtId="0" fontId="23" fillId="0" borderId="0" xfId="0" applyFont="1" applyBorder="1" applyProtection="1"/>
    <xf numFmtId="3" fontId="36" fillId="0" borderId="0" xfId="0" applyNumberFormat="1" applyFont="1" applyAlignment="1">
      <alignment horizontal="centerContinuous"/>
    </xf>
    <xf numFmtId="3" fontId="36" fillId="0" borderId="0" xfId="0" applyNumberFormat="1" applyFont="1" applyFill="1"/>
    <xf numFmtId="9" fontId="36" fillId="0" borderId="0" xfId="2" applyFont="1"/>
    <xf numFmtId="3" fontId="36" fillId="0" borderId="0" xfId="2" applyNumberFormat="1" applyFont="1"/>
    <xf numFmtId="3" fontId="23" fillId="0" borderId="33" xfId="0" applyNumberFormat="1" applyFont="1" applyBorder="1" applyAlignment="1" applyProtection="1">
      <alignment horizontal="center"/>
    </xf>
    <xf numFmtId="0" fontId="23" fillId="0" borderId="33" xfId="0" applyFont="1" applyBorder="1" applyAlignment="1" applyProtection="1">
      <alignment horizontal="center"/>
    </xf>
    <xf numFmtId="0" fontId="23" fillId="0" borderId="34" xfId="0" applyFont="1" applyBorder="1" applyAlignment="1" applyProtection="1">
      <alignment horizontal="center"/>
    </xf>
    <xf numFmtId="9" fontId="36" fillId="0" borderId="4" xfId="2" applyFont="1" applyFill="1" applyBorder="1" applyProtection="1"/>
    <xf numFmtId="3" fontId="36" fillId="0" borderId="4" xfId="2" applyNumberFormat="1" applyFont="1" applyBorder="1" applyProtection="1"/>
    <xf numFmtId="3" fontId="36" fillId="0" borderId="43" xfId="0" applyNumberFormat="1" applyFont="1" applyFill="1" applyBorder="1" applyProtection="1"/>
    <xf numFmtId="9" fontId="36" fillId="0" borderId="1" xfId="2" applyFont="1" applyFill="1" applyBorder="1" applyProtection="1"/>
    <xf numFmtId="3" fontId="36" fillId="0" borderId="1" xfId="2" applyNumberFormat="1" applyFont="1" applyBorder="1" applyProtection="1"/>
    <xf numFmtId="3" fontId="36" fillId="14" borderId="6" xfId="0" applyNumberFormat="1" applyFont="1" applyFill="1" applyBorder="1" applyProtection="1"/>
    <xf numFmtId="3" fontId="36" fillId="0" borderId="6" xfId="0" applyNumberFormat="1" applyFont="1" applyFill="1" applyBorder="1" applyProtection="1"/>
    <xf numFmtId="9" fontId="36" fillId="0" borderId="2" xfId="2" applyFont="1" applyFill="1" applyBorder="1" applyProtection="1"/>
    <xf numFmtId="3" fontId="36" fillId="0" borderId="2" xfId="2" applyNumberFormat="1" applyFont="1" applyBorder="1" applyProtection="1"/>
    <xf numFmtId="3" fontId="36" fillId="0" borderId="7" xfId="0" applyNumberFormat="1" applyFont="1" applyFill="1" applyBorder="1" applyProtection="1"/>
    <xf numFmtId="3" fontId="36" fillId="0" borderId="33" xfId="0" applyNumberFormat="1" applyFont="1" applyFill="1" applyBorder="1" applyProtection="1"/>
    <xf numFmtId="3" fontId="36" fillId="0" borderId="34" xfId="0" applyNumberFormat="1" applyFont="1" applyFill="1" applyBorder="1" applyProtection="1"/>
    <xf numFmtId="9" fontId="47" fillId="0" borderId="0" xfId="2" applyFont="1" applyFill="1" applyBorder="1" applyProtection="1">
      <protection hidden="1"/>
    </xf>
    <xf numFmtId="3" fontId="47" fillId="0" borderId="0" xfId="2" applyNumberFormat="1" applyFont="1" applyFill="1" applyBorder="1" applyProtection="1">
      <protection hidden="1"/>
    </xf>
    <xf numFmtId="3" fontId="47" fillId="0" borderId="0" xfId="0" applyNumberFormat="1" applyFont="1" applyFill="1" applyBorder="1" applyProtection="1">
      <protection hidden="1"/>
    </xf>
    <xf numFmtId="3" fontId="48" fillId="0" borderId="0" xfId="0" applyNumberFormat="1" applyFont="1" applyFill="1" applyBorder="1" applyProtection="1">
      <protection hidden="1"/>
    </xf>
    <xf numFmtId="3" fontId="47" fillId="0" borderId="0" xfId="0" applyNumberFormat="1" applyFont="1" applyFill="1" applyBorder="1"/>
    <xf numFmtId="3" fontId="36" fillId="0" borderId="0" xfId="0" applyNumberFormat="1" applyFont="1" applyBorder="1"/>
    <xf numFmtId="3" fontId="36" fillId="0" borderId="0" xfId="0" applyNumberFormat="1" applyFont="1" applyFill="1" applyBorder="1"/>
    <xf numFmtId="3" fontId="6" fillId="0" borderId="6" xfId="0" applyNumberFormat="1" applyFont="1" applyFill="1" applyBorder="1" applyProtection="1"/>
    <xf numFmtId="3" fontId="13" fillId="0" borderId="1" xfId="0" applyNumberFormat="1" applyFont="1" applyFill="1" applyBorder="1" applyProtection="1">
      <protection locked="0"/>
    </xf>
    <xf numFmtId="3" fontId="6" fillId="10" borderId="1" xfId="0" applyNumberFormat="1" applyFont="1" applyFill="1" applyBorder="1" applyProtection="1">
      <protection locked="0"/>
    </xf>
    <xf numFmtId="3" fontId="6" fillId="0" borderId="0" xfId="0" applyNumberFormat="1" applyFont="1" applyFill="1" applyBorder="1" applyProtection="1">
      <protection locked="0"/>
    </xf>
    <xf numFmtId="0" fontId="44" fillId="0" borderId="0" xfId="0" applyFont="1" applyBorder="1" applyAlignment="1">
      <alignment vertical="center" wrapText="1"/>
    </xf>
    <xf numFmtId="0" fontId="46" fillId="0" borderId="0" xfId="0" applyFont="1" applyAlignment="1">
      <alignment horizontal="center" vertical="center" wrapText="1"/>
    </xf>
    <xf numFmtId="0" fontId="49" fillId="0" borderId="0" xfId="0" applyFont="1" applyBorder="1" applyAlignment="1">
      <alignment horizontal="center" vertical="center" wrapText="1"/>
    </xf>
    <xf numFmtId="0" fontId="46" fillId="0" borderId="0" xfId="0" applyFont="1" applyBorder="1" applyAlignment="1">
      <alignment horizontal="center" vertical="center" wrapText="1"/>
    </xf>
    <xf numFmtId="0" fontId="6" fillId="0" borderId="12" xfId="0" applyFont="1" applyBorder="1" applyProtection="1">
      <protection locked="0"/>
    </xf>
    <xf numFmtId="3" fontId="3" fillId="0" borderId="26" xfId="0" applyNumberFormat="1" applyFont="1" applyBorder="1"/>
    <xf numFmtId="3" fontId="46" fillId="0" borderId="0" xfId="0" applyNumberFormat="1" applyFont="1" applyBorder="1" applyAlignment="1">
      <alignment horizontal="center"/>
    </xf>
    <xf numFmtId="3" fontId="41" fillId="0" borderId="0" xfId="0" applyNumberFormat="1" applyFont="1" applyAlignment="1">
      <alignment horizontal="center"/>
    </xf>
    <xf numFmtId="3" fontId="50" fillId="0" borderId="0" xfId="0" applyNumberFormat="1" applyFont="1" applyAlignment="1">
      <alignment horizontal="centerContinuous"/>
    </xf>
    <xf numFmtId="3" fontId="46" fillId="0" borderId="0" xfId="0" applyNumberFormat="1" applyFont="1" applyAlignment="1">
      <alignment horizontal="center"/>
    </xf>
    <xf numFmtId="3" fontId="46" fillId="0" borderId="0" xfId="0" applyNumberFormat="1" applyFont="1" applyAlignment="1">
      <alignment horizontal="center" vertical="center" wrapText="1"/>
    </xf>
    <xf numFmtId="0" fontId="46" fillId="0" borderId="0" xfId="0" applyFont="1" applyBorder="1" applyAlignment="1">
      <alignment horizontal="center" vertical="center" wrapText="1" shrinkToFit="1"/>
    </xf>
    <xf numFmtId="0" fontId="50" fillId="0" borderId="0" xfId="0" applyFont="1" applyAlignment="1">
      <alignment horizontal="center" vertical="center" wrapText="1"/>
    </xf>
    <xf numFmtId="49" fontId="23" fillId="0" borderId="10" xfId="0" applyNumberFormat="1" applyFont="1" applyFill="1" applyBorder="1" applyAlignment="1" applyProtection="1">
      <alignment horizontal="left"/>
    </xf>
    <xf numFmtId="3" fontId="36" fillId="0" borderId="1" xfId="0" applyNumberFormat="1" applyFont="1" applyFill="1" applyBorder="1" applyAlignment="1" applyProtection="1">
      <alignment wrapText="1"/>
    </xf>
    <xf numFmtId="3" fontId="36" fillId="0" borderId="1" xfId="0" applyNumberFormat="1" applyFont="1" applyFill="1" applyBorder="1" applyProtection="1">
      <protection locked="0"/>
    </xf>
    <xf numFmtId="3" fontId="36" fillId="0" borderId="1" xfId="2" applyNumberFormat="1" applyFont="1" applyFill="1" applyBorder="1" applyProtection="1"/>
    <xf numFmtId="0" fontId="36" fillId="0" borderId="0" xfId="0" applyFont="1" applyFill="1"/>
    <xf numFmtId="3" fontId="38" fillId="0" borderId="1" xfId="0" applyNumberFormat="1" applyFont="1" applyFill="1" applyBorder="1" applyAlignment="1" applyProtection="1">
      <alignment wrapText="1"/>
    </xf>
    <xf numFmtId="3" fontId="5" fillId="0" borderId="41" xfId="0" quotePrefix="1" applyNumberFormat="1" applyFont="1" applyFill="1" applyBorder="1" applyAlignment="1">
      <alignment horizontal="left"/>
    </xf>
    <xf numFmtId="3" fontId="6" fillId="0" borderId="53" xfId="0" applyNumberFormat="1" applyFont="1" applyFill="1" applyBorder="1" applyAlignment="1">
      <alignment wrapText="1"/>
    </xf>
    <xf numFmtId="4" fontId="6" fillId="0" borderId="57" xfId="0" applyNumberFormat="1" applyFont="1" applyFill="1" applyBorder="1" applyProtection="1">
      <protection locked="0"/>
    </xf>
    <xf numFmtId="3" fontId="5" fillId="0" borderId="35" xfId="0" applyNumberFormat="1" applyFont="1" applyBorder="1" applyAlignment="1">
      <alignment horizontal="left"/>
    </xf>
    <xf numFmtId="3" fontId="5" fillId="0" borderId="41" xfId="0" applyNumberFormat="1" applyFont="1" applyBorder="1" applyAlignment="1">
      <alignment horizontal="left"/>
    </xf>
    <xf numFmtId="0" fontId="36" fillId="0" borderId="0" xfId="0" applyFont="1" applyAlignment="1">
      <alignment horizontal="centerContinuous"/>
    </xf>
    <xf numFmtId="3" fontId="36" fillId="0" borderId="0" xfId="0" applyNumberFormat="1" applyFont="1"/>
    <xf numFmtId="3" fontId="23" fillId="0" borderId="58" xfId="0" applyNumberFormat="1" applyFont="1" applyBorder="1" applyAlignment="1" applyProtection="1">
      <alignment horizontal="center"/>
    </xf>
    <xf numFmtId="0" fontId="23" fillId="0" borderId="58" xfId="0" applyFont="1" applyBorder="1" applyAlignment="1" applyProtection="1">
      <alignment horizontal="center"/>
    </xf>
    <xf numFmtId="0" fontId="23" fillId="0" borderId="73" xfId="0" applyFont="1" applyBorder="1" applyAlignment="1" applyProtection="1">
      <alignment horizontal="center"/>
    </xf>
    <xf numFmtId="9" fontId="36" fillId="0" borderId="8" xfId="2" applyFont="1" applyBorder="1" applyProtection="1"/>
    <xf numFmtId="3" fontId="36" fillId="0" borderId="8" xfId="2" applyNumberFormat="1" applyFont="1" applyBorder="1" applyProtection="1"/>
    <xf numFmtId="3" fontId="36" fillId="0" borderId="9" xfId="0" applyNumberFormat="1" applyFont="1" applyBorder="1" applyProtection="1"/>
    <xf numFmtId="9" fontId="36" fillId="0" borderId="1" xfId="2" applyFont="1" applyBorder="1" applyProtection="1"/>
    <xf numFmtId="3" fontId="36" fillId="0" borderId="6" xfId="0" applyNumberFormat="1" applyFont="1" applyBorder="1" applyProtection="1"/>
    <xf numFmtId="3" fontId="36" fillId="0" borderId="2" xfId="2" applyNumberFormat="1" applyFont="1" applyFill="1" applyBorder="1" applyProtection="1"/>
    <xf numFmtId="9" fontId="36" fillId="0" borderId="51" xfId="2" applyFont="1" applyFill="1" applyBorder="1" applyProtection="1"/>
    <xf numFmtId="3" fontId="36" fillId="0" borderId="69" xfId="2" applyNumberFormat="1" applyFont="1" applyFill="1" applyBorder="1" applyProtection="1"/>
    <xf numFmtId="9" fontId="36" fillId="0" borderId="0" xfId="2" applyFont="1" applyFill="1"/>
    <xf numFmtId="3" fontId="36" fillId="0" borderId="0" xfId="2" applyNumberFormat="1" applyFont="1" applyFill="1"/>
    <xf numFmtId="0" fontId="36" fillId="0" borderId="0" xfId="0" applyFont="1" applyAlignment="1">
      <alignment vertical="center" wrapText="1"/>
    </xf>
    <xf numFmtId="3" fontId="41" fillId="0" borderId="0" xfId="0" applyNumberFormat="1" applyFont="1" applyAlignment="1">
      <alignment vertical="center" wrapText="1"/>
    </xf>
    <xf numFmtId="3" fontId="5" fillId="13" borderId="65" xfId="0" applyNumberFormat="1" applyFont="1" applyFill="1" applyBorder="1" applyAlignment="1">
      <alignment horizontal="left"/>
    </xf>
    <xf numFmtId="9" fontId="36" fillId="13" borderId="1" xfId="2" applyFont="1" applyFill="1" applyBorder="1" applyProtection="1"/>
    <xf numFmtId="3" fontId="36" fillId="13" borderId="1" xfId="2" applyNumberFormat="1" applyFont="1" applyFill="1" applyBorder="1" applyProtection="1"/>
    <xf numFmtId="3" fontId="36" fillId="13" borderId="6" xfId="0" applyNumberFormat="1" applyFont="1" applyFill="1" applyBorder="1" applyProtection="1"/>
    <xf numFmtId="4" fontId="36" fillId="0" borderId="1" xfId="0" applyNumberFormat="1" applyFont="1" applyFill="1" applyBorder="1" applyProtection="1">
      <protection hidden="1"/>
    </xf>
    <xf numFmtId="0" fontId="51" fillId="0" borderId="0" xfId="0" applyFont="1"/>
    <xf numFmtId="0" fontId="51" fillId="0" borderId="0" xfId="0" applyFont="1" applyProtection="1">
      <protection hidden="1"/>
    </xf>
    <xf numFmtId="3" fontId="0" fillId="10" borderId="1" xfId="0" applyNumberFormat="1" applyFill="1" applyBorder="1" applyProtection="1">
      <protection hidden="1"/>
    </xf>
    <xf numFmtId="0" fontId="45" fillId="0" borderId="0" xfId="0" applyFont="1"/>
    <xf numFmtId="3" fontId="45" fillId="0" borderId="0" xfId="0" applyNumberFormat="1" applyFont="1" applyProtection="1">
      <protection hidden="1"/>
    </xf>
    <xf numFmtId="3" fontId="45" fillId="0" borderId="0" xfId="0" applyNumberFormat="1" applyFont="1"/>
    <xf numFmtId="0" fontId="47" fillId="0" borderId="0" xfId="0" applyFont="1" applyFill="1"/>
    <xf numFmtId="3" fontId="6" fillId="0" borderId="47" xfId="0" applyNumberFormat="1" applyFont="1" applyFill="1" applyBorder="1" applyProtection="1">
      <protection locked="0"/>
    </xf>
    <xf numFmtId="3" fontId="6" fillId="0" borderId="47" xfId="0" applyNumberFormat="1" applyFont="1" applyFill="1" applyBorder="1"/>
    <xf numFmtId="0" fontId="5" fillId="0" borderId="1" xfId="0" applyFont="1" applyBorder="1" applyAlignment="1">
      <alignment horizontal="center" vertical="center" wrapText="1"/>
    </xf>
    <xf numFmtId="0" fontId="5" fillId="0" borderId="8" xfId="0" applyFont="1" applyBorder="1" applyAlignment="1">
      <alignment horizontal="center" wrapText="1"/>
    </xf>
    <xf numFmtId="0" fontId="5" fillId="0" borderId="9" xfId="0" applyFont="1" applyBorder="1" applyAlignment="1">
      <alignment horizontal="center" wrapText="1"/>
    </xf>
    <xf numFmtId="0" fontId="4" fillId="0" borderId="1" xfId="0" applyFont="1" applyBorder="1" applyAlignment="1" applyProtection="1">
      <alignment horizontal="center" vertical="center"/>
    </xf>
    <xf numFmtId="0" fontId="4" fillId="0" borderId="48" xfId="0" applyFont="1" applyBorder="1" applyAlignment="1" applyProtection="1">
      <alignment horizontal="center" vertical="center"/>
    </xf>
    <xf numFmtId="0" fontId="6" fillId="0" borderId="1" xfId="0" applyFont="1" applyBorder="1" applyAlignment="1">
      <alignment wrapText="1"/>
    </xf>
    <xf numFmtId="0" fontId="36" fillId="0" borderId="0" xfId="0" applyFont="1" applyAlignment="1">
      <alignment horizontal="center" vertical="center"/>
    </xf>
    <xf numFmtId="0" fontId="5" fillId="0" borderId="0" xfId="0" applyFont="1" applyBorder="1" applyAlignment="1">
      <alignment horizontal="center" wrapText="1"/>
    </xf>
    <xf numFmtId="3" fontId="3" fillId="10" borderId="1" xfId="0" applyNumberFormat="1" applyFont="1" applyFill="1" applyBorder="1" applyProtection="1">
      <protection locked="0"/>
    </xf>
    <xf numFmtId="3" fontId="6" fillId="0" borderId="47" xfId="0" quotePrefix="1" applyNumberFormat="1" applyFont="1" applyFill="1" applyBorder="1" applyProtection="1">
      <protection locked="0"/>
    </xf>
    <xf numFmtId="0" fontId="6" fillId="0" borderId="39" xfId="0" applyFont="1" applyBorder="1" applyAlignment="1">
      <alignment wrapText="1"/>
    </xf>
    <xf numFmtId="0" fontId="6" fillId="0" borderId="11" xfId="0" applyFont="1" applyBorder="1" applyAlignment="1">
      <alignment wrapText="1"/>
    </xf>
    <xf numFmtId="0" fontId="5" fillId="0" borderId="0" xfId="0" applyFont="1" applyBorder="1" applyAlignment="1">
      <alignment wrapText="1"/>
    </xf>
    <xf numFmtId="3" fontId="6" fillId="10" borderId="1" xfId="0" applyNumberFormat="1" applyFont="1" applyFill="1" applyBorder="1"/>
    <xf numFmtId="3" fontId="45" fillId="0" borderId="0" xfId="0" applyNumberFormat="1" applyFont="1" applyBorder="1" applyProtection="1">
      <protection locked="0"/>
    </xf>
    <xf numFmtId="0" fontId="52" fillId="0" borderId="0" xfId="0" applyFont="1" applyBorder="1" applyAlignment="1">
      <alignment horizontal="left" vertical="center"/>
    </xf>
    <xf numFmtId="3" fontId="45" fillId="0" borderId="0" xfId="0" applyNumberFormat="1" applyFont="1" applyBorder="1"/>
    <xf numFmtId="0" fontId="53" fillId="0" borderId="0" xfId="0" applyFont="1" applyAlignment="1">
      <alignment vertical="center"/>
    </xf>
    <xf numFmtId="0" fontId="53" fillId="0" borderId="0" xfId="0" applyFont="1" applyFill="1" applyAlignment="1">
      <alignment vertical="center"/>
    </xf>
    <xf numFmtId="0" fontId="53" fillId="0" borderId="0" xfId="0" applyFont="1"/>
    <xf numFmtId="3" fontId="3" fillId="10" borderId="1" xfId="0" applyNumberFormat="1" applyFont="1" applyFill="1" applyBorder="1" applyAlignment="1" applyProtection="1">
      <alignment horizontal="right" vertical="top"/>
      <protection locked="0"/>
    </xf>
    <xf numFmtId="0" fontId="36" fillId="0" borderId="0" xfId="0" applyFont="1" applyAlignment="1">
      <alignment vertical="center"/>
    </xf>
    <xf numFmtId="168" fontId="23" fillId="0" borderId="0" xfId="0" quotePrefix="1" applyNumberFormat="1" applyFont="1" applyAlignment="1">
      <alignment horizontal="centerContinuous" vertical="center"/>
    </xf>
    <xf numFmtId="0" fontId="36" fillId="0" borderId="0" xfId="0" applyFont="1" applyBorder="1" applyAlignment="1">
      <alignment horizontal="centerContinuous"/>
    </xf>
    <xf numFmtId="0" fontId="3" fillId="0" borderId="0" xfId="0" applyFont="1" applyBorder="1" applyAlignment="1" applyProtection="1">
      <alignment horizontal="centerContinuous"/>
    </xf>
    <xf numFmtId="0" fontId="3" fillId="0" borderId="0" xfId="0" applyFont="1" applyAlignment="1" applyProtection="1">
      <alignment horizontal="centerContinuous"/>
    </xf>
    <xf numFmtId="0" fontId="44" fillId="0" borderId="39" xfId="0" applyFont="1" applyBorder="1" applyAlignment="1" applyProtection="1">
      <alignment horizontal="center" vertical="center"/>
      <protection hidden="1"/>
    </xf>
    <xf numFmtId="0" fontId="44" fillId="0" borderId="8" xfId="0" applyFont="1" applyBorder="1" applyAlignment="1" applyProtection="1">
      <alignment horizontal="center" vertical="center" wrapText="1"/>
      <protection hidden="1"/>
    </xf>
    <xf numFmtId="0" fontId="44" fillId="0" borderId="44" xfId="0" applyFont="1" applyBorder="1" applyAlignment="1" applyProtection="1">
      <alignment horizontal="center" vertical="center"/>
      <protection hidden="1"/>
    </xf>
    <xf numFmtId="0" fontId="36" fillId="0" borderId="18" xfId="0" applyFont="1" applyBorder="1" applyAlignment="1" applyProtection="1">
      <alignment vertical="center"/>
      <protection hidden="1"/>
    </xf>
    <xf numFmtId="0" fontId="36" fillId="0" borderId="5" xfId="0" applyFont="1" applyBorder="1" applyAlignment="1" applyProtection="1">
      <alignment horizontal="center"/>
      <protection hidden="1"/>
    </xf>
    <xf numFmtId="0" fontId="36" fillId="0" borderId="20" xfId="0" applyFont="1" applyBorder="1" applyAlignment="1" applyProtection="1">
      <alignment horizontal="center"/>
      <protection hidden="1"/>
    </xf>
    <xf numFmtId="0" fontId="23" fillId="0" borderId="10" xfId="0" applyFont="1" applyBorder="1" applyAlignment="1" applyProtection="1">
      <alignment horizontal="center" vertical="center"/>
      <protection hidden="1"/>
    </xf>
    <xf numFmtId="2" fontId="36" fillId="0" borderId="47" xfId="0" applyNumberFormat="1" applyFont="1" applyBorder="1" applyAlignment="1" applyProtection="1">
      <alignment horizontal="center"/>
      <protection hidden="1"/>
    </xf>
    <xf numFmtId="166" fontId="36" fillId="0" borderId="4" xfId="0" applyNumberFormat="1" applyFont="1" applyBorder="1" applyAlignment="1" applyProtection="1">
      <alignment horizontal="center"/>
      <protection hidden="1"/>
    </xf>
    <xf numFmtId="2" fontId="36" fillId="0" borderId="5" xfId="0" applyNumberFormat="1" applyFont="1" applyBorder="1" applyAlignment="1" applyProtection="1">
      <alignment horizontal="center"/>
      <protection hidden="1"/>
    </xf>
    <xf numFmtId="2" fontId="36" fillId="0" borderId="5" xfId="0" applyNumberFormat="1" applyFont="1" applyFill="1" applyBorder="1" applyAlignment="1" applyProtection="1">
      <alignment horizontal="center"/>
      <protection hidden="1"/>
    </xf>
    <xf numFmtId="0" fontId="54" fillId="0" borderId="0" xfId="0" applyFont="1" applyFill="1" applyBorder="1" applyAlignment="1" applyProtection="1">
      <alignment horizontal="centerContinuous" wrapText="1"/>
      <protection hidden="1"/>
    </xf>
    <xf numFmtId="0" fontId="54" fillId="0" borderId="67" xfId="0" applyFont="1" applyFill="1" applyBorder="1" applyAlignment="1" applyProtection="1">
      <alignment horizontal="centerContinuous" wrapText="1"/>
      <protection hidden="1"/>
    </xf>
    <xf numFmtId="166" fontId="36" fillId="0" borderId="5" xfId="0" applyNumberFormat="1" applyFont="1" applyFill="1" applyBorder="1" applyAlignment="1" applyProtection="1">
      <alignment horizontal="center"/>
      <protection hidden="1"/>
    </xf>
    <xf numFmtId="2" fontId="36" fillId="0" borderId="47" xfId="0" applyNumberFormat="1" applyFont="1" applyFill="1" applyBorder="1" applyAlignment="1" applyProtection="1">
      <alignment horizontal="center"/>
      <protection hidden="1"/>
    </xf>
    <xf numFmtId="2" fontId="36" fillId="0" borderId="4" xfId="0" applyNumberFormat="1" applyFont="1" applyFill="1" applyBorder="1" applyAlignment="1" applyProtection="1">
      <alignment horizontal="center"/>
      <protection hidden="1"/>
    </xf>
    <xf numFmtId="0" fontId="54" fillId="0" borderId="48" xfId="0" applyFont="1" applyFill="1" applyBorder="1" applyAlignment="1" applyProtection="1">
      <alignment horizontal="centerContinuous" wrapText="1"/>
      <protection hidden="1"/>
    </xf>
    <xf numFmtId="0" fontId="54" fillId="0" borderId="46" xfId="0" applyFont="1" applyFill="1" applyBorder="1" applyAlignment="1" applyProtection="1">
      <alignment horizontal="centerContinuous"/>
      <protection hidden="1"/>
    </xf>
    <xf numFmtId="0" fontId="54" fillId="0" borderId="49" xfId="0" applyFont="1" applyFill="1" applyBorder="1" applyAlignment="1" applyProtection="1">
      <alignment horizontal="centerContinuous"/>
      <protection hidden="1"/>
    </xf>
    <xf numFmtId="0" fontId="54" fillId="0" borderId="3" xfId="0" applyFont="1" applyFill="1" applyBorder="1" applyAlignment="1" applyProtection="1">
      <alignment horizontal="centerContinuous"/>
      <protection hidden="1"/>
    </xf>
    <xf numFmtId="0" fontId="54" fillId="0" borderId="25" xfId="0" applyFont="1" applyFill="1" applyBorder="1" applyAlignment="1" applyProtection="1">
      <alignment horizontal="centerContinuous"/>
      <protection hidden="1"/>
    </xf>
    <xf numFmtId="0" fontId="54" fillId="0" borderId="45" xfId="0" applyFont="1" applyFill="1" applyBorder="1" applyAlignment="1" applyProtection="1">
      <alignment horizontal="centerContinuous"/>
      <protection hidden="1"/>
    </xf>
    <xf numFmtId="0" fontId="54" fillId="0" borderId="48" xfId="0" applyFont="1" applyBorder="1" applyAlignment="1" applyProtection="1">
      <alignment horizontal="centerContinuous" wrapText="1"/>
      <protection hidden="1"/>
    </xf>
    <xf numFmtId="0" fontId="54" fillId="0" borderId="46" xfId="0" applyFont="1" applyBorder="1" applyAlignment="1" applyProtection="1">
      <alignment horizontal="centerContinuous"/>
      <protection hidden="1"/>
    </xf>
    <xf numFmtId="0" fontId="54" fillId="0" borderId="49" xfId="0" applyFont="1" applyBorder="1" applyAlignment="1" applyProtection="1">
      <alignment horizontal="centerContinuous"/>
      <protection hidden="1"/>
    </xf>
    <xf numFmtId="2" fontId="36" fillId="0" borderId="4" xfId="0" applyNumberFormat="1" applyFont="1" applyBorder="1" applyAlignment="1" applyProtection="1">
      <alignment horizontal="center"/>
      <protection hidden="1"/>
    </xf>
    <xf numFmtId="0" fontId="23" fillId="0" borderId="18" xfId="0" applyFont="1" applyBorder="1" applyAlignment="1" applyProtection="1">
      <alignment horizontal="center" vertical="center"/>
      <protection hidden="1"/>
    </xf>
    <xf numFmtId="2" fontId="36" fillId="0" borderId="51" xfId="0" applyNumberFormat="1" applyFont="1" applyBorder="1" applyAlignment="1" applyProtection="1">
      <alignment horizontal="center"/>
      <protection hidden="1"/>
    </xf>
    <xf numFmtId="169" fontId="28" fillId="0" borderId="0" xfId="4" applyNumberFormat="1" applyFont="1" applyAlignment="1" applyProtection="1">
      <alignment horizontal="center" vertical="center" wrapText="1"/>
      <protection hidden="1"/>
    </xf>
    <xf numFmtId="169" fontId="30" fillId="0" borderId="0" xfId="0" applyNumberFormat="1" applyFont="1" applyAlignment="1" applyProtection="1">
      <alignment horizontal="center" vertical="center" wrapText="1"/>
      <protection hidden="1"/>
    </xf>
    <xf numFmtId="169" fontId="29" fillId="0" borderId="0" xfId="4" applyNumberFormat="1" applyFont="1" applyBorder="1" applyAlignment="1" applyProtection="1">
      <alignment horizontal="center" vertical="center" wrapText="1"/>
      <protection hidden="1"/>
    </xf>
    <xf numFmtId="169" fontId="23" fillId="0" borderId="1" xfId="0" quotePrefix="1" applyNumberFormat="1" applyFont="1" applyBorder="1" applyAlignment="1" applyProtection="1">
      <alignment horizontal="center"/>
      <protection hidden="1"/>
    </xf>
    <xf numFmtId="169" fontId="29" fillId="0" borderId="1" xfId="3" applyNumberFormat="1" applyFont="1" applyBorder="1" applyAlignment="1" applyProtection="1">
      <alignment horizontal="center" vertical="center" wrapText="1"/>
      <protection hidden="1"/>
    </xf>
    <xf numFmtId="169" fontId="28" fillId="0" borderId="1" xfId="3" applyNumberFormat="1" applyFont="1" applyBorder="1" applyAlignment="1" applyProtection="1">
      <alignment horizontal="center" vertical="center" wrapText="1"/>
      <protection locked="0" hidden="1"/>
    </xf>
    <xf numFmtId="169" fontId="29" fillId="0" borderId="1" xfId="3" applyNumberFormat="1" applyFont="1" applyFill="1" applyBorder="1" applyAlignment="1" applyProtection="1">
      <alignment horizontal="center" vertical="center" wrapText="1"/>
      <protection hidden="1"/>
    </xf>
    <xf numFmtId="169" fontId="28" fillId="11" borderId="0" xfId="4" applyNumberFormat="1" applyFont="1" applyFill="1" applyBorder="1" applyAlignment="1" applyProtection="1">
      <alignment horizontal="center" vertical="center" wrapText="1"/>
      <protection hidden="1"/>
    </xf>
    <xf numFmtId="169" fontId="27" fillId="0" borderId="0" xfId="0" applyNumberFormat="1" applyFont="1"/>
    <xf numFmtId="169" fontId="32" fillId="0" borderId="1" xfId="4" applyNumberFormat="1" applyFont="1" applyBorder="1" applyAlignment="1" applyProtection="1">
      <alignment horizontal="right"/>
      <protection hidden="1"/>
    </xf>
    <xf numFmtId="169" fontId="28" fillId="0" borderId="0" xfId="4" applyNumberFormat="1" applyFont="1" applyAlignment="1" applyProtection="1">
      <alignment horizontal="center"/>
      <protection hidden="1"/>
    </xf>
    <xf numFmtId="169" fontId="0" fillId="0" borderId="0" xfId="0" applyNumberFormat="1"/>
    <xf numFmtId="169" fontId="3" fillId="0" borderId="0" xfId="0" applyNumberFormat="1" applyFont="1"/>
    <xf numFmtId="169" fontId="3" fillId="5" borderId="6" xfId="0" applyNumberFormat="1" applyFont="1" applyFill="1" applyBorder="1" applyAlignment="1" applyProtection="1">
      <alignment horizontal="right" vertical="top"/>
      <protection locked="0"/>
    </xf>
    <xf numFmtId="169" fontId="3" fillId="0" borderId="6" xfId="0" applyNumberFormat="1" applyFont="1" applyBorder="1" applyProtection="1">
      <protection locked="0"/>
    </xf>
    <xf numFmtId="169" fontId="3" fillId="4" borderId="6" xfId="0" applyNumberFormat="1" applyFont="1" applyFill="1" applyBorder="1" applyProtection="1">
      <protection locked="0"/>
    </xf>
    <xf numFmtId="169" fontId="3" fillId="0" borderId="6" xfId="0" applyNumberFormat="1" applyFont="1" applyFill="1" applyBorder="1" applyProtection="1">
      <protection locked="0"/>
    </xf>
    <xf numFmtId="169" fontId="3" fillId="5" borderId="6" xfId="0" applyNumberFormat="1" applyFont="1" applyFill="1" applyBorder="1" applyProtection="1">
      <protection locked="0"/>
    </xf>
    <xf numFmtId="169" fontId="3" fillId="10" borderId="6" xfId="0" applyNumberFormat="1" applyFont="1" applyFill="1" applyBorder="1" applyProtection="1">
      <protection locked="0"/>
    </xf>
    <xf numFmtId="169" fontId="3" fillId="0" borderId="7" xfId="0" applyNumberFormat="1" applyFont="1" applyBorder="1"/>
    <xf numFmtId="3" fontId="45" fillId="15" borderId="0" xfId="0" applyNumberFormat="1" applyFont="1" applyFill="1" applyBorder="1"/>
    <xf numFmtId="9" fontId="47" fillId="15" borderId="0" xfId="2" applyFont="1" applyFill="1" applyBorder="1"/>
    <xf numFmtId="3" fontId="47" fillId="15" borderId="0" xfId="2" applyNumberFormat="1" applyFont="1" applyFill="1" applyBorder="1"/>
    <xf numFmtId="3" fontId="47" fillId="15" borderId="0" xfId="0" applyNumberFormat="1" applyFont="1" applyFill="1" applyBorder="1"/>
    <xf numFmtId="3" fontId="57" fillId="15" borderId="0" xfId="0" applyNumberFormat="1" applyFont="1" applyFill="1" applyBorder="1" applyAlignment="1">
      <alignment horizontal="center"/>
    </xf>
    <xf numFmtId="0" fontId="58" fillId="15" borderId="0" xfId="0" applyFont="1" applyFill="1" applyBorder="1" applyAlignment="1">
      <alignment horizontal="center" wrapText="1"/>
    </xf>
    <xf numFmtId="4" fontId="45" fillId="15" borderId="0" xfId="0" applyNumberFormat="1" applyFont="1" applyFill="1" applyBorder="1" applyProtection="1">
      <protection locked="0"/>
    </xf>
    <xf numFmtId="4" fontId="59" fillId="15" borderId="0" xfId="0" applyNumberFormat="1" applyFont="1" applyFill="1" applyBorder="1" applyProtection="1">
      <protection locked="0"/>
    </xf>
    <xf numFmtId="0" fontId="60" fillId="15" borderId="0" xfId="0" applyFont="1" applyFill="1" applyBorder="1"/>
    <xf numFmtId="0" fontId="61" fillId="15" borderId="0" xfId="0" applyFont="1" applyFill="1" applyBorder="1"/>
    <xf numFmtId="0" fontId="61" fillId="15" borderId="0" xfId="0" applyFont="1" applyFill="1" applyBorder="1" applyAlignment="1">
      <alignment horizontal="center" wrapText="1"/>
    </xf>
    <xf numFmtId="4" fontId="61" fillId="15" borderId="0" xfId="0" applyNumberFormat="1" applyFont="1" applyFill="1" applyBorder="1"/>
    <xf numFmtId="3" fontId="6" fillId="0" borderId="0" xfId="0" applyNumberFormat="1" applyFont="1" applyFill="1" applyBorder="1"/>
    <xf numFmtId="9" fontId="36" fillId="0" borderId="0" xfId="2" applyFont="1" applyBorder="1"/>
    <xf numFmtId="3" fontId="36" fillId="0" borderId="0" xfId="2" applyNumberFormat="1" applyFont="1" applyBorder="1"/>
    <xf numFmtId="3" fontId="3" fillId="0" borderId="0" xfId="0" applyNumberFormat="1" applyFont="1" applyProtection="1">
      <protection hidden="1"/>
    </xf>
    <xf numFmtId="3" fontId="62" fillId="0" borderId="1" xfId="0" applyNumberFormat="1" applyFont="1" applyBorder="1" applyProtection="1">
      <protection locked="0"/>
    </xf>
    <xf numFmtId="3" fontId="62" fillId="0" borderId="0" xfId="0" applyNumberFormat="1" applyFont="1" applyAlignment="1">
      <alignment horizontal="centerContinuous"/>
    </xf>
    <xf numFmtId="3" fontId="5" fillId="0" borderId="49" xfId="0" applyNumberFormat="1" applyFont="1" applyFill="1" applyBorder="1" applyAlignment="1">
      <alignment wrapText="1"/>
    </xf>
    <xf numFmtId="3" fontId="6" fillId="0" borderId="49" xfId="0" quotePrefix="1" applyNumberFormat="1" applyFont="1" applyFill="1" applyBorder="1" applyAlignment="1">
      <alignment horizontal="left" wrapText="1"/>
    </xf>
    <xf numFmtId="0" fontId="3" fillId="0" borderId="0" xfId="0" applyFont="1" applyFill="1" applyAlignment="1"/>
    <xf numFmtId="3" fontId="6" fillId="0" borderId="0" xfId="0" applyNumberFormat="1" applyFont="1" applyFill="1" applyBorder="1" applyAlignment="1" applyProtection="1">
      <protection locked="0"/>
    </xf>
    <xf numFmtId="0" fontId="55" fillId="0" borderId="0" xfId="0" applyFont="1" applyFill="1" applyBorder="1"/>
    <xf numFmtId="3" fontId="51" fillId="0" borderId="0" xfId="0" applyNumberFormat="1" applyFont="1" applyFill="1" applyBorder="1" applyAlignment="1" applyProtection="1">
      <protection locked="0"/>
    </xf>
    <xf numFmtId="0" fontId="3" fillId="0" borderId="0" xfId="0" applyFont="1" applyFill="1" applyBorder="1" applyAlignment="1"/>
    <xf numFmtId="0" fontId="45" fillId="0" borderId="0" xfId="0" applyFont="1" applyBorder="1"/>
    <xf numFmtId="0" fontId="45" fillId="0" borderId="0" xfId="0" applyFont="1" applyBorder="1" applyProtection="1">
      <protection hidden="1"/>
    </xf>
    <xf numFmtId="0" fontId="37" fillId="0" borderId="0" xfId="0" applyFont="1" applyBorder="1"/>
    <xf numFmtId="0" fontId="37" fillId="0" borderId="0" xfId="0" applyFont="1" applyBorder="1" applyProtection="1"/>
    <xf numFmtId="3" fontId="37" fillId="0" borderId="0" xfId="0" applyNumberFormat="1" applyFont="1" applyBorder="1" applyAlignment="1" applyProtection="1">
      <alignment horizontal="centerContinuous"/>
    </xf>
    <xf numFmtId="0" fontId="37" fillId="0" borderId="0" xfId="0" applyFont="1" applyBorder="1" applyAlignment="1" applyProtection="1">
      <alignment horizontal="center" vertical="center"/>
    </xf>
    <xf numFmtId="41" fontId="37" fillId="0" borderId="0" xfId="0" applyNumberFormat="1" applyFont="1" applyBorder="1" applyProtection="1"/>
    <xf numFmtId="41" fontId="37" fillId="0" borderId="0" xfId="0" applyNumberFormat="1" applyFont="1" applyProtection="1">
      <protection hidden="1"/>
    </xf>
    <xf numFmtId="0" fontId="37" fillId="0" borderId="0" xfId="0" applyFont="1" applyProtection="1">
      <protection hidden="1"/>
    </xf>
    <xf numFmtId="0" fontId="37" fillId="0" borderId="0" xfId="0" applyFont="1" applyFill="1" applyProtection="1">
      <protection hidden="1"/>
    </xf>
    <xf numFmtId="3" fontId="37" fillId="0" borderId="0" xfId="0" applyNumberFormat="1" applyFont="1" applyBorder="1" applyAlignment="1" applyProtection="1">
      <alignment wrapText="1"/>
      <protection locked="0"/>
    </xf>
    <xf numFmtId="0" fontId="37" fillId="0" borderId="0" xfId="0" applyFont="1" applyFill="1" applyBorder="1" applyProtection="1"/>
    <xf numFmtId="41" fontId="37" fillId="0" borderId="0" xfId="0" applyNumberFormat="1" applyFont="1" applyFill="1" applyBorder="1" applyProtection="1"/>
    <xf numFmtId="3" fontId="37" fillId="0" borderId="0" xfId="0" applyNumberFormat="1" applyFont="1" applyFill="1" applyBorder="1" applyAlignment="1" applyProtection="1">
      <alignment wrapText="1"/>
      <protection locked="0"/>
    </xf>
    <xf numFmtId="0" fontId="63" fillId="0" borderId="0" xfId="0" applyFont="1" applyBorder="1" applyProtection="1"/>
    <xf numFmtId="9" fontId="64" fillId="0" borderId="0" xfId="0" applyNumberFormat="1" applyFont="1" applyFill="1" applyBorder="1" applyAlignment="1" applyProtection="1">
      <alignment horizontal="center"/>
    </xf>
    <xf numFmtId="0" fontId="64" fillId="0" borderId="1" xfId="0" applyFont="1" applyBorder="1" applyAlignment="1" applyProtection="1">
      <alignment horizontal="center" vertical="center"/>
    </xf>
    <xf numFmtId="0" fontId="64" fillId="0" borderId="0" xfId="0" applyFont="1" applyFill="1" applyBorder="1" applyAlignment="1" applyProtection="1">
      <alignment horizontal="center" vertical="center"/>
    </xf>
    <xf numFmtId="0" fontId="37" fillId="0" borderId="1" xfId="0" applyFont="1" applyBorder="1" applyProtection="1"/>
    <xf numFmtId="3" fontId="64" fillId="0" borderId="0" xfId="0" applyNumberFormat="1" applyFont="1" applyFill="1" applyBorder="1" applyAlignment="1" applyProtection="1">
      <alignment horizontal="center"/>
    </xf>
    <xf numFmtId="3" fontId="37" fillId="2" borderId="1" xfId="0" applyNumberFormat="1" applyFont="1" applyFill="1" applyBorder="1" applyAlignment="1" applyProtection="1">
      <alignment horizontal="right" vertical="top"/>
    </xf>
    <xf numFmtId="3" fontId="37" fillId="0" borderId="0" xfId="0" applyNumberFormat="1" applyFont="1" applyFill="1" applyBorder="1" applyAlignment="1" applyProtection="1">
      <alignment horizontal="right" vertical="top"/>
      <protection locked="0"/>
    </xf>
    <xf numFmtId="3" fontId="37" fillId="0" borderId="0" xfId="0" applyNumberFormat="1" applyFont="1" applyFill="1" applyBorder="1" applyAlignment="1" applyProtection="1">
      <alignment horizontal="right" vertical="top"/>
    </xf>
    <xf numFmtId="3" fontId="37" fillId="0" borderId="1" xfId="0" applyNumberFormat="1" applyFont="1" applyBorder="1" applyProtection="1">
      <protection hidden="1"/>
    </xf>
    <xf numFmtId="3" fontId="37" fillId="0" borderId="0" xfId="0" applyNumberFormat="1" applyFont="1" applyFill="1" applyBorder="1"/>
    <xf numFmtId="3" fontId="37" fillId="0" borderId="0" xfId="0" applyNumberFormat="1" applyFont="1" applyFill="1" applyBorder="1" applyProtection="1">
      <protection hidden="1"/>
    </xf>
    <xf numFmtId="3" fontId="37" fillId="0" borderId="0" xfId="0" applyNumberFormat="1" applyFont="1" applyFill="1" applyBorder="1" applyProtection="1">
      <protection locked="0"/>
    </xf>
    <xf numFmtId="3" fontId="37" fillId="2" borderId="1" xfId="0" applyNumberFormat="1" applyFont="1" applyFill="1" applyBorder="1" applyAlignment="1" applyProtection="1">
      <alignment horizontal="right" vertical="top"/>
      <protection locked="0"/>
    </xf>
    <xf numFmtId="0" fontId="37" fillId="0" borderId="0" xfId="0" applyFont="1" applyFill="1" applyBorder="1"/>
    <xf numFmtId="3" fontId="5" fillId="0" borderId="50" xfId="0" applyNumberFormat="1" applyFont="1" applyBorder="1" applyAlignment="1">
      <alignment horizontal="center"/>
    </xf>
    <xf numFmtId="3" fontId="6" fillId="0" borderId="47" xfId="0" applyNumberFormat="1" applyFont="1" applyBorder="1"/>
    <xf numFmtId="3" fontId="6" fillId="0" borderId="47" xfId="0" applyNumberFormat="1" applyFont="1" applyBorder="1" applyProtection="1">
      <protection locked="0"/>
    </xf>
    <xf numFmtId="9" fontId="6" fillId="0" borderId="47" xfId="2" applyFont="1" applyBorder="1"/>
    <xf numFmtId="3" fontId="6" fillId="0" borderId="47" xfId="0" applyNumberFormat="1" applyFont="1" applyBorder="1" applyAlignment="1" applyProtection="1">
      <alignment horizontal="right"/>
      <protection locked="0"/>
    </xf>
    <xf numFmtId="9" fontId="6" fillId="0" borderId="47" xfId="0" applyNumberFormat="1" applyFont="1" applyBorder="1"/>
    <xf numFmtId="1" fontId="6" fillId="0" borderId="47" xfId="0" applyNumberFormat="1" applyFont="1" applyBorder="1"/>
    <xf numFmtId="3" fontId="6" fillId="0" borderId="42" xfId="0" applyNumberFormat="1" applyFont="1" applyBorder="1" applyAlignment="1" applyProtection="1">
      <alignment horizontal="right"/>
      <protection locked="0"/>
    </xf>
    <xf numFmtId="3" fontId="52" fillId="0" borderId="0" xfId="0" applyNumberFormat="1" applyFont="1" applyBorder="1" applyAlignment="1">
      <alignment horizontal="center"/>
    </xf>
    <xf numFmtId="9" fontId="45" fillId="0" borderId="0" xfId="2" applyFont="1" applyBorder="1"/>
    <xf numFmtId="3" fontId="45" fillId="0" borderId="0" xfId="0" applyNumberFormat="1" applyFont="1" applyBorder="1" applyAlignment="1" applyProtection="1">
      <alignment horizontal="right"/>
      <protection locked="0"/>
    </xf>
    <xf numFmtId="9" fontId="45" fillId="0" borderId="0" xfId="0" applyNumberFormat="1" applyFont="1" applyBorder="1"/>
    <xf numFmtId="1" fontId="45" fillId="0" borderId="0" xfId="0" applyNumberFormat="1" applyFont="1" applyBorder="1"/>
    <xf numFmtId="3" fontId="52" fillId="0" borderId="0" xfId="0" applyNumberFormat="1" applyFont="1" applyBorder="1"/>
    <xf numFmtId="4" fontId="45" fillId="0" borderId="0" xfId="0" applyNumberFormat="1" applyFont="1" applyBorder="1"/>
    <xf numFmtId="3" fontId="52" fillId="0" borderId="0" xfId="0" applyNumberFormat="1" applyFont="1" applyFill="1" applyBorder="1" applyAlignment="1">
      <alignment horizontal="center"/>
    </xf>
    <xf numFmtId="3" fontId="45" fillId="0" borderId="0" xfId="0" applyNumberFormat="1" applyFont="1" applyFill="1" applyBorder="1"/>
    <xf numFmtId="3" fontId="45" fillId="0" borderId="0" xfId="0" applyNumberFormat="1" applyFont="1" applyFill="1" applyBorder="1" applyProtection="1">
      <protection locked="0"/>
    </xf>
    <xf numFmtId="9" fontId="45" fillId="0" borderId="0" xfId="2" applyFont="1" applyFill="1" applyBorder="1"/>
    <xf numFmtId="9" fontId="45" fillId="0" borderId="0" xfId="0" applyNumberFormat="1" applyFont="1" applyFill="1" applyBorder="1"/>
    <xf numFmtId="4" fontId="45" fillId="0" borderId="0" xfId="0" applyNumberFormat="1" applyFont="1" applyFill="1" applyBorder="1"/>
    <xf numFmtId="3" fontId="45" fillId="0" borderId="0" xfId="0" applyNumberFormat="1" applyFont="1" applyFill="1" applyBorder="1" applyAlignment="1" applyProtection="1">
      <protection locked="0"/>
    </xf>
    <xf numFmtId="3" fontId="45" fillId="0" borderId="0" xfId="0" applyNumberFormat="1" applyFont="1" applyFill="1" applyBorder="1" applyAlignment="1" applyProtection="1">
      <alignment horizontal="right"/>
      <protection locked="0"/>
    </xf>
    <xf numFmtId="0" fontId="45" fillId="0" borderId="0" xfId="0" applyFont="1" applyFill="1" applyBorder="1"/>
    <xf numFmtId="3" fontId="52" fillId="0" borderId="0" xfId="0" applyNumberFormat="1" applyFont="1" applyFill="1" applyBorder="1" applyAlignment="1" applyProtection="1">
      <alignment horizontal="left"/>
      <protection locked="0"/>
    </xf>
    <xf numFmtId="3" fontId="52" fillId="0" borderId="0" xfId="0" applyNumberFormat="1" applyFont="1" applyFill="1" applyBorder="1" applyAlignment="1" applyProtection="1">
      <protection locked="0"/>
    </xf>
    <xf numFmtId="3" fontId="45" fillId="15" borderId="0" xfId="0" applyNumberFormat="1" applyFont="1" applyFill="1" applyBorder="1" applyAlignment="1" applyProtection="1">
      <alignment horizontal="left"/>
      <protection locked="0"/>
    </xf>
    <xf numFmtId="0" fontId="45" fillId="0" borderId="0" xfId="0" applyFont="1" applyFill="1"/>
    <xf numFmtId="3" fontId="45" fillId="0" borderId="0" xfId="0" applyNumberFormat="1" applyFont="1" applyFill="1"/>
    <xf numFmtId="0" fontId="37" fillId="0" borderId="0" xfId="0" applyFont="1" applyFill="1" applyProtection="1">
      <protection locked="0"/>
    </xf>
    <xf numFmtId="0" fontId="37" fillId="0" borderId="0" xfId="0" applyFont="1" applyFill="1" applyAlignment="1" applyProtection="1">
      <protection locked="0"/>
    </xf>
    <xf numFmtId="0" fontId="37" fillId="0" borderId="0" xfId="0" applyFont="1" applyFill="1" applyBorder="1" applyProtection="1">
      <protection locked="0"/>
    </xf>
    <xf numFmtId="3" fontId="37" fillId="0" borderId="0" xfId="0" applyNumberFormat="1" applyFont="1" applyFill="1"/>
    <xf numFmtId="3" fontId="65" fillId="0" borderId="0" xfId="0" applyNumberFormat="1" applyFont="1" applyFill="1" applyBorder="1" applyAlignment="1" applyProtection="1">
      <alignment wrapText="1"/>
      <protection locked="0"/>
    </xf>
    <xf numFmtId="0" fontId="52" fillId="0" borderId="0" xfId="0" applyFont="1" applyBorder="1"/>
    <xf numFmtId="9" fontId="47" fillId="0" borderId="0" xfId="2" applyFont="1" applyBorder="1" applyProtection="1"/>
    <xf numFmtId="3" fontId="47" fillId="0" borderId="0" xfId="2" applyNumberFormat="1" applyFont="1" applyBorder="1" applyProtection="1"/>
    <xf numFmtId="3" fontId="47" fillId="0" borderId="0" xfId="0" applyNumberFormat="1" applyFont="1" applyBorder="1" applyProtection="1"/>
    <xf numFmtId="9" fontId="47" fillId="0" borderId="0" xfId="2" applyFont="1" applyFill="1" applyBorder="1"/>
    <xf numFmtId="3" fontId="47" fillId="0" borderId="0" xfId="2" applyNumberFormat="1" applyFont="1" applyFill="1" applyBorder="1"/>
    <xf numFmtId="0" fontId="47" fillId="0" borderId="0" xfId="0" applyFont="1" applyFill="1" applyBorder="1"/>
    <xf numFmtId="3" fontId="52" fillId="0" borderId="0" xfId="0" applyNumberFormat="1" applyFont="1" applyBorder="1" applyAlignment="1">
      <alignment horizontal="left"/>
    </xf>
    <xf numFmtId="3" fontId="45" fillId="0" borderId="0" xfId="0" applyNumberFormat="1" applyFont="1" applyBorder="1" applyAlignment="1">
      <alignment wrapText="1"/>
    </xf>
    <xf numFmtId="9" fontId="47" fillId="0" borderId="0" xfId="2" applyFont="1" applyBorder="1"/>
    <xf numFmtId="3" fontId="47" fillId="0" borderId="0" xfId="2" applyNumberFormat="1" applyFont="1" applyBorder="1"/>
    <xf numFmtId="0" fontId="47" fillId="0" borderId="0" xfId="0" applyFont="1" applyBorder="1"/>
    <xf numFmtId="0" fontId="61" fillId="0" borderId="0" xfId="0" applyFont="1" applyBorder="1"/>
    <xf numFmtId="1" fontId="45" fillId="4" borderId="0" xfId="0" applyNumberFormat="1" applyFont="1" applyFill="1" applyBorder="1" applyAlignment="1" applyProtection="1">
      <alignment horizontal="center"/>
      <protection locked="0"/>
    </xf>
    <xf numFmtId="4" fontId="45" fillId="0" borderId="0" xfId="0" applyNumberFormat="1" applyFont="1" applyBorder="1" applyProtection="1">
      <protection locked="0"/>
    </xf>
    <xf numFmtId="4" fontId="61" fillId="0" borderId="0" xfId="0" applyNumberFormat="1" applyFont="1" applyBorder="1"/>
    <xf numFmtId="0" fontId="45" fillId="0" borderId="0" xfId="0" applyFont="1" applyBorder="1" applyAlignment="1">
      <alignment wrapText="1"/>
    </xf>
    <xf numFmtId="0" fontId="62" fillId="0" borderId="0" xfId="0" applyFont="1" applyAlignment="1">
      <alignment wrapText="1"/>
    </xf>
    <xf numFmtId="0" fontId="3" fillId="0" borderId="0" xfId="0" applyFont="1" applyAlignment="1">
      <alignment horizontal="center"/>
    </xf>
    <xf numFmtId="3" fontId="37" fillId="15" borderId="0" xfId="0" applyNumberFormat="1" applyFont="1" applyFill="1"/>
    <xf numFmtId="0" fontId="37" fillId="15" borderId="0" xfId="0" applyFont="1" applyFill="1"/>
    <xf numFmtId="3" fontId="64" fillId="15" borderId="1" xfId="0" applyNumberFormat="1" applyFont="1" applyFill="1" applyBorder="1"/>
    <xf numFmtId="3" fontId="37" fillId="15" borderId="10" xfId="0" applyNumberFormat="1" applyFont="1" applyFill="1" applyBorder="1" applyAlignment="1">
      <alignment horizontal="center"/>
    </xf>
    <xf numFmtId="3" fontId="37" fillId="15" borderId="1" xfId="0" applyNumberFormat="1" applyFont="1" applyFill="1" applyBorder="1"/>
    <xf numFmtId="3" fontId="37" fillId="15" borderId="1" xfId="0" applyNumberFormat="1" applyFont="1" applyFill="1" applyBorder="1" applyProtection="1">
      <protection locked="0"/>
    </xf>
    <xf numFmtId="10" fontId="37" fillId="15" borderId="1" xfId="2" applyNumberFormat="1" applyFont="1" applyFill="1" applyBorder="1" applyProtection="1">
      <protection locked="0"/>
    </xf>
    <xf numFmtId="3" fontId="37" fillId="15" borderId="1" xfId="0" applyNumberFormat="1" applyFont="1" applyFill="1" applyBorder="1" applyProtection="1"/>
    <xf numFmtId="3" fontId="37" fillId="15" borderId="6" xfId="0" applyNumberFormat="1" applyFont="1" applyFill="1" applyBorder="1" applyProtection="1"/>
    <xf numFmtId="0" fontId="64" fillId="15" borderId="0" xfId="0" applyFont="1" applyFill="1"/>
    <xf numFmtId="3" fontId="52" fillId="15" borderId="1" xfId="0" applyNumberFormat="1" applyFont="1" applyFill="1" applyBorder="1"/>
    <xf numFmtId="3" fontId="64" fillId="15" borderId="1" xfId="0" applyNumberFormat="1" applyFont="1" applyFill="1" applyBorder="1" applyProtection="1">
      <protection locked="0"/>
    </xf>
    <xf numFmtId="10" fontId="64" fillId="15" borderId="1" xfId="2" applyNumberFormat="1" applyFont="1" applyFill="1" applyBorder="1" applyProtection="1">
      <protection locked="0"/>
    </xf>
    <xf numFmtId="3" fontId="64" fillId="15" borderId="0" xfId="0" applyNumberFormat="1" applyFont="1" applyFill="1"/>
    <xf numFmtId="3" fontId="66" fillId="15" borderId="1" xfId="0" applyNumberFormat="1" applyFont="1" applyFill="1" applyBorder="1" applyProtection="1">
      <protection locked="0"/>
    </xf>
    <xf numFmtId="3" fontId="67" fillId="15" borderId="0" xfId="0" applyNumberFormat="1" applyFont="1" applyFill="1" applyAlignment="1">
      <alignment horizontal="center"/>
    </xf>
    <xf numFmtId="3" fontId="27" fillId="0" borderId="1" xfId="0" applyNumberFormat="1" applyFont="1" applyBorder="1" applyProtection="1">
      <protection locked="0"/>
    </xf>
    <xf numFmtId="0" fontId="5" fillId="0" borderId="0" xfId="0" applyFont="1" applyFill="1" applyBorder="1" applyAlignment="1">
      <alignment horizontal="center"/>
    </xf>
    <xf numFmtId="0" fontId="6" fillId="0" borderId="0" xfId="0" applyFont="1" applyFill="1" applyBorder="1" applyAlignment="1">
      <alignment horizontal="center"/>
    </xf>
    <xf numFmtId="0" fontId="5" fillId="0" borderId="8" xfId="0" applyFont="1" applyBorder="1" applyAlignment="1">
      <alignment horizontal="center"/>
    </xf>
    <xf numFmtId="0" fontId="6" fillId="0" borderId="9" xfId="0" applyFont="1" applyBorder="1" applyAlignment="1">
      <alignment horizontal="center"/>
    </xf>
    <xf numFmtId="0" fontId="25" fillId="0" borderId="0" xfId="0" applyFont="1" applyAlignment="1">
      <alignment horizontal="center" vertical="center" wrapText="1"/>
    </xf>
    <xf numFmtId="0" fontId="25" fillId="0" borderId="0" xfId="0" applyFont="1" applyAlignment="1">
      <alignment horizontal="center" vertical="center"/>
    </xf>
    <xf numFmtId="0" fontId="5" fillId="0" borderId="68" xfId="0" applyFont="1" applyBorder="1" applyAlignment="1">
      <alignment horizontal="center" vertical="center"/>
    </xf>
    <xf numFmtId="0" fontId="6" fillId="0" borderId="0" xfId="0" applyFont="1" applyAlignment="1">
      <alignment horizontal="center" vertical="center"/>
    </xf>
    <xf numFmtId="167" fontId="6" fillId="0" borderId="0" xfId="0" applyNumberFormat="1" applyFont="1" applyBorder="1" applyAlignment="1">
      <alignment horizontal="center" wrapText="1"/>
    </xf>
    <xf numFmtId="0" fontId="5" fillId="0" borderId="39" xfId="0" applyFont="1" applyBorder="1" applyAlignment="1">
      <alignment horizontal="center" vertical="top" wrapText="1"/>
    </xf>
    <xf numFmtId="0" fontId="5" fillId="0" borderId="10" xfId="0" applyFont="1" applyBorder="1" applyAlignment="1">
      <alignment horizontal="center" vertical="top" wrapText="1"/>
    </xf>
    <xf numFmtId="0" fontId="5" fillId="0" borderId="8" xfId="0" applyFont="1" applyBorder="1" applyAlignment="1">
      <alignment horizontal="center" vertical="center" wrapText="1"/>
    </xf>
    <xf numFmtId="0" fontId="5" fillId="0" borderId="1" xfId="0" applyFont="1" applyBorder="1" applyAlignment="1">
      <alignment horizontal="center" vertical="center" wrapText="1"/>
    </xf>
    <xf numFmtId="0" fontId="5" fillId="0" borderId="8" xfId="0" applyFont="1" applyBorder="1" applyAlignment="1">
      <alignment horizontal="center" wrapText="1"/>
    </xf>
    <xf numFmtId="0" fontId="5" fillId="0" borderId="9" xfId="0" applyFont="1" applyBorder="1" applyAlignment="1">
      <alignment horizontal="center" wrapText="1"/>
    </xf>
    <xf numFmtId="0" fontId="64" fillId="0" borderId="0" xfId="0" applyFont="1" applyFill="1" applyBorder="1" applyAlignment="1" applyProtection="1">
      <alignment horizontal="center" vertical="center" wrapText="1"/>
    </xf>
    <xf numFmtId="0" fontId="4" fillId="0" borderId="1" xfId="0" applyFont="1" applyBorder="1" applyAlignment="1" applyProtection="1">
      <alignment horizontal="center" vertical="center"/>
    </xf>
    <xf numFmtId="0" fontId="3" fillId="0" borderId="1" xfId="0" applyFont="1" applyBorder="1" applyAlignment="1">
      <alignment horizontal="center"/>
    </xf>
    <xf numFmtId="0" fontId="4" fillId="0" borderId="48" xfId="0" applyFont="1" applyBorder="1" applyAlignment="1" applyProtection="1">
      <alignment horizontal="center" vertical="center"/>
    </xf>
    <xf numFmtId="0" fontId="3" fillId="0" borderId="48" xfId="0" applyFont="1" applyBorder="1" applyAlignment="1">
      <alignment horizontal="center"/>
    </xf>
    <xf numFmtId="0" fontId="64" fillId="0" borderId="0" xfId="0" applyFont="1" applyFill="1" applyBorder="1" applyAlignment="1" applyProtection="1">
      <alignment horizontal="center" vertical="center"/>
    </xf>
    <xf numFmtId="0" fontId="37" fillId="0" borderId="0" xfId="0" applyFont="1" applyFill="1" applyBorder="1" applyAlignment="1">
      <alignment horizontal="center"/>
    </xf>
    <xf numFmtId="0" fontId="22" fillId="0" borderId="0" xfId="0" applyFont="1"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4" fillId="0" borderId="68" xfId="0" applyFont="1" applyBorder="1" applyAlignment="1" applyProtection="1">
      <alignment horizontal="center" vertical="center"/>
    </xf>
    <xf numFmtId="0" fontId="3" fillId="0" borderId="0" xfId="0" applyFont="1" applyAlignment="1">
      <alignment horizontal="center" vertical="center"/>
    </xf>
    <xf numFmtId="0" fontId="4" fillId="0" borderId="8" xfId="0" applyFont="1" applyBorder="1" applyAlignment="1" applyProtection="1">
      <alignment horizontal="center" vertical="center" wrapText="1"/>
    </xf>
    <xf numFmtId="0" fontId="4" fillId="0" borderId="1" xfId="0" applyFont="1" applyBorder="1" applyAlignment="1" applyProtection="1">
      <alignment horizontal="center" vertical="center" wrapText="1"/>
    </xf>
    <xf numFmtId="0" fontId="3" fillId="0" borderId="1" xfId="0" applyFont="1" applyBorder="1" applyAlignment="1" applyProtection="1">
      <alignment horizontal="center" vertical="center" wrapText="1"/>
    </xf>
    <xf numFmtId="0" fontId="64" fillId="0" borderId="1" xfId="0" applyFont="1" applyBorder="1" applyAlignment="1" applyProtection="1">
      <alignment horizontal="center" vertical="center" wrapText="1"/>
    </xf>
    <xf numFmtId="0" fontId="29" fillId="0" borderId="0" xfId="4" applyFont="1" applyAlignment="1" applyProtection="1">
      <alignment horizontal="center"/>
      <protection hidden="1"/>
    </xf>
    <xf numFmtId="0" fontId="36" fillId="0" borderId="0" xfId="0" applyFont="1" applyAlignment="1">
      <alignment horizontal="center" vertical="center" wrapText="1"/>
    </xf>
    <xf numFmtId="3" fontId="5" fillId="0" borderId="12" xfId="0" applyNumberFormat="1" applyFont="1" applyBorder="1" applyAlignment="1">
      <alignment horizontal="center" vertical="center" wrapText="1"/>
    </xf>
    <xf numFmtId="0" fontId="6" fillId="0" borderId="21" xfId="0" applyFont="1" applyBorder="1" applyAlignment="1">
      <alignment horizontal="center" vertical="center" wrapText="1"/>
    </xf>
    <xf numFmtId="0" fontId="6" fillId="0" borderId="26" xfId="0" applyFont="1" applyBorder="1" applyAlignment="1">
      <alignment horizontal="center" vertical="center" wrapText="1"/>
    </xf>
    <xf numFmtId="3" fontId="5" fillId="0" borderId="14" xfId="0" applyNumberFormat="1" applyFont="1" applyBorder="1" applyAlignment="1">
      <alignment horizontal="center" vertical="center" wrapText="1"/>
    </xf>
    <xf numFmtId="3" fontId="5" fillId="0" borderId="16" xfId="0" applyNumberFormat="1" applyFont="1" applyBorder="1" applyAlignment="1">
      <alignment horizontal="center" vertical="center" wrapText="1"/>
    </xf>
    <xf numFmtId="3" fontId="5" fillId="0" borderId="15" xfId="0" applyNumberFormat="1" applyFont="1" applyBorder="1" applyAlignment="1">
      <alignment horizontal="center" vertical="center" wrapText="1"/>
    </xf>
    <xf numFmtId="3" fontId="5" fillId="0" borderId="63" xfId="0" applyNumberFormat="1" applyFont="1" applyBorder="1" applyAlignment="1">
      <alignment horizontal="center" vertical="center" wrapText="1"/>
    </xf>
    <xf numFmtId="3" fontId="5" fillId="0" borderId="36" xfId="0" applyNumberFormat="1" applyFont="1" applyBorder="1" applyAlignment="1">
      <alignment horizontal="center" vertical="center" wrapText="1"/>
    </xf>
    <xf numFmtId="3" fontId="5" fillId="0" borderId="29" xfId="0" applyNumberFormat="1" applyFont="1" applyBorder="1" applyAlignment="1">
      <alignment horizontal="center" vertical="center" wrapText="1"/>
    </xf>
    <xf numFmtId="3" fontId="5" fillId="0" borderId="64" xfId="0" applyNumberFormat="1" applyFont="1" applyBorder="1" applyAlignment="1">
      <alignment horizontal="center" vertical="center" wrapText="1"/>
    </xf>
    <xf numFmtId="0" fontId="6" fillId="0" borderId="55" xfId="0" applyFont="1" applyBorder="1" applyAlignment="1">
      <alignment horizontal="center" vertical="center" wrapText="1"/>
    </xf>
    <xf numFmtId="0" fontId="6" fillId="0" borderId="56" xfId="0" applyFont="1" applyBorder="1" applyAlignment="1">
      <alignment horizontal="center" vertical="center" wrapText="1"/>
    </xf>
    <xf numFmtId="1" fontId="5" fillId="0" borderId="64" xfId="0" applyNumberFormat="1" applyFont="1" applyBorder="1" applyAlignment="1">
      <alignment horizontal="center" vertical="center"/>
    </xf>
    <xf numFmtId="1" fontId="5" fillId="0" borderId="56" xfId="0" applyNumberFormat="1" applyFont="1" applyBorder="1" applyAlignment="1">
      <alignment horizontal="center" vertical="center"/>
    </xf>
    <xf numFmtId="0" fontId="5" fillId="0" borderId="0" xfId="0" applyFont="1" applyFill="1" applyAlignment="1">
      <alignment horizontal="center"/>
    </xf>
    <xf numFmtId="3" fontId="5" fillId="0" borderId="0" xfId="0" applyNumberFormat="1" applyFont="1" applyAlignment="1">
      <alignment horizontal="center" wrapText="1"/>
    </xf>
    <xf numFmtId="14" fontId="5" fillId="0" borderId="0" xfId="0" applyNumberFormat="1"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6" fillId="0" borderId="10" xfId="0" quotePrefix="1" applyFont="1" applyBorder="1" applyAlignment="1">
      <alignment wrapText="1"/>
    </xf>
    <xf numFmtId="0" fontId="6" fillId="0" borderId="1" xfId="0" applyFont="1" applyBorder="1" applyAlignment="1">
      <alignment wrapText="1"/>
    </xf>
    <xf numFmtId="0" fontId="36" fillId="0" borderId="0" xfId="0" applyFont="1" applyAlignment="1">
      <alignment horizontal="center" vertical="center"/>
    </xf>
    <xf numFmtId="0" fontId="41" fillId="0" borderId="0" xfId="0" applyFont="1" applyBorder="1" applyAlignment="1">
      <alignment horizontal="center"/>
    </xf>
    <xf numFmtId="0" fontId="5" fillId="0" borderId="0" xfId="0" applyFont="1" applyBorder="1" applyAlignment="1">
      <alignment horizontal="center" wrapText="1"/>
    </xf>
    <xf numFmtId="0" fontId="6" fillId="0" borderId="0" xfId="0" applyFont="1" applyAlignment="1">
      <alignment horizontal="center" wrapText="1"/>
    </xf>
    <xf numFmtId="49" fontId="5" fillId="0" borderId="10" xfId="0" quotePrefix="1" applyNumberFormat="1" applyFont="1" applyFill="1" applyBorder="1" applyAlignment="1">
      <alignment horizontal="left" wrapText="1"/>
    </xf>
    <xf numFmtId="49" fontId="5" fillId="0" borderId="1" xfId="0" quotePrefix="1" applyNumberFormat="1" applyFont="1" applyFill="1" applyBorder="1" applyAlignment="1">
      <alignment horizontal="left" wrapText="1"/>
    </xf>
    <xf numFmtId="0" fontId="6" fillId="0" borderId="0" xfId="0" applyFont="1" applyBorder="1" applyAlignment="1" applyProtection="1">
      <alignment horizontal="center"/>
      <protection locked="0"/>
    </xf>
    <xf numFmtId="3" fontId="46" fillId="0" borderId="0" xfId="0" applyNumberFormat="1" applyFont="1" applyBorder="1" applyAlignment="1">
      <alignment horizontal="center" vertical="center" wrapText="1"/>
    </xf>
    <xf numFmtId="3" fontId="23" fillId="0" borderId="8" xfId="0" applyNumberFormat="1" applyFont="1" applyBorder="1" applyAlignment="1" applyProtection="1">
      <alignment horizontal="center" vertical="center" wrapText="1"/>
    </xf>
    <xf numFmtId="3" fontId="23" fillId="0" borderId="47" xfId="0" applyNumberFormat="1" applyFont="1" applyBorder="1" applyAlignment="1" applyProtection="1">
      <alignment horizontal="center" vertical="center" wrapText="1"/>
    </xf>
    <xf numFmtId="3" fontId="23" fillId="0" borderId="8" xfId="0" applyNumberFormat="1" applyFont="1" applyFill="1" applyBorder="1" applyAlignment="1" applyProtection="1">
      <alignment horizontal="center" vertical="center" wrapText="1"/>
    </xf>
    <xf numFmtId="3" fontId="23" fillId="0" borderId="47" xfId="0" applyNumberFormat="1" applyFont="1" applyFill="1" applyBorder="1" applyAlignment="1" applyProtection="1">
      <alignment horizontal="center" vertical="center" wrapText="1"/>
    </xf>
    <xf numFmtId="3" fontId="23" fillId="0" borderId="9" xfId="0" applyNumberFormat="1" applyFont="1" applyFill="1" applyBorder="1" applyAlignment="1" applyProtection="1">
      <alignment horizontal="center" vertical="center" wrapText="1"/>
    </xf>
    <xf numFmtId="3" fontId="23" fillId="0" borderId="42" xfId="0" applyNumberFormat="1" applyFont="1" applyFill="1" applyBorder="1" applyAlignment="1" applyProtection="1">
      <alignment horizontal="center" vertical="center" wrapText="1"/>
    </xf>
    <xf numFmtId="3" fontId="23" fillId="0" borderId="12" xfId="0" applyNumberFormat="1" applyFont="1" applyBorder="1" applyAlignment="1" applyProtection="1">
      <alignment horizontal="center" vertical="center" wrapText="1"/>
    </xf>
    <xf numFmtId="3" fontId="23" fillId="0" borderId="21" xfId="0" applyNumberFormat="1" applyFont="1" applyBorder="1" applyAlignment="1" applyProtection="1">
      <alignment horizontal="center" vertical="center" wrapText="1"/>
    </xf>
    <xf numFmtId="3" fontId="41" fillId="0" borderId="0" xfId="0" applyNumberFormat="1" applyFont="1" applyAlignment="1">
      <alignment horizontal="center" vertical="center" wrapText="1"/>
    </xf>
    <xf numFmtId="0" fontId="66" fillId="0" borderId="0" xfId="0" applyFont="1" applyBorder="1" applyAlignment="1">
      <alignment horizontal="center" wrapText="1"/>
    </xf>
    <xf numFmtId="166" fontId="3" fillId="0" borderId="47" xfId="0" applyNumberFormat="1" applyFont="1" applyFill="1" applyBorder="1" applyAlignment="1" applyProtection="1">
      <alignment horizontal="center" vertical="center"/>
      <protection hidden="1"/>
    </xf>
    <xf numFmtId="166" fontId="2" fillId="0" borderId="5" xfId="0" applyNumberFormat="1" applyFont="1" applyFill="1" applyBorder="1" applyAlignment="1" applyProtection="1">
      <alignment horizontal="center" vertical="center"/>
      <protection hidden="1"/>
    </xf>
    <xf numFmtId="0" fontId="23" fillId="0" borderId="3" xfId="0" applyFont="1" applyBorder="1" applyAlignment="1" applyProtection="1">
      <alignment horizontal="center"/>
      <protection hidden="1"/>
    </xf>
    <xf numFmtId="0" fontId="23" fillId="0" borderId="25" xfId="0" applyFont="1" applyBorder="1" applyAlignment="1" applyProtection="1">
      <alignment horizontal="center"/>
      <protection hidden="1"/>
    </xf>
    <xf numFmtId="0" fontId="23" fillId="0" borderId="20" xfId="0" applyFont="1" applyBorder="1" applyAlignment="1" applyProtection="1">
      <alignment horizontal="center"/>
      <protection hidden="1"/>
    </xf>
    <xf numFmtId="0" fontId="23" fillId="0" borderId="48" xfId="0" applyFont="1" applyBorder="1" applyAlignment="1" applyProtection="1">
      <alignment horizontal="center"/>
      <protection hidden="1"/>
    </xf>
    <xf numFmtId="0" fontId="23" fillId="0" borderId="46" xfId="0" applyFont="1" applyBorder="1" applyAlignment="1" applyProtection="1">
      <alignment horizontal="center"/>
      <protection hidden="1"/>
    </xf>
    <xf numFmtId="0" fontId="23" fillId="0" borderId="74" xfId="0" applyFont="1" applyBorder="1" applyAlignment="1" applyProtection="1">
      <alignment horizontal="center"/>
      <protection hidden="1"/>
    </xf>
    <xf numFmtId="0" fontId="44" fillId="0" borderId="60" xfId="0" applyFont="1" applyBorder="1" applyAlignment="1" applyProtection="1">
      <alignment horizontal="center" vertical="center"/>
      <protection hidden="1"/>
    </xf>
    <xf numFmtId="0" fontId="44" fillId="0" borderId="61" xfId="0" applyFont="1" applyBorder="1" applyAlignment="1" applyProtection="1">
      <alignment horizontal="center" vertical="center"/>
      <protection hidden="1"/>
    </xf>
    <xf numFmtId="0" fontId="44" fillId="0" borderId="62" xfId="0" applyFont="1" applyBorder="1" applyAlignment="1" applyProtection="1">
      <alignment horizontal="center" vertical="center"/>
      <protection hidden="1"/>
    </xf>
    <xf numFmtId="0" fontId="36" fillId="0" borderId="48" xfId="0" applyFont="1" applyBorder="1" applyAlignment="1" applyProtection="1">
      <alignment horizontal="center"/>
      <protection hidden="1"/>
    </xf>
    <xf numFmtId="0" fontId="36" fillId="0" borderId="46" xfId="0" applyFont="1" applyBorder="1" applyAlignment="1" applyProtection="1">
      <alignment horizontal="center"/>
      <protection hidden="1"/>
    </xf>
    <xf numFmtId="0" fontId="36" fillId="0" borderId="49" xfId="0" applyFont="1" applyBorder="1" applyAlignment="1" applyProtection="1">
      <alignment horizontal="center"/>
      <protection hidden="1"/>
    </xf>
    <xf numFmtId="0" fontId="54" fillId="0" borderId="48" xfId="0" applyFont="1" applyBorder="1" applyAlignment="1" applyProtection="1">
      <alignment horizontal="center" wrapText="1"/>
      <protection hidden="1"/>
    </xf>
    <xf numFmtId="0" fontId="54" fillId="0" borderId="46" xfId="0" applyFont="1" applyBorder="1" applyAlignment="1" applyProtection="1">
      <alignment horizontal="center" wrapText="1"/>
      <protection hidden="1"/>
    </xf>
    <xf numFmtId="0" fontId="54" fillId="0" borderId="49" xfId="0" applyFont="1" applyBorder="1" applyAlignment="1" applyProtection="1">
      <alignment horizontal="center" wrapText="1"/>
      <protection hidden="1"/>
    </xf>
    <xf numFmtId="0" fontId="54" fillId="0" borderId="72" xfId="0" applyFont="1" applyBorder="1" applyAlignment="1" applyProtection="1">
      <alignment horizontal="center"/>
      <protection hidden="1"/>
    </xf>
    <xf numFmtId="0" fontId="54" fillId="0" borderId="57" xfId="0" applyFont="1" applyBorder="1" applyAlignment="1" applyProtection="1">
      <alignment horizontal="center"/>
      <protection hidden="1"/>
    </xf>
    <xf numFmtId="0" fontId="54" fillId="0" borderId="53" xfId="0" applyFont="1" applyBorder="1" applyAlignment="1" applyProtection="1">
      <alignment horizontal="center"/>
      <protection hidden="1"/>
    </xf>
    <xf numFmtId="0" fontId="54" fillId="0" borderId="48" xfId="0" applyFont="1" applyBorder="1" applyAlignment="1" applyProtection="1">
      <alignment horizontal="center"/>
      <protection hidden="1"/>
    </xf>
    <xf numFmtId="0" fontId="54" fillId="0" borderId="46" xfId="0" applyFont="1" applyBorder="1" applyAlignment="1" applyProtection="1">
      <alignment horizontal="center"/>
      <protection hidden="1"/>
    </xf>
    <xf numFmtId="0" fontId="54" fillId="0" borderId="49" xfId="0" applyFont="1" applyBorder="1" applyAlignment="1" applyProtection="1">
      <alignment horizontal="center"/>
      <protection hidden="1"/>
    </xf>
    <xf numFmtId="0" fontId="41" fillId="0" borderId="0" xfId="0" applyFont="1" applyAlignment="1">
      <alignment horizontal="center" vertical="center"/>
    </xf>
    <xf numFmtId="0" fontId="36" fillId="0" borderId="64" xfId="0" applyFont="1" applyBorder="1" applyAlignment="1">
      <alignment horizontal="center" vertical="center"/>
    </xf>
    <xf numFmtId="0" fontId="36" fillId="0" borderId="55" xfId="0" applyFont="1" applyBorder="1" applyAlignment="1">
      <alignment horizontal="center" vertical="center"/>
    </xf>
    <xf numFmtId="0" fontId="36" fillId="0" borderId="56" xfId="0" applyFont="1" applyBorder="1" applyAlignment="1">
      <alignment horizontal="center" vertical="center"/>
    </xf>
    <xf numFmtId="0" fontId="19" fillId="0" borderId="0" xfId="0" applyFont="1" applyAlignment="1" applyProtection="1">
      <alignment horizontal="center" vertical="center" wrapText="1"/>
    </xf>
    <xf numFmtId="0" fontId="54" fillId="0" borderId="3" xfId="0" quotePrefix="1" applyFont="1" applyBorder="1" applyAlignment="1" applyProtection="1">
      <alignment horizontal="center" wrapText="1"/>
      <protection hidden="1"/>
    </xf>
    <xf numFmtId="0" fontId="54" fillId="0" borderId="25" xfId="0" applyFont="1" applyBorder="1" applyAlignment="1" applyProtection="1">
      <alignment horizontal="center" wrapText="1"/>
      <protection hidden="1"/>
    </xf>
    <xf numFmtId="0" fontId="54" fillId="0" borderId="45" xfId="0" applyFont="1" applyBorder="1" applyAlignment="1" applyProtection="1">
      <alignment horizontal="center" wrapText="1"/>
      <protection hidden="1"/>
    </xf>
    <xf numFmtId="0" fontId="54" fillId="0" borderId="48" xfId="0" applyFont="1" applyBorder="1" applyAlignment="1" applyProtection="1">
      <alignment horizontal="center" vertical="center" wrapText="1"/>
      <protection hidden="1"/>
    </xf>
    <xf numFmtId="0" fontId="2" fillId="0" borderId="46" xfId="0" applyFont="1" applyBorder="1" applyAlignment="1" applyProtection="1">
      <alignment horizontal="center" vertical="center" wrapText="1"/>
      <protection hidden="1"/>
    </xf>
    <xf numFmtId="0" fontId="2" fillId="0" borderId="49" xfId="0" applyFont="1" applyBorder="1" applyAlignment="1" applyProtection="1">
      <alignment horizontal="center" vertical="center" wrapText="1"/>
      <protection hidden="1"/>
    </xf>
    <xf numFmtId="0" fontId="54" fillId="0" borderId="57"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0" fontId="2" fillId="0" borderId="0" xfId="0" applyFont="1" applyBorder="1" applyAlignment="1" applyProtection="1">
      <alignment horizontal="center" vertical="center" wrapText="1"/>
      <protection hidden="1"/>
    </xf>
    <xf numFmtId="0" fontId="2" fillId="0" borderId="67" xfId="0" applyFont="1" applyBorder="1" applyAlignment="1" applyProtection="1">
      <alignment horizontal="center" vertical="center" wrapText="1"/>
      <protection hidden="1"/>
    </xf>
    <xf numFmtId="166" fontId="11" fillId="0" borderId="42" xfId="0" applyNumberFormat="1" applyFont="1" applyBorder="1" applyAlignment="1" applyProtection="1">
      <alignment horizontal="center" vertical="center"/>
    </xf>
    <xf numFmtId="166" fontId="11" fillId="0" borderId="70" xfId="0" applyNumberFormat="1" applyFont="1" applyBorder="1" applyAlignment="1" applyProtection="1">
      <alignment horizontal="center" vertical="center"/>
    </xf>
    <xf numFmtId="166" fontId="11" fillId="0" borderId="73" xfId="0" applyNumberFormat="1" applyFont="1" applyBorder="1" applyAlignment="1" applyProtection="1">
      <alignment horizontal="center" vertical="center"/>
    </xf>
    <xf numFmtId="166" fontId="11" fillId="0" borderId="66" xfId="0" applyNumberFormat="1" applyFont="1" applyBorder="1" applyAlignment="1" applyProtection="1">
      <alignment horizontal="center" vertical="center"/>
    </xf>
    <xf numFmtId="0" fontId="54" fillId="0" borderId="68" xfId="0" applyFont="1" applyFill="1" applyBorder="1" applyAlignment="1" applyProtection="1">
      <alignment horizontal="center" vertical="center" wrapText="1"/>
      <protection hidden="1"/>
    </xf>
    <xf numFmtId="0" fontId="54" fillId="0" borderId="0" xfId="0" quotePrefix="1" applyFont="1" applyFill="1" applyBorder="1" applyAlignment="1" applyProtection="1">
      <alignment horizontal="center" vertical="center" wrapText="1"/>
      <protection hidden="1"/>
    </xf>
    <xf numFmtId="0" fontId="54" fillId="0" borderId="67" xfId="0" quotePrefix="1" applyFont="1" applyFill="1" applyBorder="1" applyAlignment="1" applyProtection="1">
      <alignment horizontal="center" vertical="center" wrapText="1"/>
      <protection hidden="1"/>
    </xf>
    <xf numFmtId="0" fontId="2" fillId="0" borderId="3" xfId="0" applyFont="1" applyFill="1" applyBorder="1" applyAlignment="1" applyProtection="1">
      <alignment horizontal="center" vertical="center" wrapText="1"/>
      <protection hidden="1"/>
    </xf>
    <xf numFmtId="0" fontId="2" fillId="0" borderId="25" xfId="0" applyFont="1" applyFill="1" applyBorder="1" applyAlignment="1" applyProtection="1">
      <alignment horizontal="center" vertical="center" wrapText="1"/>
      <protection hidden="1"/>
    </xf>
    <xf numFmtId="0" fontId="2" fillId="0" borderId="45" xfId="0" applyFont="1" applyFill="1" applyBorder="1" applyAlignment="1" applyProtection="1">
      <alignment horizontal="center" vertical="center" wrapText="1"/>
      <protection hidden="1"/>
    </xf>
    <xf numFmtId="0" fontId="54" fillId="0" borderId="48" xfId="0" applyFont="1" applyFill="1" applyBorder="1" applyAlignment="1" applyProtection="1">
      <alignment horizontal="center"/>
      <protection hidden="1"/>
    </xf>
    <xf numFmtId="0" fontId="54" fillId="0" borderId="46" xfId="0" applyFont="1" applyFill="1" applyBorder="1" applyAlignment="1" applyProtection="1">
      <alignment horizontal="center"/>
      <protection hidden="1"/>
    </xf>
    <xf numFmtId="0" fontId="54" fillId="0" borderId="49" xfId="0" applyFont="1" applyFill="1" applyBorder="1" applyAlignment="1" applyProtection="1">
      <alignment horizontal="center"/>
      <protection hidden="1"/>
    </xf>
    <xf numFmtId="0" fontId="54" fillId="0" borderId="72" xfId="0" quotePrefix="1" applyFont="1" applyFill="1" applyBorder="1" applyAlignment="1" applyProtection="1">
      <alignment horizontal="center" vertical="center"/>
      <protection hidden="1"/>
    </xf>
    <xf numFmtId="0" fontId="2" fillId="0" borderId="57" xfId="0" applyFont="1" applyFill="1" applyBorder="1" applyAlignment="1" applyProtection="1">
      <alignment horizontal="center" vertical="center"/>
      <protection hidden="1"/>
    </xf>
    <xf numFmtId="0" fontId="2" fillId="0" borderId="53" xfId="0" applyFont="1" applyFill="1" applyBorder="1" applyAlignment="1" applyProtection="1">
      <alignment horizontal="center" vertical="center"/>
      <protection hidden="1"/>
    </xf>
    <xf numFmtId="0" fontId="2" fillId="0" borderId="68" xfId="0" applyFont="1" applyFill="1" applyBorder="1" applyAlignment="1" applyProtection="1">
      <alignment horizontal="center" vertical="center"/>
      <protection hidden="1"/>
    </xf>
    <xf numFmtId="0" fontId="2" fillId="0" borderId="0" xfId="0" applyFont="1" applyFill="1" applyBorder="1" applyAlignment="1" applyProtection="1">
      <alignment horizontal="center" vertical="center"/>
      <protection hidden="1"/>
    </xf>
    <xf numFmtId="0" fontId="2" fillId="0" borderId="67" xfId="0" applyFont="1" applyFill="1" applyBorder="1" applyAlignment="1" applyProtection="1">
      <alignment horizontal="center" vertical="center"/>
      <protection hidden="1"/>
    </xf>
    <xf numFmtId="166" fontId="2" fillId="0" borderId="47" xfId="0" applyNumberFormat="1" applyFont="1" applyFill="1" applyBorder="1" applyAlignment="1" applyProtection="1">
      <alignment horizontal="center" vertical="center"/>
      <protection hidden="1"/>
    </xf>
    <xf numFmtId="166" fontId="2" fillId="0" borderId="4" xfId="0" applyNumberFormat="1" applyFont="1" applyFill="1" applyBorder="1" applyAlignment="1" applyProtection="1">
      <alignment horizontal="center" vertical="center"/>
      <protection hidden="1"/>
    </xf>
    <xf numFmtId="0" fontId="36" fillId="0" borderId="50" xfId="0" applyFont="1" applyBorder="1" applyAlignment="1" applyProtection="1">
      <alignment horizontal="center" vertical="center"/>
      <protection hidden="1"/>
    </xf>
    <xf numFmtId="0" fontId="36" fillId="0" borderId="18" xfId="0" applyFont="1" applyBorder="1" applyAlignment="1" applyProtection="1">
      <alignment horizontal="center" vertical="center"/>
      <protection hidden="1"/>
    </xf>
    <xf numFmtId="0" fontId="54" fillId="0" borderId="72" xfId="0" applyFont="1" applyBorder="1" applyAlignment="1" applyProtection="1">
      <alignment horizontal="center" vertical="center"/>
      <protection hidden="1"/>
    </xf>
    <xf numFmtId="0" fontId="2" fillId="0" borderId="57" xfId="0" applyFont="1" applyBorder="1" applyAlignment="1" applyProtection="1">
      <alignment horizontal="center" vertical="center"/>
      <protection hidden="1"/>
    </xf>
    <xf numFmtId="0" fontId="2" fillId="0" borderId="53" xfId="0" applyFont="1" applyBorder="1" applyAlignment="1" applyProtection="1">
      <alignment horizontal="center" vertical="center"/>
      <protection hidden="1"/>
    </xf>
    <xf numFmtId="0" fontId="2" fillId="0" borderId="68" xfId="0" applyFont="1" applyBorder="1" applyAlignment="1" applyProtection="1">
      <alignment horizontal="center" vertical="center"/>
      <protection hidden="1"/>
    </xf>
    <xf numFmtId="0" fontId="2" fillId="0" borderId="0" xfId="0" applyFont="1" applyBorder="1" applyAlignment="1" applyProtection="1">
      <alignment horizontal="center" vertical="center"/>
      <protection hidden="1"/>
    </xf>
    <xf numFmtId="0" fontId="2" fillId="0" borderId="67" xfId="0" applyFont="1" applyBorder="1" applyAlignment="1" applyProtection="1">
      <alignment horizontal="center" vertical="center"/>
      <protection hidden="1"/>
    </xf>
    <xf numFmtId="166" fontId="11" fillId="0" borderId="43" xfId="0" applyNumberFormat="1" applyFont="1" applyBorder="1" applyAlignment="1" applyProtection="1">
      <alignment horizontal="center" vertical="center"/>
    </xf>
    <xf numFmtId="0" fontId="36" fillId="0" borderId="22" xfId="0" applyFont="1" applyBorder="1" applyAlignment="1" applyProtection="1">
      <alignment horizontal="center" vertical="center"/>
      <protection hidden="1"/>
    </xf>
    <xf numFmtId="0" fontId="54" fillId="0" borderId="72" xfId="0" applyFont="1" applyBorder="1" applyAlignment="1" applyProtection="1">
      <alignment horizontal="center" vertical="center" wrapText="1"/>
      <protection hidden="1"/>
    </xf>
    <xf numFmtId="0" fontId="54" fillId="0" borderId="57" xfId="0" quotePrefix="1" applyFont="1" applyBorder="1" applyAlignment="1" applyProtection="1">
      <alignment horizontal="center" vertical="center" wrapText="1"/>
      <protection hidden="1"/>
    </xf>
    <xf numFmtId="0" fontId="54" fillId="0" borderId="53" xfId="0" quotePrefix="1" applyFont="1" applyBorder="1" applyAlignment="1" applyProtection="1">
      <alignment horizontal="center" vertical="center" wrapText="1"/>
      <protection hidden="1"/>
    </xf>
    <xf numFmtId="0" fontId="2" fillId="0" borderId="3" xfId="0" applyFont="1" applyBorder="1" applyAlignment="1" applyProtection="1">
      <alignment horizontal="center" vertical="center"/>
      <protection hidden="1"/>
    </xf>
    <xf numFmtId="0" fontId="2" fillId="0" borderId="25" xfId="0" applyFont="1" applyBorder="1" applyAlignment="1" applyProtection="1">
      <alignment horizontal="center" vertical="center"/>
      <protection hidden="1"/>
    </xf>
    <xf numFmtId="0" fontId="2" fillId="0" borderId="45" xfId="0" applyFont="1" applyBorder="1" applyAlignment="1" applyProtection="1">
      <alignment horizontal="center" vertical="center"/>
      <protection hidden="1"/>
    </xf>
    <xf numFmtId="166" fontId="3" fillId="0" borderId="47" xfId="0" applyNumberFormat="1" applyFont="1" applyBorder="1" applyAlignment="1" applyProtection="1">
      <alignment horizontal="center" vertical="center"/>
      <protection hidden="1"/>
    </xf>
    <xf numFmtId="166" fontId="3" fillId="0" borderId="4" xfId="0" applyNumberFormat="1" applyFont="1" applyBorder="1" applyAlignment="1" applyProtection="1">
      <alignment horizontal="center" vertical="center"/>
      <protection hidden="1"/>
    </xf>
    <xf numFmtId="0" fontId="36" fillId="0" borderId="1" xfId="0" applyFont="1" applyFill="1" applyBorder="1" applyAlignment="1" applyProtection="1">
      <alignment horizontal="center" wrapText="1"/>
      <protection hidden="1"/>
    </xf>
    <xf numFmtId="0" fontId="54" fillId="0" borderId="3" xfId="0" applyFont="1" applyFill="1" applyBorder="1" applyAlignment="1" applyProtection="1">
      <alignment horizontal="center" wrapText="1"/>
      <protection hidden="1"/>
    </xf>
    <xf numFmtId="0" fontId="54" fillId="0" borderId="25" xfId="0" applyFont="1" applyFill="1" applyBorder="1" applyAlignment="1" applyProtection="1">
      <alignment horizontal="center" wrapText="1"/>
      <protection hidden="1"/>
    </xf>
    <xf numFmtId="0" fontId="54" fillId="0" borderId="45" xfId="0" applyFont="1" applyFill="1" applyBorder="1" applyAlignment="1" applyProtection="1">
      <alignment horizontal="center" wrapText="1"/>
      <protection hidden="1"/>
    </xf>
    <xf numFmtId="0" fontId="54" fillId="0" borderId="72" xfId="0" quotePrefix="1" applyFont="1" applyFill="1" applyBorder="1" applyAlignment="1" applyProtection="1">
      <alignment horizontal="center" vertical="center" wrapText="1"/>
      <protection hidden="1"/>
    </xf>
    <xf numFmtId="0" fontId="54" fillId="0" borderId="57" xfId="0" quotePrefix="1" applyFont="1" applyFill="1" applyBorder="1" applyAlignment="1" applyProtection="1">
      <alignment horizontal="center" vertical="center" wrapText="1"/>
      <protection hidden="1"/>
    </xf>
    <xf numFmtId="0" fontId="54" fillId="0" borderId="53" xfId="0" quotePrefix="1" applyFont="1" applyFill="1" applyBorder="1" applyAlignment="1" applyProtection="1">
      <alignment horizontal="center" vertical="center" wrapText="1"/>
      <protection hidden="1"/>
    </xf>
    <xf numFmtId="166" fontId="55" fillId="10" borderId="47" xfId="0" applyNumberFormat="1" applyFont="1" applyFill="1" applyBorder="1" applyAlignment="1" applyProtection="1">
      <alignment horizontal="center" vertical="center"/>
      <protection locked="0" hidden="1"/>
    </xf>
    <xf numFmtId="166" fontId="56" fillId="10" borderId="5" xfId="0" applyNumberFormat="1" applyFont="1" applyFill="1" applyBorder="1" applyAlignment="1" applyProtection="1">
      <alignment horizontal="center" vertical="center"/>
      <protection locked="0" hidden="1"/>
    </xf>
    <xf numFmtId="0" fontId="0" fillId="0" borderId="1" xfId="0" applyFont="1" applyFill="1" applyBorder="1" applyAlignment="1" applyProtection="1">
      <alignment horizontal="center" vertical="center" wrapText="1"/>
      <protection hidden="1"/>
    </xf>
    <xf numFmtId="0" fontId="23" fillId="0" borderId="48" xfId="0" applyFont="1" applyFill="1" applyBorder="1" applyAlignment="1" applyProtection="1">
      <alignment horizontal="center"/>
      <protection hidden="1"/>
    </xf>
    <xf numFmtId="0" fontId="23" fillId="0" borderId="46" xfId="0" applyFont="1" applyFill="1" applyBorder="1" applyAlignment="1" applyProtection="1">
      <alignment horizontal="center"/>
      <protection hidden="1"/>
    </xf>
    <xf numFmtId="0" fontId="23" fillId="0" borderId="74" xfId="0" applyFont="1" applyFill="1" applyBorder="1" applyAlignment="1" applyProtection="1">
      <alignment horizontal="center"/>
      <protection hidden="1"/>
    </xf>
    <xf numFmtId="0" fontId="2" fillId="0" borderId="68" xfId="0" applyFont="1" applyFill="1" applyBorder="1" applyAlignment="1" applyProtection="1">
      <alignment horizontal="center" vertical="center" wrapText="1"/>
      <protection hidden="1"/>
    </xf>
    <xf numFmtId="0" fontId="2" fillId="0" borderId="0" xfId="0" applyFont="1" applyFill="1" applyBorder="1" applyAlignment="1" applyProtection="1">
      <alignment horizontal="center" vertical="center" wrapText="1"/>
      <protection hidden="1"/>
    </xf>
    <xf numFmtId="0" fontId="2" fillId="0" borderId="67" xfId="0" applyFont="1" applyFill="1" applyBorder="1" applyAlignment="1" applyProtection="1">
      <alignment horizontal="center" vertical="center" wrapText="1"/>
      <protection hidden="1"/>
    </xf>
    <xf numFmtId="166" fontId="3" fillId="10" borderId="47" xfId="0" applyNumberFormat="1" applyFont="1" applyFill="1" applyBorder="1" applyAlignment="1" applyProtection="1">
      <alignment horizontal="center" vertical="center"/>
      <protection locked="0" hidden="1"/>
    </xf>
    <xf numFmtId="166" fontId="2" fillId="10" borderId="5" xfId="0" applyNumberFormat="1" applyFont="1" applyFill="1" applyBorder="1" applyAlignment="1" applyProtection="1">
      <alignment horizontal="center" vertical="center"/>
      <protection locked="0" hidden="1"/>
    </xf>
    <xf numFmtId="0" fontId="54" fillId="0" borderId="1" xfId="0" applyFont="1" applyBorder="1" applyAlignment="1" applyProtection="1">
      <alignment horizontal="center" vertical="center" wrapText="1"/>
      <protection hidden="1"/>
    </xf>
    <xf numFmtId="0" fontId="2" fillId="0" borderId="1" xfId="0" applyFont="1" applyBorder="1" applyAlignment="1" applyProtection="1">
      <alignment horizontal="center" vertical="center" wrapText="1"/>
      <protection hidden="1"/>
    </xf>
    <xf numFmtId="0" fontId="23" fillId="0" borderId="48" xfId="0" applyFont="1" applyBorder="1" applyAlignment="1" applyProtection="1">
      <alignment horizontal="left"/>
      <protection hidden="1"/>
    </xf>
    <xf numFmtId="0" fontId="23" fillId="0" borderId="46" xfId="0" applyFont="1" applyBorder="1" applyAlignment="1" applyProtection="1">
      <alignment horizontal="left"/>
      <protection hidden="1"/>
    </xf>
    <xf numFmtId="0" fontId="23" fillId="0" borderId="74" xfId="0" applyFont="1" applyBorder="1" applyAlignment="1" applyProtection="1">
      <alignment horizontal="left"/>
      <protection hidden="1"/>
    </xf>
    <xf numFmtId="0" fontId="2" fillId="0" borderId="68" xfId="0" applyFont="1" applyBorder="1" applyAlignment="1" applyProtection="1">
      <alignment horizontal="center" vertical="center" wrapText="1"/>
      <protection hidden="1"/>
    </xf>
    <xf numFmtId="0" fontId="36" fillId="0" borderId="27" xfId="0" applyFont="1" applyBorder="1" applyAlignment="1" applyProtection="1">
      <alignment horizontal="center" vertical="center"/>
      <protection hidden="1"/>
    </xf>
    <xf numFmtId="0" fontId="2" fillId="0" borderId="69" xfId="0" applyFont="1" applyBorder="1" applyAlignment="1" applyProtection="1">
      <alignment horizontal="center" vertical="center" wrapText="1"/>
      <protection hidden="1"/>
    </xf>
    <xf numFmtId="0" fontId="2" fillId="0" borderId="36" xfId="0" applyFont="1" applyBorder="1" applyAlignment="1" applyProtection="1">
      <alignment horizontal="center" vertical="center" wrapText="1"/>
      <protection hidden="1"/>
    </xf>
    <xf numFmtId="0" fontId="2" fillId="0" borderId="59" xfId="0" applyFont="1" applyBorder="1" applyAlignment="1" applyProtection="1">
      <alignment horizontal="center" vertical="center" wrapText="1"/>
      <protection hidden="1"/>
    </xf>
    <xf numFmtId="0" fontId="54" fillId="0" borderId="31" xfId="0" applyFont="1" applyBorder="1" applyAlignment="1" applyProtection="1">
      <alignment horizontal="center"/>
      <protection hidden="1"/>
    </xf>
    <xf numFmtId="0" fontId="54" fillId="0" borderId="71" xfId="0" applyFont="1" applyBorder="1" applyAlignment="1" applyProtection="1">
      <alignment horizontal="center"/>
      <protection hidden="1"/>
    </xf>
    <xf numFmtId="0" fontId="54" fillId="0" borderId="30" xfId="0" applyFont="1" applyBorder="1" applyAlignment="1" applyProtection="1">
      <alignment horizontal="center"/>
      <protection hidden="1"/>
    </xf>
  </cellXfs>
  <cellStyles count="5">
    <cellStyle name="Денежный [0]" xfId="1" builtinId="7"/>
    <cellStyle name="Обычный" xfId="0" builtinId="0"/>
    <cellStyle name="Обычный 2" xfId="4"/>
    <cellStyle name="Процентный" xfId="2" builtinId="5"/>
    <cellStyle name="Финансовый" xfId="3" builtinId="3"/>
  </cellStyles>
  <dxfs count="42">
    <dxf>
      <fill>
        <patternFill>
          <bgColor indexed="13"/>
        </patternFill>
      </fill>
    </dxf>
    <dxf>
      <fill>
        <patternFill>
          <bgColor indexed="13"/>
        </patternFill>
      </fill>
    </dxf>
    <dxf>
      <fill>
        <patternFill>
          <bgColor indexed="13"/>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34"/>
        </patternFill>
      </fill>
    </dxf>
    <dxf>
      <fill>
        <patternFill>
          <bgColor indexed="45"/>
        </patternFill>
      </fill>
    </dxf>
    <dxf>
      <fill>
        <patternFill>
          <bgColor indexed="10"/>
        </patternFill>
      </fill>
    </dxf>
    <dxf>
      <fill>
        <patternFill>
          <bgColor indexed="34"/>
        </patternFill>
      </fill>
    </dxf>
    <dxf>
      <fill>
        <patternFill>
          <bgColor indexed="34"/>
        </patternFill>
      </fill>
    </dxf>
    <dxf>
      <fill>
        <patternFill>
          <bgColor indexed="13"/>
        </patternFill>
      </fill>
    </dxf>
    <dxf>
      <fill>
        <patternFill>
          <bgColor indexed="34"/>
        </patternFill>
      </fill>
    </dxf>
    <dxf>
      <fill>
        <patternFill>
          <bgColor indexed="13"/>
        </patternFill>
      </fill>
    </dxf>
    <dxf>
      <fill>
        <patternFill>
          <bgColor indexed="1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1tabl%20(3)from_UT/21-&#1090;&#1072;&#1073;&#1083;&#1080;&#1094;&#107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alance"/>
      <sheetName val="Income "/>
      <sheetName val="Analysis of Interest"/>
      <sheetName val="Bank Capital Calc."/>
      <sheetName val="Calculation of Risk Weighted As"/>
      <sheetName val="Calculation of Risk"/>
      <sheetName val="Changes in Equity"/>
      <sheetName val="Recociliation "/>
      <sheetName val="Loans Receivable"/>
      <sheetName val="Aging Analysis"/>
      <sheetName val="Loan Classification"/>
      <sheetName val="Loans to Affiliated P."/>
      <sheetName val="Twenty Largest"/>
      <sheetName val="Charge-offs and Recoveries"/>
      <sheetName val="Deposits by Client"/>
      <sheetName val="Investment Securities"/>
      <sheetName val="Liquidity Analysis"/>
      <sheetName val="Bank Assets Analysis"/>
      <sheetName val="Bank Liabilities Analysis"/>
      <sheetName val="Commitments"/>
      <sheetName val="Economic Normatives"/>
      <sheetName val="Miscellaneous"/>
    </sheetNames>
    <sheetDataSet>
      <sheetData sheetId="0">
        <row r="3">
          <cell r="B3" t="str">
            <v>(Банк)</v>
          </cell>
        </row>
        <row r="4">
          <cell r="A4">
            <v>42338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sheetPr codeName="Лист1"/>
  <dimension ref="A1:AE205"/>
  <sheetViews>
    <sheetView tabSelected="1" workbookViewId="0"/>
  </sheetViews>
  <sheetFormatPr defaultRowHeight="15" customHeight="1"/>
  <cols>
    <col min="1" max="1" width="34.7109375" style="25" customWidth="1"/>
    <col min="2" max="2" width="22.7109375" style="25" customWidth="1"/>
    <col min="3" max="3" width="20.85546875" style="25" customWidth="1"/>
    <col min="4" max="4" width="21.42578125" style="45" customWidth="1"/>
    <col min="5" max="5" width="6.140625" style="25" customWidth="1"/>
    <col min="6" max="6" width="6.42578125" style="25" customWidth="1"/>
    <col min="7" max="21" width="6.140625" style="25" customWidth="1"/>
    <col min="22" max="16384" width="9.140625" style="25"/>
  </cols>
  <sheetData>
    <row r="1" spans="1:22" ht="15" customHeight="1">
      <c r="A1" s="228" t="s">
        <v>3046</v>
      </c>
    </row>
    <row r="2" spans="1:22" ht="15" customHeight="1">
      <c r="A2" s="953" t="s">
        <v>973</v>
      </c>
      <c r="B2" s="954"/>
      <c r="C2" s="700" t="s">
        <v>2663</v>
      </c>
      <c r="D2" s="700"/>
    </row>
    <row r="3" spans="1:22" ht="15" customHeight="1">
      <c r="A3" s="363" t="s">
        <v>3045</v>
      </c>
      <c r="B3" s="36"/>
      <c r="C3" s="37"/>
      <c r="D3" s="38"/>
      <c r="E3" s="38"/>
      <c r="F3" s="38"/>
      <c r="G3" s="39"/>
      <c r="H3" s="39"/>
      <c r="I3" s="39"/>
      <c r="J3" s="39"/>
      <c r="K3" s="39"/>
      <c r="L3" s="39"/>
      <c r="M3" s="39"/>
      <c r="N3" s="39"/>
      <c r="O3" s="39"/>
      <c r="P3" s="39"/>
      <c r="Q3" s="39"/>
      <c r="R3" s="39"/>
    </row>
    <row r="4" spans="1:22" ht="15" customHeight="1" thickBot="1">
      <c r="A4" s="371" t="s">
        <v>379</v>
      </c>
      <c r="B4" s="40"/>
      <c r="C4" s="37"/>
      <c r="D4" s="38"/>
      <c r="E4" s="38"/>
      <c r="F4" s="38"/>
      <c r="G4" s="39"/>
      <c r="H4" s="39"/>
      <c r="I4" s="39"/>
      <c r="J4" s="39"/>
      <c r="K4" s="39"/>
      <c r="L4" s="39"/>
      <c r="M4" s="39"/>
      <c r="N4" s="39"/>
      <c r="O4" s="39"/>
      <c r="P4" s="39"/>
      <c r="Q4" s="39"/>
      <c r="R4" s="39"/>
    </row>
    <row r="5" spans="1:22" ht="15" customHeight="1">
      <c r="A5" s="223" t="s">
        <v>97</v>
      </c>
      <c r="B5" s="955" t="s">
        <v>98</v>
      </c>
      <c r="C5" s="956"/>
      <c r="D5" s="41"/>
      <c r="E5" s="41"/>
      <c r="F5" s="41"/>
      <c r="G5" s="42"/>
      <c r="H5" s="42"/>
      <c r="I5" s="42"/>
      <c r="J5" s="42"/>
      <c r="K5" s="42"/>
      <c r="L5" s="42"/>
      <c r="M5" s="42"/>
      <c r="N5" s="42"/>
      <c r="O5" s="42"/>
      <c r="P5" s="42"/>
      <c r="Q5" s="42"/>
      <c r="R5" s="42"/>
      <c r="S5" s="37"/>
      <c r="T5" s="37"/>
      <c r="U5" s="37"/>
      <c r="V5" s="37"/>
    </row>
    <row r="6" spans="1:22" ht="15" customHeight="1">
      <c r="A6" s="224"/>
      <c r="B6" s="6"/>
      <c r="C6" s="225"/>
      <c r="D6" s="41"/>
      <c r="E6" s="41"/>
      <c r="F6" s="41"/>
      <c r="G6" s="42"/>
      <c r="H6" s="42"/>
      <c r="I6" s="42"/>
      <c r="J6" s="42"/>
      <c r="K6" s="42"/>
      <c r="L6" s="42"/>
      <c r="M6" s="42"/>
      <c r="N6" s="42"/>
      <c r="O6" s="42"/>
      <c r="P6" s="42"/>
      <c r="Q6" s="42"/>
      <c r="R6" s="42"/>
      <c r="S6" s="37"/>
      <c r="T6" s="37"/>
      <c r="U6" s="37"/>
      <c r="V6" s="37"/>
    </row>
    <row r="7" spans="1:22" ht="15" customHeight="1">
      <c r="A7" s="226" t="s">
        <v>2235</v>
      </c>
      <c r="B7" s="352"/>
      <c r="C7" s="228" t="s">
        <v>356</v>
      </c>
      <c r="D7" s="41"/>
      <c r="E7" s="41"/>
      <c r="F7" s="41"/>
      <c r="G7" s="42"/>
      <c r="H7" s="42"/>
      <c r="I7" s="42"/>
      <c r="J7" s="42"/>
      <c r="K7" s="42"/>
      <c r="L7" s="42"/>
      <c r="M7" s="42"/>
      <c r="N7" s="42"/>
      <c r="O7" s="42"/>
      <c r="P7" s="42"/>
      <c r="Q7" s="42"/>
      <c r="R7" s="42"/>
      <c r="S7" s="37"/>
      <c r="T7" s="37"/>
      <c r="U7" s="37"/>
      <c r="V7" s="37"/>
    </row>
    <row r="8" spans="1:22" ht="15" customHeight="1">
      <c r="A8" s="226" t="s">
        <v>2236</v>
      </c>
      <c r="B8" s="352"/>
      <c r="C8" s="228" t="s">
        <v>1002</v>
      </c>
      <c r="D8" s="41"/>
      <c r="E8" s="41"/>
      <c r="F8" s="41"/>
      <c r="G8" s="42"/>
      <c r="H8" s="42"/>
      <c r="I8" s="42"/>
      <c r="J8" s="42"/>
      <c r="K8" s="42"/>
      <c r="L8" s="42"/>
      <c r="M8" s="42"/>
      <c r="N8" s="42"/>
      <c r="O8" s="42"/>
      <c r="P8" s="42"/>
      <c r="Q8" s="42"/>
      <c r="R8" s="42"/>
      <c r="S8" s="37"/>
      <c r="T8" s="37"/>
      <c r="U8" s="37"/>
      <c r="V8" s="37"/>
    </row>
    <row r="9" spans="1:22" ht="15" customHeight="1">
      <c r="A9" s="226" t="s">
        <v>560</v>
      </c>
      <c r="B9" s="352"/>
      <c r="C9" s="228" t="s">
        <v>357</v>
      </c>
      <c r="D9" s="41"/>
      <c r="E9" s="41"/>
      <c r="F9" s="41"/>
      <c r="G9" s="42"/>
      <c r="H9" s="42"/>
      <c r="I9" s="42"/>
      <c r="J9" s="42"/>
      <c r="K9" s="42"/>
      <c r="L9" s="42"/>
      <c r="M9" s="42"/>
      <c r="N9" s="42"/>
      <c r="O9" s="42"/>
      <c r="P9" s="42"/>
      <c r="Q9" s="42"/>
      <c r="R9" s="42"/>
      <c r="S9" s="37"/>
      <c r="T9" s="37"/>
      <c r="U9" s="37"/>
      <c r="V9" s="37"/>
    </row>
    <row r="10" spans="1:22" ht="15" customHeight="1">
      <c r="A10" s="226" t="s">
        <v>378</v>
      </c>
      <c r="B10" s="352"/>
      <c r="C10" s="408"/>
      <c r="D10" s="41"/>
      <c r="E10" s="41"/>
      <c r="F10" s="41"/>
      <c r="G10" s="42"/>
      <c r="H10" s="42"/>
      <c r="I10" s="42"/>
      <c r="J10" s="42"/>
      <c r="K10" s="42"/>
      <c r="L10" s="42"/>
      <c r="M10" s="42"/>
      <c r="N10" s="42"/>
      <c r="O10" s="42"/>
      <c r="P10" s="42"/>
      <c r="Q10" s="42"/>
      <c r="R10" s="42"/>
      <c r="S10" s="37"/>
      <c r="T10" s="37"/>
      <c r="U10" s="37"/>
      <c r="V10" s="37"/>
    </row>
    <row r="11" spans="1:22" ht="15" customHeight="1">
      <c r="A11" s="226" t="s">
        <v>470</v>
      </c>
      <c r="B11" s="11" t="s">
        <v>843</v>
      </c>
      <c r="C11" s="408"/>
      <c r="D11" s="41"/>
      <c r="E11" s="41"/>
      <c r="G11" s="42"/>
      <c r="H11" s="42"/>
      <c r="I11" s="42"/>
      <c r="J11" s="42"/>
      <c r="K11" s="42"/>
      <c r="L11" s="42"/>
      <c r="M11" s="42"/>
      <c r="N11" s="42"/>
      <c r="O11" s="42"/>
      <c r="P11" s="42"/>
      <c r="Q11" s="42"/>
      <c r="R11" s="42"/>
      <c r="S11" s="37"/>
      <c r="T11" s="37"/>
      <c r="U11" s="37"/>
      <c r="V11" s="37"/>
    </row>
    <row r="12" spans="1:22" ht="15" customHeight="1">
      <c r="A12" s="226" t="s">
        <v>471</v>
      </c>
      <c r="B12" s="11" t="s">
        <v>1680</v>
      </c>
      <c r="C12" s="408"/>
      <c r="D12" s="41"/>
      <c r="E12" s="41"/>
      <c r="F12" s="41"/>
      <c r="G12" s="42"/>
      <c r="H12" s="42"/>
      <c r="I12" s="42"/>
      <c r="J12" s="42"/>
      <c r="K12" s="42"/>
      <c r="L12" s="42"/>
      <c r="M12" s="42"/>
      <c r="N12" s="42"/>
      <c r="O12" s="42"/>
      <c r="P12" s="42"/>
      <c r="Q12" s="42"/>
      <c r="R12" s="42"/>
      <c r="S12" s="37"/>
      <c r="T12" s="37"/>
      <c r="U12" s="37"/>
      <c r="V12" s="37"/>
    </row>
    <row r="13" spans="1:22" ht="15" customHeight="1">
      <c r="A13" s="226" t="s">
        <v>1934</v>
      </c>
      <c r="B13" s="11" t="s">
        <v>2144</v>
      </c>
      <c r="C13" s="408"/>
      <c r="D13" s="41"/>
      <c r="E13" s="41"/>
      <c r="F13" s="189"/>
      <c r="G13" s="42"/>
      <c r="H13" s="42"/>
      <c r="I13" s="42"/>
      <c r="J13" s="42"/>
      <c r="K13" s="42"/>
      <c r="L13" s="42"/>
      <c r="M13" s="42"/>
      <c r="N13" s="42"/>
      <c r="O13" s="42"/>
      <c r="P13" s="42"/>
      <c r="Q13" s="42"/>
      <c r="R13" s="42"/>
      <c r="S13" s="37"/>
      <c r="T13" s="37"/>
      <c r="U13" s="37"/>
      <c r="V13" s="37"/>
    </row>
    <row r="14" spans="1:22" ht="15" customHeight="1">
      <c r="A14" s="226" t="s">
        <v>1935</v>
      </c>
      <c r="B14" s="352"/>
      <c r="C14" s="228" t="e">
        <f>B11+B12-B13</f>
        <v>#VALUE!</v>
      </c>
      <c r="D14" s="41"/>
      <c r="E14" s="41"/>
      <c r="F14" s="41"/>
      <c r="G14" s="42"/>
      <c r="H14" s="42"/>
      <c r="I14" s="42"/>
      <c r="J14" s="42"/>
      <c r="K14" s="42"/>
      <c r="L14" s="42"/>
      <c r="M14" s="42"/>
      <c r="N14" s="42"/>
      <c r="O14" s="42"/>
      <c r="P14" s="42"/>
      <c r="Q14" s="42"/>
      <c r="R14" s="42"/>
      <c r="S14" s="37"/>
      <c r="T14" s="37"/>
      <c r="U14" s="37"/>
      <c r="V14" s="37"/>
    </row>
    <row r="15" spans="1:22" ht="15" customHeight="1">
      <c r="A15" s="226" t="s">
        <v>1936</v>
      </c>
      <c r="B15" s="374" t="s">
        <v>358</v>
      </c>
      <c r="C15" s="408"/>
      <c r="D15" s="41"/>
      <c r="E15" s="41"/>
      <c r="F15" s="41"/>
      <c r="G15" s="42"/>
      <c r="H15" s="42"/>
      <c r="I15" s="42"/>
      <c r="J15" s="42"/>
      <c r="K15" s="42"/>
      <c r="L15" s="42"/>
      <c r="M15" s="42"/>
      <c r="N15" s="42"/>
      <c r="O15" s="42"/>
      <c r="P15" s="42"/>
      <c r="Q15" s="42"/>
      <c r="R15" s="42"/>
      <c r="S15" s="37"/>
      <c r="T15" s="37"/>
      <c r="U15" s="37"/>
      <c r="V15" s="37"/>
    </row>
    <row r="16" spans="1:22" ht="15" customHeight="1">
      <c r="A16" s="226" t="s">
        <v>1470</v>
      </c>
      <c r="B16" s="374" t="s">
        <v>833</v>
      </c>
      <c r="C16" s="408"/>
      <c r="D16" s="41"/>
      <c r="E16" s="41"/>
      <c r="F16" s="41"/>
      <c r="G16" s="42"/>
      <c r="H16" s="42"/>
      <c r="I16" s="42"/>
      <c r="J16" s="42"/>
      <c r="K16" s="42"/>
      <c r="L16" s="42"/>
      <c r="M16" s="42"/>
      <c r="N16" s="42"/>
      <c r="O16" s="42"/>
      <c r="P16" s="42"/>
      <c r="Q16" s="42"/>
      <c r="R16" s="42"/>
      <c r="S16" s="37"/>
      <c r="T16" s="37"/>
      <c r="U16" s="37"/>
      <c r="V16" s="37"/>
    </row>
    <row r="17" spans="1:22" ht="15" customHeight="1">
      <c r="A17" s="226" t="s">
        <v>1471</v>
      </c>
      <c r="B17" s="352"/>
      <c r="C17" s="375" t="e">
        <f>B15-B16</f>
        <v>#VALUE!</v>
      </c>
      <c r="D17" s="41"/>
      <c r="E17" s="41"/>
      <c r="F17" s="41"/>
      <c r="G17" s="42"/>
      <c r="H17" s="42"/>
      <c r="I17" s="42"/>
      <c r="J17" s="42"/>
      <c r="K17" s="42"/>
      <c r="L17" s="42"/>
      <c r="M17" s="42"/>
      <c r="N17" s="42"/>
      <c r="O17" s="42"/>
      <c r="P17" s="42"/>
      <c r="Q17" s="42"/>
      <c r="R17" s="42"/>
      <c r="S17" s="37"/>
      <c r="T17" s="37"/>
      <c r="U17" s="37"/>
      <c r="V17" s="37"/>
    </row>
    <row r="18" spans="1:22" ht="15" customHeight="1">
      <c r="A18" s="227" t="s">
        <v>1537</v>
      </c>
      <c r="B18" s="352"/>
      <c r="C18" s="375" t="s">
        <v>359</v>
      </c>
      <c r="D18" s="41"/>
      <c r="E18" s="41"/>
      <c r="F18" s="41"/>
      <c r="G18" s="42"/>
      <c r="H18" s="42"/>
      <c r="I18" s="42"/>
      <c r="J18" s="42"/>
      <c r="K18" s="42"/>
      <c r="L18" s="42"/>
      <c r="M18" s="42"/>
      <c r="N18" s="42"/>
      <c r="O18" s="42"/>
      <c r="P18" s="42"/>
      <c r="Q18" s="42"/>
      <c r="R18" s="42"/>
      <c r="S18" s="37"/>
      <c r="T18" s="37"/>
      <c r="U18" s="37"/>
      <c r="V18" s="37"/>
    </row>
    <row r="19" spans="1:22" ht="15" customHeight="1">
      <c r="A19" s="226" t="s">
        <v>1365</v>
      </c>
      <c r="B19" s="352"/>
      <c r="C19" s="408"/>
      <c r="D19" s="41"/>
      <c r="E19" s="41"/>
      <c r="F19" s="41"/>
      <c r="G19" s="42"/>
      <c r="H19" s="42"/>
      <c r="I19" s="42"/>
      <c r="J19" s="42"/>
      <c r="K19" s="42"/>
      <c r="L19" s="42"/>
      <c r="M19" s="42"/>
      <c r="N19" s="42"/>
      <c r="O19" s="42"/>
      <c r="P19" s="42"/>
      <c r="Q19" s="42"/>
      <c r="R19" s="42"/>
      <c r="S19" s="37"/>
      <c r="T19" s="37"/>
      <c r="U19" s="37"/>
      <c r="V19" s="37"/>
    </row>
    <row r="20" spans="1:22" ht="15.75" customHeight="1">
      <c r="A20" s="226" t="s">
        <v>556</v>
      </c>
      <c r="B20" s="9" t="s">
        <v>1651</v>
      </c>
      <c r="C20" s="408"/>
      <c r="D20" s="41"/>
      <c r="E20" s="41"/>
      <c r="F20" s="41"/>
      <c r="G20" s="42"/>
      <c r="H20" s="42"/>
      <c r="I20" s="42"/>
      <c r="J20" s="42"/>
      <c r="K20" s="42"/>
      <c r="L20" s="42"/>
      <c r="M20" s="42"/>
      <c r="N20" s="42"/>
      <c r="O20" s="42"/>
      <c r="P20" s="42"/>
      <c r="Q20" s="42"/>
      <c r="R20" s="42"/>
      <c r="S20" s="37"/>
      <c r="T20" s="37"/>
      <c r="U20" s="37"/>
      <c r="V20" s="37"/>
    </row>
    <row r="21" spans="1:22" ht="15" customHeight="1">
      <c r="A21" s="226" t="s">
        <v>557</v>
      </c>
      <c r="B21" s="374" t="s">
        <v>730</v>
      </c>
      <c r="C21" s="408"/>
      <c r="D21" s="41"/>
      <c r="E21" s="41"/>
      <c r="F21" s="41"/>
      <c r="G21" s="42"/>
      <c r="H21" s="42"/>
      <c r="I21" s="42"/>
      <c r="J21" s="42"/>
      <c r="K21" s="42"/>
      <c r="L21" s="42"/>
      <c r="M21" s="42"/>
      <c r="N21" s="42"/>
      <c r="O21" s="42"/>
      <c r="P21" s="42"/>
      <c r="Q21" s="42"/>
      <c r="R21" s="42"/>
      <c r="S21" s="37"/>
      <c r="T21" s="37"/>
      <c r="U21" s="37"/>
      <c r="V21" s="37"/>
    </row>
    <row r="22" spans="1:22" ht="15" customHeight="1">
      <c r="A22" s="227" t="s">
        <v>1076</v>
      </c>
      <c r="B22" s="9" t="s">
        <v>1425</v>
      </c>
      <c r="C22" s="408"/>
      <c r="D22" s="41"/>
      <c r="E22" s="41"/>
      <c r="F22" s="41"/>
      <c r="G22" s="42"/>
      <c r="H22" s="42"/>
      <c r="I22" s="42"/>
      <c r="J22" s="42"/>
      <c r="K22" s="42"/>
      <c r="L22" s="42"/>
      <c r="M22" s="42"/>
      <c r="N22" s="42"/>
      <c r="O22" s="42"/>
      <c r="P22" s="42"/>
      <c r="Q22" s="42"/>
      <c r="R22" s="42"/>
      <c r="S22" s="37"/>
      <c r="T22" s="37"/>
      <c r="U22" s="37"/>
      <c r="V22" s="37"/>
    </row>
    <row r="23" spans="1:22" ht="15" customHeight="1">
      <c r="A23" s="226" t="s">
        <v>1077</v>
      </c>
      <c r="B23" s="352"/>
      <c r="C23" s="228" t="e">
        <f>B20+B21-B22</f>
        <v>#VALUE!</v>
      </c>
      <c r="D23" s="41"/>
      <c r="E23" s="41"/>
      <c r="F23" s="41"/>
      <c r="G23" s="42"/>
      <c r="H23" s="42"/>
      <c r="I23" s="42"/>
      <c r="J23" s="42"/>
      <c r="K23" s="42"/>
      <c r="L23" s="42"/>
      <c r="M23" s="42"/>
      <c r="N23" s="42"/>
      <c r="O23" s="42"/>
      <c r="P23" s="42"/>
      <c r="Q23" s="42"/>
      <c r="R23" s="42"/>
      <c r="S23" s="37"/>
      <c r="T23" s="37"/>
      <c r="U23" s="37"/>
      <c r="V23" s="37"/>
    </row>
    <row r="24" spans="1:22" ht="15" customHeight="1">
      <c r="A24" s="226" t="s">
        <v>1078</v>
      </c>
      <c r="B24" s="10" t="s">
        <v>1555</v>
      </c>
      <c r="C24" s="408"/>
      <c r="D24" s="41"/>
      <c r="E24" s="41"/>
      <c r="F24" s="41"/>
      <c r="G24" s="42"/>
      <c r="H24" s="42"/>
      <c r="I24" s="42"/>
      <c r="J24" s="42"/>
      <c r="K24" s="42"/>
      <c r="L24" s="42"/>
      <c r="M24" s="42"/>
      <c r="N24" s="42"/>
      <c r="O24" s="42"/>
      <c r="P24" s="42"/>
      <c r="Q24" s="42"/>
      <c r="R24" s="42"/>
      <c r="S24" s="37"/>
      <c r="T24" s="37"/>
      <c r="U24" s="37"/>
      <c r="V24" s="37"/>
    </row>
    <row r="25" spans="1:22" ht="15" customHeight="1">
      <c r="A25" s="226" t="s">
        <v>461</v>
      </c>
      <c r="B25" s="10" t="s">
        <v>1206</v>
      </c>
      <c r="C25" s="408"/>
      <c r="D25" s="41"/>
      <c r="E25" s="41"/>
      <c r="F25" s="41"/>
      <c r="G25" s="42"/>
      <c r="H25" s="42"/>
      <c r="I25" s="42"/>
      <c r="J25" s="42"/>
      <c r="K25" s="42"/>
      <c r="L25" s="42"/>
      <c r="M25" s="42"/>
      <c r="N25" s="42"/>
      <c r="O25" s="42"/>
      <c r="P25" s="42"/>
      <c r="Q25" s="42"/>
      <c r="R25" s="42"/>
      <c r="S25" s="37"/>
      <c r="T25" s="37"/>
      <c r="U25" s="37"/>
      <c r="V25" s="37"/>
    </row>
    <row r="26" spans="1:22" ht="15" customHeight="1">
      <c r="A26" s="226" t="s">
        <v>610</v>
      </c>
      <c r="B26" s="352"/>
      <c r="C26" s="228" t="e">
        <f>B24-B25</f>
        <v>#VALUE!</v>
      </c>
      <c r="D26" s="41"/>
      <c r="E26" s="41"/>
      <c r="F26" s="41"/>
      <c r="G26" s="42"/>
      <c r="H26" s="42"/>
      <c r="I26" s="42"/>
      <c r="J26" s="42"/>
      <c r="K26" s="42"/>
      <c r="L26" s="42"/>
      <c r="M26" s="42"/>
      <c r="N26" s="42"/>
      <c r="O26" s="42"/>
      <c r="P26" s="42"/>
      <c r="Q26" s="42"/>
      <c r="R26" s="42"/>
      <c r="S26" s="37"/>
      <c r="T26" s="37"/>
      <c r="U26" s="37"/>
      <c r="V26" s="37"/>
    </row>
    <row r="27" spans="1:22" ht="15" customHeight="1">
      <c r="A27" s="226" t="s">
        <v>621</v>
      </c>
      <c r="B27" s="352"/>
      <c r="C27" s="228" t="s">
        <v>1556</v>
      </c>
      <c r="D27" s="41"/>
      <c r="E27" s="41"/>
      <c r="F27" s="41"/>
      <c r="G27" s="42"/>
      <c r="H27" s="42"/>
      <c r="I27" s="42"/>
      <c r="J27" s="42"/>
      <c r="K27" s="42"/>
      <c r="L27" s="42"/>
      <c r="M27" s="42"/>
      <c r="N27" s="42"/>
      <c r="O27" s="42"/>
      <c r="P27" s="42"/>
      <c r="Q27" s="42"/>
      <c r="R27" s="42"/>
      <c r="S27" s="37"/>
      <c r="T27" s="37"/>
      <c r="U27" s="37"/>
      <c r="V27" s="37"/>
    </row>
    <row r="28" spans="1:22" ht="15" customHeight="1">
      <c r="A28" s="226" t="s">
        <v>588</v>
      </c>
      <c r="B28" s="352"/>
      <c r="C28" s="228" t="s">
        <v>1557</v>
      </c>
      <c r="D28" s="41"/>
      <c r="E28" s="41"/>
      <c r="F28" s="41"/>
      <c r="G28" s="42"/>
      <c r="H28" s="42"/>
      <c r="I28" s="42"/>
      <c r="J28" s="42"/>
      <c r="K28" s="42"/>
      <c r="L28" s="42"/>
      <c r="M28" s="42"/>
      <c r="N28" s="42"/>
      <c r="O28" s="42"/>
      <c r="P28" s="42"/>
      <c r="Q28" s="42"/>
      <c r="R28" s="42"/>
      <c r="S28" s="37"/>
      <c r="T28" s="37"/>
      <c r="U28" s="37"/>
      <c r="V28" s="37"/>
    </row>
    <row r="29" spans="1:22" ht="15" customHeight="1">
      <c r="A29" s="226" t="s">
        <v>589</v>
      </c>
      <c r="B29" s="352"/>
      <c r="C29" s="228" t="s">
        <v>1558</v>
      </c>
      <c r="D29" s="41"/>
      <c r="E29" s="41"/>
      <c r="F29" s="41"/>
      <c r="G29" s="42"/>
      <c r="H29" s="42"/>
      <c r="I29" s="42"/>
      <c r="J29" s="42"/>
      <c r="K29" s="42"/>
      <c r="L29" s="42"/>
      <c r="M29" s="42"/>
      <c r="N29" s="42"/>
      <c r="O29" s="42"/>
      <c r="P29" s="42"/>
      <c r="Q29" s="42"/>
      <c r="R29" s="42"/>
      <c r="S29" s="37"/>
      <c r="T29" s="37"/>
      <c r="U29" s="37"/>
      <c r="V29" s="37"/>
    </row>
    <row r="30" spans="1:22" ht="15" customHeight="1">
      <c r="A30" s="226" t="s">
        <v>1767</v>
      </c>
      <c r="B30" s="352"/>
      <c r="C30" s="364"/>
      <c r="D30" s="41"/>
      <c r="E30" s="41"/>
      <c r="F30" s="41"/>
      <c r="G30" s="42"/>
      <c r="H30" s="42"/>
      <c r="I30" s="42"/>
      <c r="J30" s="42"/>
      <c r="K30" s="42"/>
      <c r="L30" s="42"/>
      <c r="M30" s="42"/>
      <c r="N30" s="42"/>
      <c r="O30" s="42"/>
      <c r="P30" s="42"/>
      <c r="Q30" s="42"/>
      <c r="R30" s="42"/>
      <c r="S30" s="37"/>
      <c r="T30" s="37"/>
      <c r="U30" s="37"/>
      <c r="V30" s="37"/>
    </row>
    <row r="31" spans="1:22" ht="15" customHeight="1">
      <c r="A31" s="226" t="s">
        <v>1768</v>
      </c>
      <c r="B31" s="11" t="s">
        <v>1559</v>
      </c>
      <c r="C31" s="408"/>
      <c r="D31" s="41"/>
      <c r="E31" s="41"/>
      <c r="F31" s="41"/>
      <c r="G31" s="42"/>
      <c r="H31" s="42"/>
      <c r="I31" s="42"/>
      <c r="J31" s="42"/>
      <c r="K31" s="42"/>
      <c r="L31" s="42"/>
      <c r="M31" s="42"/>
      <c r="N31" s="42"/>
      <c r="O31" s="42"/>
      <c r="P31" s="42"/>
      <c r="Q31" s="42"/>
      <c r="R31" s="42"/>
      <c r="S31" s="37"/>
      <c r="T31" s="37"/>
      <c r="U31" s="37"/>
      <c r="V31" s="37"/>
    </row>
    <row r="32" spans="1:22" ht="15" customHeight="1">
      <c r="A32" s="226" t="s">
        <v>1769</v>
      </c>
      <c r="B32" s="518" t="s">
        <v>1770</v>
      </c>
      <c r="C32" s="408"/>
      <c r="D32" s="41"/>
      <c r="E32" s="41"/>
      <c r="F32" s="41"/>
      <c r="G32" s="42"/>
      <c r="H32" s="42"/>
      <c r="I32" s="42"/>
      <c r="J32" s="42"/>
      <c r="K32" s="42"/>
      <c r="L32" s="42"/>
      <c r="M32" s="42"/>
      <c r="N32" s="42"/>
      <c r="O32" s="42"/>
      <c r="P32" s="42"/>
      <c r="Q32" s="42"/>
      <c r="R32" s="42"/>
      <c r="S32" s="37"/>
      <c r="T32" s="37"/>
      <c r="U32" s="37"/>
      <c r="V32" s="37"/>
    </row>
    <row r="33" spans="1:22" ht="30" customHeight="1">
      <c r="A33" s="226" t="s">
        <v>2237</v>
      </c>
      <c r="B33" s="11" t="s">
        <v>1417</v>
      </c>
      <c r="C33" s="408"/>
      <c r="D33" s="41"/>
      <c r="E33" s="41"/>
      <c r="F33" s="41"/>
      <c r="G33" s="42"/>
      <c r="H33" s="42"/>
      <c r="I33" s="42"/>
      <c r="J33" s="42"/>
      <c r="K33" s="42"/>
      <c r="L33" s="42"/>
      <c r="M33" s="42"/>
      <c r="N33" s="42"/>
      <c r="O33" s="42"/>
      <c r="P33" s="42"/>
      <c r="Q33" s="42"/>
      <c r="R33" s="42"/>
      <c r="S33" s="37"/>
      <c r="T33" s="37"/>
      <c r="U33" s="37"/>
      <c r="V33" s="37"/>
    </row>
    <row r="34" spans="1:22" ht="15" customHeight="1">
      <c r="A34" s="229" t="s">
        <v>255</v>
      </c>
      <c r="B34" s="352"/>
      <c r="C34" s="228" t="e">
        <f>B31+B32-B33</f>
        <v>#VALUE!</v>
      </c>
      <c r="D34" s="41"/>
      <c r="E34" s="41"/>
      <c r="F34" s="41"/>
      <c r="G34" s="42"/>
      <c r="H34" s="42"/>
      <c r="I34" s="42"/>
      <c r="J34" s="42"/>
      <c r="K34" s="42"/>
      <c r="L34" s="42"/>
      <c r="M34" s="42"/>
      <c r="N34" s="42"/>
      <c r="O34" s="42"/>
      <c r="P34" s="42"/>
      <c r="Q34" s="42"/>
      <c r="R34" s="42"/>
      <c r="S34" s="37"/>
      <c r="T34" s="37"/>
      <c r="U34" s="37"/>
      <c r="V34" s="37"/>
    </row>
    <row r="35" spans="1:22" ht="15" customHeight="1">
      <c r="A35" s="226" t="s">
        <v>256</v>
      </c>
      <c r="B35" s="352"/>
      <c r="C35" s="228" t="e">
        <f>C36-C7-C8-C9-C14-C17-C18-C23-C26-C27-C28-C29-C34</f>
        <v>#VALUE!</v>
      </c>
      <c r="D35" s="413" t="s">
        <v>269</v>
      </c>
      <c r="E35" s="41"/>
      <c r="F35" s="41"/>
      <c r="G35" s="42"/>
      <c r="H35" s="42"/>
      <c r="I35" s="42"/>
      <c r="J35" s="42"/>
      <c r="K35" s="42"/>
      <c r="L35" s="42"/>
      <c r="M35" s="42"/>
      <c r="N35" s="42"/>
      <c r="O35" s="42"/>
      <c r="P35" s="42"/>
      <c r="Q35" s="42"/>
      <c r="R35" s="42"/>
      <c r="S35" s="37"/>
      <c r="T35" s="37"/>
      <c r="U35" s="37"/>
      <c r="V35" s="37"/>
    </row>
    <row r="36" spans="1:22" ht="15" customHeight="1">
      <c r="A36" s="231" t="s">
        <v>257</v>
      </c>
      <c r="B36" s="352"/>
      <c r="C36" s="228" t="e">
        <f>C78-C80</f>
        <v>#VALUE!</v>
      </c>
      <c r="D36" s="41"/>
      <c r="E36" s="41"/>
      <c r="F36" s="41"/>
      <c r="G36" s="42"/>
      <c r="H36" s="42"/>
      <c r="I36" s="42"/>
      <c r="J36" s="42"/>
      <c r="K36" s="42"/>
      <c r="L36" s="42"/>
      <c r="M36" s="42"/>
      <c r="N36" s="42"/>
      <c r="O36" s="42"/>
      <c r="P36" s="42"/>
      <c r="Q36" s="42"/>
      <c r="R36" s="42"/>
      <c r="S36" s="37"/>
      <c r="T36" s="37"/>
      <c r="U36" s="37"/>
      <c r="V36" s="37"/>
    </row>
    <row r="37" spans="1:22" ht="15" customHeight="1">
      <c r="A37" s="406" t="s">
        <v>970</v>
      </c>
      <c r="B37" s="409"/>
      <c r="C37" s="228" t="s">
        <v>971</v>
      </c>
      <c r="D37" s="41"/>
      <c r="E37" s="41"/>
      <c r="F37" s="41"/>
      <c r="G37" s="42"/>
      <c r="H37" s="42"/>
      <c r="I37" s="42"/>
      <c r="J37" s="42"/>
      <c r="K37" s="42"/>
      <c r="L37" s="42"/>
      <c r="M37" s="42"/>
      <c r="N37" s="42"/>
      <c r="O37" s="42"/>
      <c r="P37" s="42"/>
      <c r="Q37" s="42"/>
      <c r="R37" s="42"/>
      <c r="S37" s="37"/>
      <c r="T37" s="37"/>
      <c r="U37" s="37"/>
      <c r="V37" s="37"/>
    </row>
    <row r="38" spans="1:22" ht="15" customHeight="1">
      <c r="A38" s="224" t="s">
        <v>258</v>
      </c>
      <c r="B38" s="13"/>
      <c r="C38" s="233"/>
      <c r="D38" s="41"/>
      <c r="E38" s="41"/>
      <c r="F38" s="41"/>
      <c r="G38" s="42"/>
      <c r="H38" s="42"/>
      <c r="I38" s="42"/>
      <c r="J38" s="42"/>
      <c r="K38" s="42"/>
      <c r="L38" s="42"/>
      <c r="M38" s="42"/>
      <c r="N38" s="42"/>
      <c r="O38" s="42"/>
      <c r="P38" s="42"/>
      <c r="Q38" s="42"/>
      <c r="R38" s="42"/>
      <c r="S38" s="37"/>
      <c r="T38" s="37"/>
      <c r="U38" s="37"/>
      <c r="V38" s="37"/>
    </row>
    <row r="39" spans="1:22" ht="15" customHeight="1">
      <c r="A39" s="224"/>
      <c r="B39" s="13"/>
      <c r="C39" s="233"/>
      <c r="D39" s="41"/>
      <c r="E39" s="41"/>
      <c r="F39" s="41"/>
      <c r="G39" s="42"/>
      <c r="H39" s="42"/>
      <c r="I39" s="42"/>
      <c r="J39" s="42"/>
      <c r="K39" s="42"/>
      <c r="L39" s="42"/>
      <c r="M39" s="42"/>
      <c r="N39" s="42"/>
      <c r="O39" s="42"/>
      <c r="P39" s="42"/>
      <c r="Q39" s="42"/>
      <c r="R39" s="42"/>
      <c r="S39" s="37"/>
      <c r="T39" s="37"/>
      <c r="U39" s="37"/>
      <c r="V39" s="37"/>
    </row>
    <row r="40" spans="1:22" ht="15" customHeight="1">
      <c r="A40" s="231" t="s">
        <v>1671</v>
      </c>
      <c r="B40" s="12"/>
      <c r="C40" s="232"/>
      <c r="D40" s="41"/>
      <c r="E40" s="41"/>
      <c r="F40" s="41"/>
      <c r="G40" s="42"/>
      <c r="H40" s="42"/>
      <c r="I40" s="42"/>
      <c r="J40" s="42"/>
      <c r="K40" s="42"/>
      <c r="L40" s="42"/>
      <c r="M40" s="42"/>
      <c r="N40" s="42"/>
      <c r="O40" s="42"/>
      <c r="P40" s="42"/>
      <c r="Q40" s="42"/>
      <c r="R40" s="42"/>
      <c r="S40" s="37"/>
      <c r="T40" s="37"/>
      <c r="U40" s="37"/>
      <c r="V40" s="37"/>
    </row>
    <row r="41" spans="1:22" ht="15" customHeight="1">
      <c r="A41" s="226" t="s">
        <v>1652</v>
      </c>
      <c r="B41" s="7"/>
      <c r="C41" s="375" t="s">
        <v>1560</v>
      </c>
      <c r="D41" s="41"/>
      <c r="E41" s="41"/>
      <c r="F41" s="41"/>
      <c r="G41" s="42"/>
      <c r="H41" s="42"/>
      <c r="I41" s="42"/>
      <c r="J41" s="42"/>
      <c r="K41" s="42"/>
      <c r="L41" s="42"/>
      <c r="M41" s="42"/>
      <c r="N41" s="42"/>
      <c r="O41" s="42"/>
      <c r="P41" s="42"/>
      <c r="Q41" s="42"/>
      <c r="R41" s="42"/>
      <c r="S41" s="37"/>
      <c r="T41" s="37"/>
      <c r="U41" s="37"/>
      <c r="V41" s="37"/>
    </row>
    <row r="42" spans="1:22" ht="15" customHeight="1">
      <c r="A42" s="226" t="s">
        <v>1653</v>
      </c>
      <c r="B42" s="7"/>
      <c r="C42" s="375" t="s">
        <v>1561</v>
      </c>
      <c r="D42" s="41"/>
      <c r="E42" s="41"/>
      <c r="F42" s="41"/>
      <c r="G42" s="42"/>
      <c r="H42" s="42"/>
      <c r="I42" s="42"/>
      <c r="J42" s="42"/>
      <c r="K42" s="42"/>
      <c r="L42" s="42"/>
      <c r="M42" s="42"/>
      <c r="N42" s="42"/>
      <c r="O42" s="42"/>
      <c r="P42" s="42"/>
      <c r="Q42" s="42"/>
      <c r="R42" s="42"/>
      <c r="S42" s="37"/>
      <c r="T42" s="37"/>
      <c r="U42" s="37"/>
      <c r="V42" s="37"/>
    </row>
    <row r="43" spans="1:22" ht="15" customHeight="1">
      <c r="A43" s="226" t="s">
        <v>1654</v>
      </c>
      <c r="B43" s="7"/>
      <c r="C43" s="375" t="s">
        <v>1562</v>
      </c>
      <c r="D43" s="41"/>
      <c r="E43" s="41"/>
      <c r="F43" s="41"/>
      <c r="G43" s="42"/>
      <c r="H43" s="42"/>
      <c r="I43" s="42"/>
      <c r="J43" s="42"/>
      <c r="K43" s="42"/>
      <c r="L43" s="42"/>
      <c r="M43" s="42"/>
      <c r="N43" s="42"/>
      <c r="O43" s="42"/>
      <c r="P43" s="42"/>
      <c r="Q43" s="42"/>
      <c r="R43" s="42"/>
      <c r="S43" s="37"/>
      <c r="T43" s="37"/>
      <c r="U43" s="37"/>
      <c r="V43" s="37"/>
    </row>
    <row r="44" spans="1:22" ht="15" customHeight="1">
      <c r="A44" s="226" t="s">
        <v>1655</v>
      </c>
      <c r="B44" s="7"/>
      <c r="C44" s="228" t="s">
        <v>1563</v>
      </c>
      <c r="D44" s="41"/>
      <c r="E44" s="41"/>
      <c r="F44" s="41"/>
      <c r="G44" s="42"/>
      <c r="H44" s="42"/>
      <c r="I44" s="42"/>
      <c r="J44" s="42"/>
      <c r="K44" s="42"/>
      <c r="L44" s="42"/>
      <c r="M44" s="42"/>
      <c r="N44" s="42"/>
      <c r="O44" s="42"/>
      <c r="P44" s="42"/>
      <c r="Q44" s="42"/>
      <c r="R44" s="42"/>
      <c r="S44" s="37"/>
      <c r="T44" s="37"/>
      <c r="U44" s="37"/>
      <c r="V44" s="37"/>
    </row>
    <row r="45" spans="1:22" ht="15" customHeight="1">
      <c r="A45" s="226" t="s">
        <v>1735</v>
      </c>
      <c r="B45" s="7"/>
      <c r="C45" s="228" t="s">
        <v>1564</v>
      </c>
      <c r="D45" s="41"/>
      <c r="E45" s="41"/>
      <c r="F45" s="41"/>
      <c r="G45" s="42"/>
      <c r="H45" s="42"/>
      <c r="I45" s="42"/>
      <c r="J45" s="42"/>
      <c r="K45" s="42"/>
      <c r="L45" s="42"/>
      <c r="M45" s="42"/>
      <c r="N45" s="42"/>
      <c r="O45" s="42"/>
      <c r="P45" s="42"/>
      <c r="Q45" s="42"/>
      <c r="R45" s="42"/>
      <c r="S45" s="37"/>
      <c r="T45" s="37"/>
      <c r="U45" s="37"/>
      <c r="V45" s="37"/>
    </row>
    <row r="46" spans="1:22" ht="15" customHeight="1">
      <c r="A46" s="227" t="s">
        <v>1921</v>
      </c>
      <c r="B46" s="7"/>
      <c r="C46" s="228" t="s">
        <v>1565</v>
      </c>
      <c r="D46" s="41"/>
      <c r="E46" s="41"/>
      <c r="F46" s="41"/>
      <c r="G46" s="42"/>
      <c r="H46" s="42"/>
      <c r="I46" s="42"/>
      <c r="J46" s="42"/>
      <c r="K46" s="42"/>
      <c r="L46" s="42"/>
      <c r="M46" s="42"/>
      <c r="N46" s="42"/>
      <c r="O46" s="42"/>
      <c r="P46" s="42"/>
      <c r="Q46" s="42"/>
      <c r="R46" s="42"/>
      <c r="S46" s="37"/>
      <c r="T46" s="37"/>
      <c r="U46" s="37"/>
      <c r="V46" s="37"/>
    </row>
    <row r="47" spans="1:22" ht="15" customHeight="1">
      <c r="A47" s="226" t="s">
        <v>1922</v>
      </c>
      <c r="B47" s="7"/>
      <c r="C47" s="376" t="s">
        <v>1566</v>
      </c>
      <c r="D47" s="41"/>
      <c r="E47" s="41"/>
      <c r="F47" s="41"/>
      <c r="G47" s="42"/>
      <c r="H47" s="42"/>
      <c r="I47" s="42"/>
      <c r="J47" s="42"/>
      <c r="K47" s="42"/>
      <c r="L47" s="42"/>
      <c r="M47" s="42"/>
      <c r="N47" s="42"/>
      <c r="O47" s="42"/>
      <c r="P47" s="42"/>
      <c r="Q47" s="42"/>
      <c r="R47" s="42"/>
      <c r="S47" s="37"/>
      <c r="T47" s="37"/>
      <c r="U47" s="37"/>
      <c r="V47" s="37"/>
    </row>
    <row r="48" spans="1:22" ht="15" customHeight="1">
      <c r="A48" s="234" t="s">
        <v>466</v>
      </c>
      <c r="B48" s="7"/>
      <c r="C48" s="228"/>
      <c r="D48" s="41"/>
      <c r="E48" s="41"/>
      <c r="F48" s="41"/>
      <c r="G48" s="42"/>
      <c r="H48" s="42"/>
      <c r="I48" s="42"/>
      <c r="J48" s="42"/>
      <c r="K48" s="42"/>
      <c r="L48" s="42"/>
      <c r="M48" s="42"/>
      <c r="N48" s="42"/>
      <c r="O48" s="42"/>
      <c r="P48" s="42"/>
      <c r="Q48" s="42"/>
      <c r="R48" s="42"/>
      <c r="S48" s="37"/>
      <c r="T48" s="37"/>
      <c r="U48" s="37"/>
      <c r="V48" s="37"/>
    </row>
    <row r="49" spans="1:22" ht="15" customHeight="1">
      <c r="A49" s="226" t="s">
        <v>209</v>
      </c>
      <c r="B49" s="7"/>
      <c r="C49" s="376" t="s">
        <v>1567</v>
      </c>
      <c r="D49" s="41"/>
      <c r="E49" s="41"/>
      <c r="F49" s="41"/>
      <c r="G49" s="42"/>
      <c r="H49" s="42"/>
      <c r="I49" s="42"/>
      <c r="J49" s="42"/>
      <c r="K49" s="42"/>
      <c r="L49" s="42"/>
      <c r="M49" s="42"/>
      <c r="N49" s="42"/>
      <c r="O49" s="42"/>
      <c r="P49" s="42"/>
      <c r="Q49" s="42"/>
      <c r="R49" s="42"/>
      <c r="S49" s="37"/>
      <c r="T49" s="37"/>
      <c r="U49" s="37"/>
      <c r="V49" s="37"/>
    </row>
    <row r="50" spans="1:22" ht="15" customHeight="1">
      <c r="A50" s="226" t="s">
        <v>1525</v>
      </c>
      <c r="B50" s="7"/>
      <c r="C50" s="230" t="e">
        <f>C51-C41-C42-C43-C44-C45-C46-C47-C49</f>
        <v>#VALUE!</v>
      </c>
      <c r="D50" s="41"/>
      <c r="E50" s="41"/>
      <c r="F50" s="41"/>
      <c r="G50" s="42"/>
      <c r="H50" s="42"/>
      <c r="I50" s="42"/>
      <c r="J50" s="42"/>
      <c r="K50" s="42"/>
      <c r="L50" s="42"/>
      <c r="M50" s="42"/>
      <c r="N50" s="42"/>
      <c r="O50" s="42"/>
      <c r="P50" s="42"/>
      <c r="Q50" s="42"/>
      <c r="R50" s="42"/>
      <c r="S50" s="37"/>
      <c r="T50" s="37"/>
      <c r="U50" s="37"/>
      <c r="V50" s="37"/>
    </row>
    <row r="51" spans="1:22" ht="15" customHeight="1">
      <c r="A51" s="231" t="s">
        <v>282</v>
      </c>
      <c r="B51" s="7"/>
      <c r="C51" s="228" t="e">
        <f>C79-C80</f>
        <v>#VALUE!</v>
      </c>
      <c r="D51" s="41"/>
      <c r="E51" s="41"/>
      <c r="F51" s="41"/>
      <c r="G51" s="42"/>
      <c r="H51" s="42"/>
      <c r="I51" s="42"/>
      <c r="J51" s="42"/>
      <c r="K51" s="42"/>
      <c r="L51" s="42"/>
      <c r="M51" s="42"/>
      <c r="N51" s="42"/>
      <c r="O51" s="42"/>
      <c r="P51" s="42"/>
      <c r="Q51" s="42"/>
      <c r="R51" s="42"/>
      <c r="S51" s="37"/>
      <c r="T51" s="37"/>
      <c r="U51" s="37"/>
      <c r="V51" s="37"/>
    </row>
    <row r="52" spans="1:22" ht="15" customHeight="1">
      <c r="A52" s="406" t="s">
        <v>1113</v>
      </c>
      <c r="B52" s="8"/>
      <c r="C52" s="375" t="s">
        <v>1114</v>
      </c>
      <c r="D52" s="41"/>
      <c r="E52" s="41"/>
      <c r="F52" s="41"/>
      <c r="G52" s="42"/>
      <c r="H52" s="42"/>
      <c r="I52" s="42"/>
      <c r="J52" s="42"/>
      <c r="K52" s="42"/>
      <c r="L52" s="42"/>
      <c r="M52" s="42"/>
      <c r="N52" s="42"/>
      <c r="O52" s="42"/>
      <c r="P52" s="42"/>
      <c r="Q52" s="42"/>
      <c r="R52" s="42"/>
      <c r="S52" s="37"/>
      <c r="T52" s="37"/>
      <c r="U52" s="37"/>
      <c r="V52" s="37"/>
    </row>
    <row r="53" spans="1:22" ht="15" customHeight="1">
      <c r="A53" s="407" t="s">
        <v>1771</v>
      </c>
      <c r="B53" s="8"/>
      <c r="C53" s="375"/>
      <c r="D53" s="41"/>
      <c r="E53" s="41"/>
      <c r="F53" s="41"/>
      <c r="G53" s="42"/>
      <c r="H53" s="42"/>
      <c r="I53" s="42"/>
      <c r="J53" s="42"/>
      <c r="K53" s="42"/>
      <c r="L53" s="42"/>
      <c r="M53" s="42"/>
      <c r="N53" s="42"/>
      <c r="O53" s="42"/>
      <c r="P53" s="42"/>
      <c r="Q53" s="42"/>
      <c r="R53" s="42"/>
      <c r="S53" s="37"/>
      <c r="T53" s="37"/>
      <c r="U53" s="37"/>
      <c r="V53" s="37"/>
    </row>
    <row r="54" spans="1:22" ht="15" customHeight="1">
      <c r="A54" s="43" t="s">
        <v>1778</v>
      </c>
      <c r="B54" s="43"/>
      <c r="C54" s="46" t="e">
        <f>C55+C56</f>
        <v>#VALUE!</v>
      </c>
    </row>
    <row r="55" spans="1:22" s="444" customFormat="1" ht="15" customHeight="1">
      <c r="A55" s="533" t="s">
        <v>1772</v>
      </c>
      <c r="B55" s="534"/>
      <c r="C55" s="535" t="s">
        <v>1466</v>
      </c>
      <c r="D55" s="189"/>
      <c r="E55" s="189"/>
      <c r="F55" s="189"/>
      <c r="G55" s="459"/>
      <c r="H55" s="459"/>
      <c r="I55" s="459"/>
      <c r="J55" s="459"/>
      <c r="K55" s="459"/>
      <c r="L55" s="459"/>
      <c r="M55" s="459"/>
      <c r="N55" s="459"/>
      <c r="O55" s="459"/>
      <c r="P55" s="459"/>
      <c r="Q55" s="459"/>
      <c r="R55" s="459"/>
      <c r="S55" s="536"/>
      <c r="T55" s="536"/>
      <c r="U55" s="536"/>
      <c r="V55" s="536"/>
    </row>
    <row r="56" spans="1:22" s="444" customFormat="1" ht="15" customHeight="1">
      <c r="A56" s="533" t="s">
        <v>1773</v>
      </c>
      <c r="B56" s="534"/>
      <c r="C56" s="535" t="s">
        <v>61</v>
      </c>
      <c r="D56" s="189"/>
      <c r="E56" s="189"/>
      <c r="F56" s="189"/>
      <c r="G56" s="459"/>
      <c r="H56" s="459"/>
      <c r="I56" s="459"/>
      <c r="J56" s="459"/>
      <c r="K56" s="459"/>
      <c r="L56" s="459"/>
      <c r="M56" s="459"/>
      <c r="N56" s="459"/>
      <c r="O56" s="459"/>
      <c r="P56" s="459"/>
      <c r="Q56" s="459"/>
      <c r="R56" s="459"/>
      <c r="S56" s="536"/>
      <c r="T56" s="536"/>
      <c r="U56" s="536"/>
      <c r="V56" s="536"/>
    </row>
    <row r="57" spans="1:22" s="444" customFormat="1" ht="15" customHeight="1">
      <c r="A57" s="537" t="s">
        <v>1779</v>
      </c>
      <c r="B57" s="534"/>
      <c r="C57" s="535" t="s">
        <v>1535</v>
      </c>
      <c r="D57" s="189"/>
      <c r="E57" s="189"/>
      <c r="F57" s="189"/>
      <c r="G57" s="459"/>
      <c r="H57" s="459"/>
      <c r="I57" s="459"/>
      <c r="J57" s="459"/>
      <c r="K57" s="459"/>
      <c r="L57" s="459"/>
      <c r="M57" s="459"/>
      <c r="N57" s="459"/>
      <c r="O57" s="459"/>
      <c r="P57" s="459"/>
      <c r="Q57" s="459"/>
      <c r="R57" s="459"/>
      <c r="S57" s="536"/>
      <c r="T57" s="536"/>
      <c r="U57" s="536"/>
      <c r="V57" s="536"/>
    </row>
    <row r="58" spans="1:22" s="444" customFormat="1" ht="15" customHeight="1">
      <c r="A58" s="537" t="s">
        <v>1780</v>
      </c>
      <c r="B58" s="534"/>
      <c r="C58" s="445" t="e">
        <f>C59+C61+C62</f>
        <v>#VALUE!</v>
      </c>
      <c r="D58" s="189"/>
      <c r="E58" s="189"/>
      <c r="F58" s="189"/>
      <c r="G58" s="459"/>
      <c r="H58" s="459"/>
      <c r="I58" s="459"/>
      <c r="J58" s="459"/>
      <c r="K58" s="459"/>
      <c r="L58" s="459"/>
      <c r="M58" s="459"/>
      <c r="N58" s="459"/>
      <c r="O58" s="459"/>
      <c r="P58" s="459"/>
      <c r="Q58" s="459"/>
      <c r="R58" s="459"/>
      <c r="S58" s="536"/>
      <c r="T58" s="536"/>
      <c r="U58" s="536"/>
      <c r="V58" s="536"/>
    </row>
    <row r="59" spans="1:22" s="444" customFormat="1" ht="15" customHeight="1">
      <c r="A59" s="533" t="s">
        <v>1774</v>
      </c>
      <c r="B59" s="534"/>
      <c r="C59" s="376" t="s">
        <v>1775</v>
      </c>
      <c r="D59" s="189"/>
      <c r="E59" s="189"/>
      <c r="F59" s="189"/>
      <c r="G59" s="459"/>
      <c r="H59" s="459"/>
      <c r="I59" s="459"/>
      <c r="J59" s="459"/>
      <c r="K59" s="459"/>
      <c r="L59" s="459"/>
      <c r="M59" s="459"/>
      <c r="N59" s="459"/>
      <c r="O59" s="459"/>
      <c r="P59" s="459"/>
      <c r="Q59" s="459"/>
      <c r="R59" s="459"/>
      <c r="S59" s="536"/>
      <c r="T59" s="536"/>
      <c r="U59" s="536"/>
      <c r="V59" s="536"/>
    </row>
    <row r="60" spans="1:22" s="444" customFormat="1" ht="15" customHeight="1">
      <c r="A60" s="533" t="s">
        <v>2238</v>
      </c>
      <c r="B60" s="534"/>
      <c r="C60" s="376">
        <f>'Loan Classification'!G16</f>
        <v>0</v>
      </c>
      <c r="D60" s="189"/>
      <c r="E60" s="189"/>
      <c r="F60" s="189"/>
      <c r="G60" s="459"/>
      <c r="H60" s="459"/>
      <c r="I60" s="459"/>
      <c r="J60" s="459"/>
      <c r="K60" s="459"/>
      <c r="L60" s="459"/>
      <c r="M60" s="459"/>
      <c r="N60" s="459"/>
      <c r="O60" s="459"/>
      <c r="P60" s="459"/>
      <c r="Q60" s="459"/>
      <c r="R60" s="459"/>
      <c r="S60" s="536"/>
      <c r="T60" s="536"/>
      <c r="U60" s="536"/>
      <c r="V60" s="536"/>
    </row>
    <row r="61" spans="1:22" s="444" customFormat="1" ht="15" customHeight="1">
      <c r="A61" s="533" t="s">
        <v>1776</v>
      </c>
      <c r="B61" s="534"/>
      <c r="C61" s="376" t="s">
        <v>1418</v>
      </c>
      <c r="D61" s="189"/>
      <c r="E61" s="189"/>
      <c r="F61" s="189"/>
      <c r="G61" s="459"/>
      <c r="H61" s="459"/>
      <c r="I61" s="459"/>
      <c r="J61" s="459"/>
      <c r="K61" s="459"/>
      <c r="L61" s="459"/>
      <c r="M61" s="459"/>
      <c r="N61" s="459"/>
      <c r="O61" s="459"/>
      <c r="P61" s="459"/>
      <c r="Q61" s="459"/>
      <c r="R61" s="459"/>
      <c r="S61" s="536"/>
      <c r="T61" s="536"/>
      <c r="U61" s="536"/>
      <c r="V61" s="536"/>
    </row>
    <row r="62" spans="1:22" s="444" customFormat="1" ht="15" customHeight="1">
      <c r="A62" s="533" t="s">
        <v>1777</v>
      </c>
      <c r="B62" s="534"/>
      <c r="C62" s="376" t="s">
        <v>2336</v>
      </c>
      <c r="D62" s="189"/>
      <c r="E62" s="189"/>
      <c r="F62" s="189"/>
      <c r="G62" s="459"/>
      <c r="H62" s="459"/>
      <c r="I62" s="459"/>
      <c r="J62" s="459"/>
      <c r="K62" s="459"/>
      <c r="L62" s="459"/>
      <c r="M62" s="459"/>
      <c r="N62" s="459"/>
      <c r="O62" s="459"/>
      <c r="P62" s="459"/>
      <c r="Q62" s="459"/>
      <c r="R62" s="459"/>
      <c r="S62" s="536"/>
      <c r="T62" s="536"/>
      <c r="U62" s="536"/>
      <c r="V62" s="536"/>
    </row>
    <row r="63" spans="1:22" s="444" customFormat="1" ht="15" customHeight="1">
      <c r="A63" s="533" t="s">
        <v>1781</v>
      </c>
      <c r="B63" s="534"/>
      <c r="C63" s="376" t="s">
        <v>285</v>
      </c>
      <c r="D63" s="189"/>
      <c r="E63" s="189"/>
      <c r="F63" s="189"/>
      <c r="G63" s="459"/>
      <c r="H63" s="459"/>
      <c r="I63" s="459"/>
      <c r="J63" s="459"/>
      <c r="K63" s="459"/>
      <c r="L63" s="459"/>
      <c r="M63" s="459"/>
      <c r="N63" s="459"/>
      <c r="O63" s="459"/>
      <c r="P63" s="459"/>
      <c r="Q63" s="459"/>
      <c r="R63" s="459"/>
      <c r="S63" s="536"/>
      <c r="T63" s="536"/>
      <c r="U63" s="536"/>
      <c r="V63" s="536"/>
    </row>
    <row r="64" spans="1:22" s="444" customFormat="1" ht="15" customHeight="1">
      <c r="A64" s="541" t="s">
        <v>2239</v>
      </c>
      <c r="B64" s="534"/>
      <c r="C64" s="538" t="e">
        <f>C54+C57+C58+C63</f>
        <v>#VALUE!</v>
      </c>
      <c r="D64" s="189"/>
      <c r="E64" s="189"/>
      <c r="F64" s="189"/>
      <c r="G64" s="459"/>
      <c r="H64" s="459"/>
      <c r="I64" s="459"/>
      <c r="J64" s="459"/>
      <c r="K64" s="459"/>
      <c r="L64" s="459"/>
      <c r="M64" s="459"/>
      <c r="N64" s="459"/>
      <c r="O64" s="459"/>
      <c r="P64" s="459"/>
      <c r="Q64" s="459"/>
      <c r="R64" s="459"/>
      <c r="S64" s="536"/>
      <c r="T64" s="536"/>
      <c r="U64" s="536"/>
      <c r="V64" s="536"/>
    </row>
    <row r="65" spans="1:31" s="444" customFormat="1" ht="15" customHeight="1" thickBot="1">
      <c r="A65" s="541" t="s">
        <v>2240</v>
      </c>
      <c r="B65" s="539"/>
      <c r="C65" s="540" t="e">
        <f>C51+C64</f>
        <v>#VALUE!</v>
      </c>
      <c r="D65" s="189"/>
      <c r="E65" s="189"/>
      <c r="F65" s="189"/>
      <c r="G65" s="459"/>
      <c r="H65" s="459"/>
      <c r="I65" s="459"/>
      <c r="J65" s="459"/>
      <c r="K65" s="459"/>
      <c r="L65" s="459"/>
      <c r="M65" s="459"/>
      <c r="N65" s="459"/>
      <c r="O65" s="459"/>
      <c r="P65" s="459"/>
      <c r="Q65" s="459"/>
      <c r="R65" s="459"/>
      <c r="S65" s="536"/>
      <c r="T65" s="536"/>
      <c r="U65" s="536"/>
      <c r="V65" s="536"/>
    </row>
    <row r="66" spans="1:31" ht="15" customHeight="1">
      <c r="A66" s="34" t="s">
        <v>102</v>
      </c>
      <c r="B66" s="37"/>
      <c r="C66" s="37"/>
      <c r="D66" s="41"/>
      <c r="E66" s="41"/>
      <c r="F66" s="41"/>
      <c r="G66" s="42"/>
      <c r="H66" s="42"/>
      <c r="I66" s="42"/>
      <c r="J66" s="42"/>
      <c r="K66" s="42"/>
      <c r="L66" s="42"/>
      <c r="M66" s="42"/>
      <c r="N66" s="42"/>
      <c r="O66" s="42"/>
      <c r="P66" s="42"/>
      <c r="Q66" s="42"/>
      <c r="R66" s="42"/>
      <c r="S66" s="37"/>
      <c r="T66" s="37"/>
      <c r="U66" s="37"/>
      <c r="V66" s="37"/>
      <c r="W66" s="37"/>
      <c r="X66" s="37"/>
      <c r="Y66" s="37"/>
      <c r="Z66" s="37"/>
      <c r="AA66" s="37"/>
      <c r="AB66" s="37"/>
      <c r="AC66" s="37"/>
      <c r="AD66" s="37"/>
      <c r="AE66" s="37"/>
    </row>
    <row r="67" spans="1:31" ht="15" customHeight="1">
      <c r="A67" s="34" t="s">
        <v>1198</v>
      </c>
      <c r="B67" s="37"/>
      <c r="C67" s="37"/>
      <c r="D67" s="41"/>
      <c r="E67" s="41"/>
      <c r="F67" s="41"/>
      <c r="G67" s="42"/>
      <c r="H67" s="42"/>
      <c r="I67" s="42"/>
      <c r="J67" s="42"/>
      <c r="K67" s="42"/>
      <c r="L67" s="42"/>
      <c r="M67" s="42"/>
      <c r="N67" s="42"/>
      <c r="O67" s="42"/>
      <c r="P67" s="42"/>
      <c r="Q67" s="42"/>
      <c r="R67" s="42"/>
      <c r="S67" s="37"/>
      <c r="T67" s="37"/>
      <c r="U67" s="37"/>
      <c r="V67" s="37"/>
      <c r="W67" s="37"/>
      <c r="X67" s="37"/>
      <c r="Y67" s="37"/>
      <c r="Z67" s="37"/>
      <c r="AA67" s="37"/>
      <c r="AB67" s="37"/>
      <c r="AC67" s="37"/>
      <c r="AD67" s="37"/>
      <c r="AE67" s="37"/>
    </row>
    <row r="68" spans="1:31" ht="15" customHeight="1">
      <c r="A68" s="37"/>
      <c r="B68" s="37"/>
      <c r="C68" s="37"/>
      <c r="D68" s="41"/>
      <c r="E68" s="41"/>
      <c r="F68" s="41"/>
      <c r="G68" s="42"/>
      <c r="H68" s="42"/>
      <c r="I68" s="42"/>
      <c r="J68" s="42"/>
      <c r="K68" s="42"/>
      <c r="L68" s="42"/>
      <c r="M68" s="42"/>
      <c r="N68" s="42"/>
      <c r="O68" s="42"/>
      <c r="P68" s="42"/>
      <c r="Q68" s="42"/>
      <c r="R68" s="42"/>
      <c r="S68" s="37"/>
      <c r="T68" s="37"/>
      <c r="U68" s="37"/>
      <c r="V68" s="37"/>
      <c r="W68" s="37"/>
      <c r="X68" s="37"/>
      <c r="Y68" s="37"/>
      <c r="Z68" s="37"/>
      <c r="AA68" s="37"/>
      <c r="AB68" s="37"/>
      <c r="AC68" s="37"/>
      <c r="AD68" s="37"/>
      <c r="AE68" s="37"/>
    </row>
    <row r="69" spans="1:31" ht="15" customHeight="1">
      <c r="A69" s="854"/>
      <c r="B69" s="854"/>
      <c r="C69" s="854"/>
      <c r="D69" s="855"/>
      <c r="E69" s="855"/>
      <c r="F69" s="855"/>
      <c r="G69" s="855"/>
      <c r="H69" s="42"/>
      <c r="I69" s="42"/>
      <c r="J69" s="42"/>
      <c r="K69" s="42"/>
      <c r="L69" s="42"/>
      <c r="M69" s="42"/>
      <c r="N69" s="42"/>
      <c r="O69" s="42"/>
      <c r="P69" s="42"/>
      <c r="Q69" s="42"/>
      <c r="R69" s="42"/>
      <c r="S69" s="37"/>
      <c r="T69" s="37"/>
      <c r="U69" s="37"/>
      <c r="V69" s="37"/>
      <c r="W69" s="37"/>
      <c r="X69" s="37"/>
      <c r="Y69" s="37"/>
      <c r="Z69" s="37"/>
      <c r="AA69" s="37"/>
      <c r="AB69" s="37"/>
      <c r="AC69" s="37"/>
      <c r="AD69" s="37"/>
      <c r="AE69" s="37"/>
    </row>
    <row r="70" spans="1:31" ht="15" customHeight="1">
      <c r="A70" s="854"/>
      <c r="B70" s="854" t="s">
        <v>1005</v>
      </c>
      <c r="C70" s="749" t="s">
        <v>2143</v>
      </c>
      <c r="D70" s="855"/>
      <c r="E70" s="855"/>
      <c r="F70" s="855"/>
      <c r="G70" s="855"/>
      <c r="H70" s="42"/>
      <c r="I70" s="42"/>
      <c r="J70" s="42"/>
      <c r="K70" s="42"/>
      <c r="L70" s="42"/>
      <c r="M70" s="42"/>
      <c r="N70" s="42"/>
      <c r="O70" s="42"/>
      <c r="P70" s="42"/>
      <c r="Q70" s="42"/>
      <c r="R70" s="42"/>
      <c r="S70" s="37"/>
      <c r="T70" s="37"/>
      <c r="U70" s="37"/>
      <c r="V70" s="37"/>
      <c r="W70" s="37"/>
      <c r="X70" s="37"/>
      <c r="Y70" s="37"/>
      <c r="Z70" s="37"/>
      <c r="AA70" s="37"/>
      <c r="AB70" s="37"/>
      <c r="AC70" s="37"/>
      <c r="AD70" s="37"/>
      <c r="AE70" s="37"/>
    </row>
    <row r="71" spans="1:31" ht="15" customHeight="1">
      <c r="A71" s="854"/>
      <c r="B71" s="854" t="s">
        <v>1019</v>
      </c>
      <c r="C71" s="749" t="s">
        <v>1020</v>
      </c>
      <c r="D71" s="855"/>
      <c r="E71" s="855"/>
      <c r="F71" s="855"/>
      <c r="G71" s="855"/>
      <c r="H71" s="42"/>
      <c r="I71" s="42"/>
      <c r="J71" s="42"/>
      <c r="K71" s="42"/>
      <c r="L71" s="42"/>
      <c r="M71" s="42"/>
      <c r="N71" s="42"/>
      <c r="O71" s="42"/>
      <c r="P71" s="42"/>
      <c r="Q71" s="42"/>
      <c r="R71" s="42"/>
      <c r="S71" s="37"/>
      <c r="T71" s="37"/>
      <c r="U71" s="37"/>
      <c r="V71" s="37"/>
      <c r="W71" s="37"/>
      <c r="X71" s="37"/>
      <c r="Y71" s="37"/>
      <c r="Z71" s="37"/>
      <c r="AA71" s="37"/>
      <c r="AB71" s="37"/>
      <c r="AC71" s="37"/>
      <c r="AD71" s="37"/>
      <c r="AE71" s="37"/>
    </row>
    <row r="72" spans="1:31" ht="15" customHeight="1">
      <c r="A72" s="854"/>
      <c r="B72" s="854" t="s">
        <v>2110</v>
      </c>
      <c r="C72" s="749" t="s">
        <v>1021</v>
      </c>
      <c r="D72" s="855"/>
      <c r="E72" s="855"/>
      <c r="F72" s="855"/>
      <c r="G72" s="855"/>
      <c r="H72" s="42"/>
      <c r="I72" s="42"/>
      <c r="J72" s="42"/>
      <c r="K72" s="42"/>
      <c r="L72" s="42"/>
      <c r="M72" s="42"/>
      <c r="N72" s="42"/>
      <c r="O72" s="42"/>
      <c r="P72" s="42"/>
      <c r="Q72" s="42"/>
      <c r="R72" s="42"/>
      <c r="S72" s="37"/>
      <c r="T72" s="37"/>
      <c r="U72" s="37"/>
      <c r="V72" s="37"/>
      <c r="W72" s="37"/>
      <c r="X72" s="37"/>
      <c r="Y72" s="37"/>
      <c r="Z72" s="37"/>
      <c r="AA72" s="37"/>
      <c r="AB72" s="37"/>
      <c r="AC72" s="37"/>
      <c r="AD72" s="37"/>
      <c r="AE72" s="37"/>
    </row>
    <row r="73" spans="1:31" ht="15" customHeight="1">
      <c r="A73" s="749"/>
      <c r="B73" s="749">
        <v>11</v>
      </c>
      <c r="C73" s="749" t="s">
        <v>197</v>
      </c>
      <c r="D73" s="749"/>
      <c r="E73" s="749"/>
      <c r="F73" s="749"/>
      <c r="G73" s="749"/>
    </row>
    <row r="74" spans="1:31" ht="15" customHeight="1">
      <c r="A74" s="749"/>
      <c r="B74" s="749" t="s">
        <v>196</v>
      </c>
      <c r="C74" s="749" t="s">
        <v>198</v>
      </c>
      <c r="D74" s="749"/>
      <c r="E74" s="749"/>
      <c r="F74" s="749"/>
      <c r="G74" s="749"/>
    </row>
    <row r="75" spans="1:31" ht="15" customHeight="1">
      <c r="A75" s="749"/>
      <c r="B75" s="749">
        <v>16100</v>
      </c>
      <c r="C75" s="769" t="s">
        <v>2115</v>
      </c>
      <c r="D75" s="749"/>
      <c r="E75" s="749"/>
      <c r="F75" s="749"/>
      <c r="G75" s="749"/>
    </row>
    <row r="76" spans="1:31" ht="15" customHeight="1">
      <c r="A76" s="749"/>
      <c r="B76" s="749">
        <v>22200</v>
      </c>
      <c r="C76" s="749" t="s">
        <v>1114</v>
      </c>
      <c r="D76" s="749"/>
      <c r="E76" s="749"/>
      <c r="F76" s="749"/>
      <c r="G76" s="749"/>
    </row>
    <row r="77" spans="1:31" ht="15" customHeight="1">
      <c r="A77" s="749"/>
      <c r="B77" s="749" t="s">
        <v>195</v>
      </c>
      <c r="C77" s="749">
        <f>MIN(C75,C76)</f>
        <v>0</v>
      </c>
      <c r="D77" s="749"/>
      <c r="E77" s="749"/>
      <c r="F77" s="749"/>
      <c r="G77" s="749"/>
    </row>
    <row r="78" spans="1:31" ht="15" customHeight="1">
      <c r="A78" s="749"/>
      <c r="B78" s="749" t="s">
        <v>199</v>
      </c>
      <c r="C78" s="749" t="e">
        <f>C73-C77</f>
        <v>#VALUE!</v>
      </c>
      <c r="D78" s="749"/>
      <c r="E78" s="749"/>
      <c r="F78" s="749"/>
      <c r="G78" s="749"/>
    </row>
    <row r="79" spans="1:31" ht="15" customHeight="1">
      <c r="A79" s="749"/>
      <c r="B79" s="749" t="s">
        <v>200</v>
      </c>
      <c r="C79" s="749" t="e">
        <f>C74-C77</f>
        <v>#VALUE!</v>
      </c>
      <c r="D79" s="749"/>
      <c r="E79" s="749"/>
      <c r="F79" s="749"/>
      <c r="G79" s="749"/>
    </row>
    <row r="80" spans="1:31" ht="15" customHeight="1">
      <c r="A80" s="749"/>
      <c r="B80" s="749">
        <v>175</v>
      </c>
      <c r="C80" s="749" t="s">
        <v>188</v>
      </c>
      <c r="D80" s="749"/>
      <c r="E80" s="749"/>
      <c r="F80" s="749"/>
      <c r="G80" s="749"/>
    </row>
    <row r="81" spans="1:7" ht="15" customHeight="1">
      <c r="A81" s="749"/>
      <c r="B81" s="749"/>
      <c r="C81" s="749"/>
      <c r="D81" s="749"/>
      <c r="E81" s="749"/>
      <c r="F81" s="749"/>
      <c r="G81" s="749"/>
    </row>
    <row r="82" spans="1:7" ht="15" customHeight="1">
      <c r="A82" s="749"/>
      <c r="B82" s="749"/>
      <c r="C82" s="749"/>
      <c r="D82" s="749"/>
      <c r="E82" s="749"/>
      <c r="F82" s="749"/>
      <c r="G82" s="749"/>
    </row>
    <row r="83" spans="1:7" ht="15" customHeight="1">
      <c r="A83" s="749"/>
      <c r="B83" s="749"/>
      <c r="C83" s="749"/>
      <c r="D83" s="749"/>
      <c r="E83" s="749"/>
      <c r="F83" s="749"/>
      <c r="G83" s="749"/>
    </row>
    <row r="84" spans="1:7" ht="15" customHeight="1">
      <c r="D84" s="25"/>
    </row>
    <row r="85" spans="1:7" ht="15" customHeight="1">
      <c r="E85" s="45"/>
      <c r="F85" s="45"/>
    </row>
    <row r="86" spans="1:7" ht="15" customHeight="1">
      <c r="E86" s="45"/>
      <c r="F86" s="45"/>
    </row>
    <row r="87" spans="1:7" ht="15" customHeight="1">
      <c r="E87" s="45"/>
      <c r="F87" s="45"/>
    </row>
    <row r="88" spans="1:7" ht="15" customHeight="1">
      <c r="E88" s="45"/>
      <c r="F88" s="45"/>
    </row>
    <row r="89" spans="1:7" ht="15" customHeight="1">
      <c r="E89" s="45"/>
      <c r="F89" s="45"/>
    </row>
    <row r="90" spans="1:7" ht="15" customHeight="1">
      <c r="E90" s="45"/>
      <c r="F90" s="45"/>
    </row>
    <row r="91" spans="1:7" ht="15" customHeight="1">
      <c r="E91" s="45"/>
      <c r="F91" s="45"/>
    </row>
    <row r="92" spans="1:7" ht="15" customHeight="1">
      <c r="E92" s="45"/>
      <c r="F92" s="45"/>
    </row>
    <row r="93" spans="1:7" ht="15" customHeight="1">
      <c r="E93" s="45"/>
      <c r="F93" s="45"/>
    </row>
    <row r="94" spans="1:7" ht="15" customHeight="1">
      <c r="E94" s="45"/>
      <c r="F94" s="45"/>
    </row>
    <row r="95" spans="1:7" ht="15" customHeight="1">
      <c r="E95" s="45"/>
      <c r="F95" s="45"/>
    </row>
    <row r="96" spans="1:7" ht="15" customHeight="1">
      <c r="E96" s="45"/>
      <c r="F96" s="45"/>
    </row>
    <row r="97" spans="5:6" ht="15" customHeight="1">
      <c r="E97" s="45"/>
      <c r="F97" s="45"/>
    </row>
    <row r="98" spans="5:6" ht="15" customHeight="1">
      <c r="E98" s="45"/>
      <c r="F98" s="45"/>
    </row>
    <row r="99" spans="5:6" ht="15" customHeight="1">
      <c r="E99" s="45"/>
      <c r="F99" s="45"/>
    </row>
    <row r="100" spans="5:6" ht="15" customHeight="1">
      <c r="E100" s="45"/>
      <c r="F100" s="45"/>
    </row>
    <row r="101" spans="5:6" ht="15" customHeight="1">
      <c r="E101" s="45"/>
      <c r="F101" s="45"/>
    </row>
    <row r="102" spans="5:6" ht="15" customHeight="1">
      <c r="E102" s="45"/>
      <c r="F102" s="45"/>
    </row>
    <row r="103" spans="5:6" ht="15" customHeight="1">
      <c r="E103" s="45"/>
      <c r="F103" s="45"/>
    </row>
    <row r="104" spans="5:6" ht="15" customHeight="1">
      <c r="E104" s="45"/>
      <c r="F104" s="45"/>
    </row>
    <row r="105" spans="5:6" ht="15" customHeight="1">
      <c r="E105" s="45"/>
      <c r="F105" s="45"/>
    </row>
    <row r="106" spans="5:6" ht="15" customHeight="1">
      <c r="E106" s="45"/>
      <c r="F106" s="45"/>
    </row>
    <row r="107" spans="5:6" ht="15" customHeight="1">
      <c r="E107" s="45"/>
      <c r="F107" s="45"/>
    </row>
    <row r="108" spans="5:6" ht="15" customHeight="1">
      <c r="E108" s="45"/>
      <c r="F108" s="45"/>
    </row>
    <row r="109" spans="5:6" ht="15" customHeight="1">
      <c r="E109" s="45"/>
      <c r="F109" s="45"/>
    </row>
    <row r="110" spans="5:6" ht="15" customHeight="1">
      <c r="E110" s="45"/>
      <c r="F110" s="45"/>
    </row>
    <row r="111" spans="5:6" ht="15" customHeight="1">
      <c r="E111" s="45"/>
      <c r="F111" s="45"/>
    </row>
    <row r="112" spans="5:6" ht="15" customHeight="1">
      <c r="E112" s="45"/>
      <c r="F112" s="45"/>
    </row>
    <row r="113" spans="5:6" ht="15" customHeight="1">
      <c r="E113" s="45"/>
      <c r="F113" s="45"/>
    </row>
    <row r="114" spans="5:6" ht="15" customHeight="1">
      <c r="E114" s="45"/>
      <c r="F114" s="45"/>
    </row>
    <row r="115" spans="5:6" ht="15" customHeight="1">
      <c r="E115" s="45"/>
      <c r="F115" s="45"/>
    </row>
    <row r="116" spans="5:6" ht="15" customHeight="1">
      <c r="E116" s="45"/>
      <c r="F116" s="45"/>
    </row>
    <row r="117" spans="5:6" ht="15" customHeight="1">
      <c r="E117" s="45"/>
      <c r="F117" s="45"/>
    </row>
    <row r="118" spans="5:6" ht="15" customHeight="1">
      <c r="E118" s="45"/>
      <c r="F118" s="45"/>
    </row>
    <row r="119" spans="5:6" ht="15" customHeight="1">
      <c r="E119" s="45"/>
      <c r="F119" s="45"/>
    </row>
    <row r="120" spans="5:6" ht="15" customHeight="1">
      <c r="E120" s="45"/>
      <c r="F120" s="45"/>
    </row>
    <row r="121" spans="5:6" ht="15" customHeight="1">
      <c r="E121" s="45"/>
      <c r="F121" s="45"/>
    </row>
    <row r="122" spans="5:6" ht="15" customHeight="1">
      <c r="E122" s="45"/>
      <c r="F122" s="45"/>
    </row>
    <row r="123" spans="5:6" ht="15" customHeight="1">
      <c r="E123" s="45"/>
      <c r="F123" s="45"/>
    </row>
    <row r="124" spans="5:6" ht="15" customHeight="1">
      <c r="E124" s="45"/>
      <c r="F124" s="45"/>
    </row>
    <row r="125" spans="5:6" ht="15" customHeight="1">
      <c r="E125" s="45"/>
      <c r="F125" s="45"/>
    </row>
    <row r="126" spans="5:6" ht="15" customHeight="1">
      <c r="E126" s="45"/>
      <c r="F126" s="45"/>
    </row>
    <row r="127" spans="5:6" ht="15" customHeight="1">
      <c r="E127" s="45"/>
      <c r="F127" s="45"/>
    </row>
    <row r="128" spans="5:6" ht="15" customHeight="1">
      <c r="E128" s="45"/>
      <c r="F128" s="45"/>
    </row>
    <row r="129" spans="5:6" ht="15" customHeight="1">
      <c r="E129" s="45"/>
      <c r="F129" s="45"/>
    </row>
    <row r="130" spans="5:6" ht="15" customHeight="1">
      <c r="E130" s="45"/>
      <c r="F130" s="45"/>
    </row>
    <row r="131" spans="5:6" ht="15" customHeight="1">
      <c r="E131" s="45"/>
      <c r="F131" s="45"/>
    </row>
    <row r="132" spans="5:6" ht="15" customHeight="1">
      <c r="E132" s="45"/>
      <c r="F132" s="45"/>
    </row>
    <row r="133" spans="5:6" ht="15" customHeight="1">
      <c r="E133" s="45"/>
      <c r="F133" s="45"/>
    </row>
    <row r="134" spans="5:6" ht="15" customHeight="1">
      <c r="E134" s="45"/>
      <c r="F134" s="45"/>
    </row>
    <row r="135" spans="5:6" ht="15" customHeight="1">
      <c r="E135" s="45"/>
      <c r="F135" s="45"/>
    </row>
    <row r="136" spans="5:6" ht="15" customHeight="1">
      <c r="E136" s="45"/>
      <c r="F136" s="45"/>
    </row>
    <row r="137" spans="5:6" ht="15" customHeight="1">
      <c r="E137" s="45"/>
      <c r="F137" s="45"/>
    </row>
    <row r="138" spans="5:6" ht="15" customHeight="1">
      <c r="E138" s="45"/>
      <c r="F138" s="45"/>
    </row>
    <row r="139" spans="5:6" ht="15" customHeight="1">
      <c r="E139" s="45"/>
      <c r="F139" s="45"/>
    </row>
    <row r="140" spans="5:6" ht="15" customHeight="1">
      <c r="E140" s="45"/>
      <c r="F140" s="45"/>
    </row>
    <row r="141" spans="5:6" ht="15" customHeight="1">
      <c r="E141" s="45"/>
      <c r="F141" s="45"/>
    </row>
    <row r="142" spans="5:6" ht="15" customHeight="1">
      <c r="E142" s="45"/>
      <c r="F142" s="45"/>
    </row>
    <row r="143" spans="5:6" ht="15" customHeight="1">
      <c r="E143" s="45"/>
      <c r="F143" s="45"/>
    </row>
    <row r="144" spans="5:6" ht="15" customHeight="1">
      <c r="E144" s="45"/>
      <c r="F144" s="45"/>
    </row>
    <row r="145" spans="5:6" ht="15" customHeight="1">
      <c r="E145" s="45"/>
      <c r="F145" s="45"/>
    </row>
    <row r="146" spans="5:6" ht="15" customHeight="1">
      <c r="E146" s="45"/>
      <c r="F146" s="45"/>
    </row>
    <row r="147" spans="5:6" ht="15" customHeight="1">
      <c r="E147" s="45"/>
      <c r="F147" s="45"/>
    </row>
    <row r="148" spans="5:6" ht="15" customHeight="1">
      <c r="E148" s="45"/>
      <c r="F148" s="45"/>
    </row>
    <row r="149" spans="5:6" ht="15" customHeight="1">
      <c r="E149" s="45"/>
      <c r="F149" s="45"/>
    </row>
    <row r="150" spans="5:6" ht="15" customHeight="1">
      <c r="E150" s="45"/>
      <c r="F150" s="45"/>
    </row>
    <row r="151" spans="5:6" ht="15" customHeight="1">
      <c r="E151" s="45"/>
      <c r="F151" s="45"/>
    </row>
    <row r="152" spans="5:6" ht="15" customHeight="1">
      <c r="E152" s="45"/>
      <c r="F152" s="45"/>
    </row>
    <row r="153" spans="5:6" ht="15" customHeight="1">
      <c r="E153" s="45"/>
      <c r="F153" s="45"/>
    </row>
    <row r="154" spans="5:6" ht="15" customHeight="1">
      <c r="E154" s="45"/>
      <c r="F154" s="45"/>
    </row>
    <row r="205" spans="1:1" ht="15" customHeight="1">
      <c r="A205" s="412"/>
    </row>
  </sheetData>
  <mergeCells count="2">
    <mergeCell ref="A2:B2"/>
    <mergeCell ref="B5:C5"/>
  </mergeCells>
  <phoneticPr fontId="0" type="noConversion"/>
  <conditionalFormatting sqref="C17 C26">
    <cfRule type="cellIs" dxfId="41" priority="4" stopIfTrue="1" operator="notEqual">
      <formula>(B15-B16)</formula>
    </cfRule>
  </conditionalFormatting>
  <conditionalFormatting sqref="C23">
    <cfRule type="cellIs" dxfId="40" priority="3" stopIfTrue="1" operator="notEqual">
      <formula>B20+B21-B22</formula>
    </cfRule>
  </conditionalFormatting>
  <conditionalFormatting sqref="C34">
    <cfRule type="cellIs" dxfId="39" priority="2" stopIfTrue="1" operator="notEqual">
      <formula>B31+B32-B33</formula>
    </cfRule>
  </conditionalFormatting>
  <conditionalFormatting sqref="C14">
    <cfRule type="cellIs" dxfId="38" priority="1" stopIfTrue="1" operator="notEqual">
      <formula>(B11+B12-B13)</formula>
    </cfRule>
  </conditionalFormatting>
  <dataValidations count="8">
    <dataValidation type="date" operator="greaterThan" allowBlank="1" showInputMessage="1" showErrorMessage="1" prompt="Введите дату в формате ЧЧ.ММ.ГГГГ" sqref="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B65540 IX65540 ST65540 ACP65540 AML65540 AWH65540 BGD65540 BPZ65540 BZV65540 CJR65540 CTN65540 DDJ65540 DNF65540 DXB65540 EGX65540 EQT65540 FAP65540 FKL65540 FUH65540 GED65540 GNZ65540 GXV65540 HHR65540 HRN65540 IBJ65540 ILF65540 IVB65540 JEX65540 JOT65540 JYP65540 KIL65540 KSH65540 LCD65540 LLZ65540 LVV65540 MFR65540 MPN65540 MZJ65540 NJF65540 NTB65540 OCX65540 OMT65540 OWP65540 PGL65540 PQH65540 QAD65540 QJZ65540 QTV65540 RDR65540 RNN65540 RXJ65540 SHF65540 SRB65540 TAX65540 TKT65540 TUP65540 UEL65540 UOH65540 UYD65540 VHZ65540 VRV65540 WBR65540 WLN65540 WVJ65540 B131076 IX131076 ST131076 ACP131076 AML131076 AWH131076 BGD131076 BPZ131076 BZV131076 CJR131076 CTN131076 DDJ131076 DNF131076 DXB131076 EGX131076 EQT131076 FAP131076 FKL131076 FUH131076 GED131076 GNZ131076 GXV131076 HHR131076 HRN131076 IBJ131076 ILF131076 IVB131076 JEX131076 JOT131076 JYP131076 KIL131076 KSH131076 LCD131076 LLZ131076 LVV131076 MFR131076 MPN131076 MZJ131076 NJF131076 NTB131076 OCX131076 OMT131076 OWP131076 PGL131076 PQH131076 QAD131076 QJZ131076 QTV131076 RDR131076 RNN131076 RXJ131076 SHF131076 SRB131076 TAX131076 TKT131076 TUP131076 UEL131076 UOH131076 UYD131076 VHZ131076 VRV131076 WBR131076 WLN131076 WVJ131076 B196612 IX196612 ST196612 ACP196612 AML196612 AWH196612 BGD196612 BPZ196612 BZV196612 CJR196612 CTN196612 DDJ196612 DNF196612 DXB196612 EGX196612 EQT196612 FAP196612 FKL196612 FUH196612 GED196612 GNZ196612 GXV196612 HHR196612 HRN196612 IBJ196612 ILF196612 IVB196612 JEX196612 JOT196612 JYP196612 KIL196612 KSH196612 LCD196612 LLZ196612 LVV196612 MFR196612 MPN196612 MZJ196612 NJF196612 NTB196612 OCX196612 OMT196612 OWP196612 PGL196612 PQH196612 QAD196612 QJZ196612 QTV196612 RDR196612 RNN196612 RXJ196612 SHF196612 SRB196612 TAX196612 TKT196612 TUP196612 UEL196612 UOH196612 UYD196612 VHZ196612 VRV196612 WBR196612 WLN196612 WVJ196612 B262148 IX262148 ST262148 ACP262148 AML262148 AWH262148 BGD262148 BPZ262148 BZV262148 CJR262148 CTN262148 DDJ262148 DNF262148 DXB262148 EGX262148 EQT262148 FAP262148 FKL262148 FUH262148 GED262148 GNZ262148 GXV262148 HHR262148 HRN262148 IBJ262148 ILF262148 IVB262148 JEX262148 JOT262148 JYP262148 KIL262148 KSH262148 LCD262148 LLZ262148 LVV262148 MFR262148 MPN262148 MZJ262148 NJF262148 NTB262148 OCX262148 OMT262148 OWP262148 PGL262148 PQH262148 QAD262148 QJZ262148 QTV262148 RDR262148 RNN262148 RXJ262148 SHF262148 SRB262148 TAX262148 TKT262148 TUP262148 UEL262148 UOH262148 UYD262148 VHZ262148 VRV262148 WBR262148 WLN262148 WVJ262148 B327684 IX327684 ST327684 ACP327684 AML327684 AWH327684 BGD327684 BPZ327684 BZV327684 CJR327684 CTN327684 DDJ327684 DNF327684 DXB327684 EGX327684 EQT327684 FAP327684 FKL327684 FUH327684 GED327684 GNZ327684 GXV327684 HHR327684 HRN327684 IBJ327684 ILF327684 IVB327684 JEX327684 JOT327684 JYP327684 KIL327684 KSH327684 LCD327684 LLZ327684 LVV327684 MFR327684 MPN327684 MZJ327684 NJF327684 NTB327684 OCX327684 OMT327684 OWP327684 PGL327684 PQH327684 QAD327684 QJZ327684 QTV327684 RDR327684 RNN327684 RXJ327684 SHF327684 SRB327684 TAX327684 TKT327684 TUP327684 UEL327684 UOH327684 UYD327684 VHZ327684 VRV327684 WBR327684 WLN327684 WVJ327684 B393220 IX393220 ST393220 ACP393220 AML393220 AWH393220 BGD393220 BPZ393220 BZV393220 CJR393220 CTN393220 DDJ393220 DNF393220 DXB393220 EGX393220 EQT393220 FAP393220 FKL393220 FUH393220 GED393220 GNZ393220 GXV393220 HHR393220 HRN393220 IBJ393220 ILF393220 IVB393220 JEX393220 JOT393220 JYP393220 KIL393220 KSH393220 LCD393220 LLZ393220 LVV393220 MFR393220 MPN393220 MZJ393220 NJF393220 NTB393220 OCX393220 OMT393220 OWP393220 PGL393220 PQH393220 QAD393220 QJZ393220 QTV393220 RDR393220 RNN393220 RXJ393220 SHF393220 SRB393220 TAX393220 TKT393220 TUP393220 UEL393220 UOH393220 UYD393220 VHZ393220 VRV393220 WBR393220 WLN393220 WVJ393220 B458756 IX458756 ST458756 ACP458756 AML458756 AWH458756 BGD458756 BPZ458756 BZV458756 CJR458756 CTN458756 DDJ458756 DNF458756 DXB458756 EGX458756 EQT458756 FAP458756 FKL458756 FUH458756 GED458756 GNZ458756 GXV458756 HHR458756 HRN458756 IBJ458756 ILF458756 IVB458756 JEX458756 JOT458756 JYP458756 KIL458756 KSH458756 LCD458756 LLZ458756 LVV458756 MFR458756 MPN458756 MZJ458756 NJF458756 NTB458756 OCX458756 OMT458756 OWP458756 PGL458756 PQH458756 QAD458756 QJZ458756 QTV458756 RDR458756 RNN458756 RXJ458756 SHF458756 SRB458756 TAX458756 TKT458756 TUP458756 UEL458756 UOH458756 UYD458756 VHZ458756 VRV458756 WBR458756 WLN458756 WVJ458756 B524292 IX524292 ST524292 ACP524292 AML524292 AWH524292 BGD524292 BPZ524292 BZV524292 CJR524292 CTN524292 DDJ524292 DNF524292 DXB524292 EGX524292 EQT524292 FAP524292 FKL524292 FUH524292 GED524292 GNZ524292 GXV524292 HHR524292 HRN524292 IBJ524292 ILF524292 IVB524292 JEX524292 JOT524292 JYP524292 KIL524292 KSH524292 LCD524292 LLZ524292 LVV524292 MFR524292 MPN524292 MZJ524292 NJF524292 NTB524292 OCX524292 OMT524292 OWP524292 PGL524292 PQH524292 QAD524292 QJZ524292 QTV524292 RDR524292 RNN524292 RXJ524292 SHF524292 SRB524292 TAX524292 TKT524292 TUP524292 UEL524292 UOH524292 UYD524292 VHZ524292 VRV524292 WBR524292 WLN524292 WVJ524292 B589828 IX589828 ST589828 ACP589828 AML589828 AWH589828 BGD589828 BPZ589828 BZV589828 CJR589828 CTN589828 DDJ589828 DNF589828 DXB589828 EGX589828 EQT589828 FAP589828 FKL589828 FUH589828 GED589828 GNZ589828 GXV589828 HHR589828 HRN589828 IBJ589828 ILF589828 IVB589828 JEX589828 JOT589828 JYP589828 KIL589828 KSH589828 LCD589828 LLZ589828 LVV589828 MFR589828 MPN589828 MZJ589828 NJF589828 NTB589828 OCX589828 OMT589828 OWP589828 PGL589828 PQH589828 QAD589828 QJZ589828 QTV589828 RDR589828 RNN589828 RXJ589828 SHF589828 SRB589828 TAX589828 TKT589828 TUP589828 UEL589828 UOH589828 UYD589828 VHZ589828 VRV589828 WBR589828 WLN589828 WVJ589828 B655364 IX655364 ST655364 ACP655364 AML655364 AWH655364 BGD655364 BPZ655364 BZV655364 CJR655364 CTN655364 DDJ655364 DNF655364 DXB655364 EGX655364 EQT655364 FAP655364 FKL655364 FUH655364 GED655364 GNZ655364 GXV655364 HHR655364 HRN655364 IBJ655364 ILF655364 IVB655364 JEX655364 JOT655364 JYP655364 KIL655364 KSH655364 LCD655364 LLZ655364 LVV655364 MFR655364 MPN655364 MZJ655364 NJF655364 NTB655364 OCX655364 OMT655364 OWP655364 PGL655364 PQH655364 QAD655364 QJZ655364 QTV655364 RDR655364 RNN655364 RXJ655364 SHF655364 SRB655364 TAX655364 TKT655364 TUP655364 UEL655364 UOH655364 UYD655364 VHZ655364 VRV655364 WBR655364 WLN655364 WVJ655364 B720900 IX720900 ST720900 ACP720900 AML720900 AWH720900 BGD720900 BPZ720900 BZV720900 CJR720900 CTN720900 DDJ720900 DNF720900 DXB720900 EGX720900 EQT720900 FAP720900 FKL720900 FUH720900 GED720900 GNZ720900 GXV720900 HHR720900 HRN720900 IBJ720900 ILF720900 IVB720900 JEX720900 JOT720900 JYP720900 KIL720900 KSH720900 LCD720900 LLZ720900 LVV720900 MFR720900 MPN720900 MZJ720900 NJF720900 NTB720900 OCX720900 OMT720900 OWP720900 PGL720900 PQH720900 QAD720900 QJZ720900 QTV720900 RDR720900 RNN720900 RXJ720900 SHF720900 SRB720900 TAX720900 TKT720900 TUP720900 UEL720900 UOH720900 UYD720900 VHZ720900 VRV720900 WBR720900 WLN720900 WVJ720900 B786436 IX786436 ST786436 ACP786436 AML786436 AWH786436 BGD786436 BPZ786436 BZV786436 CJR786436 CTN786436 DDJ786436 DNF786436 DXB786436 EGX786436 EQT786436 FAP786436 FKL786436 FUH786436 GED786436 GNZ786436 GXV786436 HHR786436 HRN786436 IBJ786436 ILF786436 IVB786436 JEX786436 JOT786436 JYP786436 KIL786436 KSH786436 LCD786436 LLZ786436 LVV786436 MFR786436 MPN786436 MZJ786436 NJF786436 NTB786436 OCX786436 OMT786436 OWP786436 PGL786436 PQH786436 QAD786436 QJZ786436 QTV786436 RDR786436 RNN786436 RXJ786436 SHF786436 SRB786436 TAX786436 TKT786436 TUP786436 UEL786436 UOH786436 UYD786436 VHZ786436 VRV786436 WBR786436 WLN786436 WVJ786436 B851972 IX851972 ST851972 ACP851972 AML851972 AWH851972 BGD851972 BPZ851972 BZV851972 CJR851972 CTN851972 DDJ851972 DNF851972 DXB851972 EGX851972 EQT851972 FAP851972 FKL851972 FUH851972 GED851972 GNZ851972 GXV851972 HHR851972 HRN851972 IBJ851972 ILF851972 IVB851972 JEX851972 JOT851972 JYP851972 KIL851972 KSH851972 LCD851972 LLZ851972 LVV851972 MFR851972 MPN851972 MZJ851972 NJF851972 NTB851972 OCX851972 OMT851972 OWP851972 PGL851972 PQH851972 QAD851972 QJZ851972 QTV851972 RDR851972 RNN851972 RXJ851972 SHF851972 SRB851972 TAX851972 TKT851972 TUP851972 UEL851972 UOH851972 UYD851972 VHZ851972 VRV851972 WBR851972 WLN851972 WVJ851972 B917508 IX917508 ST917508 ACP917508 AML917508 AWH917508 BGD917508 BPZ917508 BZV917508 CJR917508 CTN917508 DDJ917508 DNF917508 DXB917508 EGX917508 EQT917508 FAP917508 FKL917508 FUH917508 GED917508 GNZ917508 GXV917508 HHR917508 HRN917508 IBJ917508 ILF917508 IVB917508 JEX917508 JOT917508 JYP917508 KIL917508 KSH917508 LCD917508 LLZ917508 LVV917508 MFR917508 MPN917508 MZJ917508 NJF917508 NTB917508 OCX917508 OMT917508 OWP917508 PGL917508 PQH917508 QAD917508 QJZ917508 QTV917508 RDR917508 RNN917508 RXJ917508 SHF917508 SRB917508 TAX917508 TKT917508 TUP917508 UEL917508 UOH917508 UYD917508 VHZ917508 VRV917508 WBR917508 WLN917508 WVJ917508 B983044 IX983044 ST983044 ACP983044 AML983044 AWH983044 BGD983044 BPZ983044 BZV983044 CJR983044 CTN983044 DDJ983044 DNF983044 DXB983044 EGX983044 EQT983044 FAP983044 FKL983044 FUH983044 GED983044 GNZ983044 GXV983044 HHR983044 HRN983044 IBJ983044 ILF983044 IVB983044 JEX983044 JOT983044 JYP983044 KIL983044 KSH983044 LCD983044 LLZ983044 LVV983044 MFR983044 MPN983044 MZJ983044 NJF983044 NTB983044 OCX983044 OMT983044 OWP983044 PGL983044 PQH983044 QAD983044 QJZ983044 QTV983044 RDR983044 RNN983044 RXJ983044 SHF983044 SRB983044 TAX983044 TKT983044 TUP983044 UEL983044 UOH983044 UYD983044 VHZ983044 VRV983044 WBR983044 WLN983044 WVJ983044">
      <formula1>DATE(96,1,1)</formula1>
    </dataValidation>
    <dataValidation allowBlank="1" showInputMessage="1" showErrorMessage="1" prompt="Если значение ячейки не равно &quot;В10+В11-В12&quot;, то ячейка окрасится" sqref="C1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WVK983054"/>
    <dataValidation allowBlank="1" showInputMessage="1" showErrorMessage="1" prompt="Если значение ячейки не равно &quot;В14 - В15&quot;, ячейка окрасится" sqref="C17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dataValidation allowBlank="1" showInputMessage="1" showErrorMessage="1" prompt="Если значение ячейки не равно &quot;В19+В20 - В21&quot;, ячейка окрасится" sqref="C2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WVK983063"/>
    <dataValidation allowBlank="1" showInputMessage="1" showErrorMessage="1" prompt="Если значение ячейки не равно &quot;В23 - В24&quot;, ячейка окрасится"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dataValidation allowBlank="1" showInputMessage="1" showErrorMessage="1" prompt="Если значение ячейки не равно &quot;В30 + В31 - В32&quot;, ячейка окрасится" sqref="C3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WVK983074"/>
    <dataValidation allowBlank="1" showInputMessage="1" showErrorMessage="1" prompt="Ячейка окрасится в случае, если значение не равно:_x000a__x000a_а) Итого активов (таблица &quot;Анализ активов банка&quot;)_x000a__x000a_б) Общей сумме балансовых активов (таблица &quot;Расчёт активов с учётом риска&quot; )" sqref="C36 IY36 SU36 ACQ36 AMM36 AWI36 BGE36 BQA36 BZW36 CJS36 CTO36 DDK36 DNG36 DXC36 EGY36 EQU36 FAQ36 FKM36 FUI36 GEE36 GOA36 GXW36 HHS36 HRO36 IBK36 ILG36 IVC36 JEY36 JOU36 JYQ36 KIM36 KSI36 LCE36 LMA36 LVW36 MFS36 MPO36 MZK36 NJG36 NTC36 OCY36 OMU36 OWQ36 PGM36 PQI36 QAE36 QKA36 QTW36 RDS36 RNO36 RXK36 SHG36 SRC36 TAY36 TKU36 TUQ36 UEM36 UOI36 UYE36 VIA36 VRW36 WBS36 WLO36 WVK36 C65572 IY65572 SU65572 ACQ65572 AMM65572 AWI65572 BGE65572 BQA65572 BZW65572 CJS65572 CTO65572 DDK65572 DNG65572 DXC65572 EGY65572 EQU65572 FAQ65572 FKM65572 FUI65572 GEE65572 GOA65572 GXW65572 HHS65572 HRO65572 IBK65572 ILG65572 IVC65572 JEY65572 JOU65572 JYQ65572 KIM65572 KSI65572 LCE65572 LMA65572 LVW65572 MFS65572 MPO65572 MZK65572 NJG65572 NTC65572 OCY65572 OMU65572 OWQ65572 PGM65572 PQI65572 QAE65572 QKA65572 QTW65572 RDS65572 RNO65572 RXK65572 SHG65572 SRC65572 TAY65572 TKU65572 TUQ65572 UEM65572 UOI65572 UYE65572 VIA65572 VRW65572 WBS65572 WLO65572 WVK65572 C131108 IY131108 SU131108 ACQ131108 AMM131108 AWI131108 BGE131108 BQA131108 BZW131108 CJS131108 CTO131108 DDK131108 DNG131108 DXC131108 EGY131108 EQU131108 FAQ131108 FKM131108 FUI131108 GEE131108 GOA131108 GXW131108 HHS131108 HRO131108 IBK131108 ILG131108 IVC131108 JEY131108 JOU131108 JYQ131108 KIM131108 KSI131108 LCE131108 LMA131108 LVW131108 MFS131108 MPO131108 MZK131108 NJG131108 NTC131108 OCY131108 OMU131108 OWQ131108 PGM131108 PQI131108 QAE131108 QKA131108 QTW131108 RDS131108 RNO131108 RXK131108 SHG131108 SRC131108 TAY131108 TKU131108 TUQ131108 UEM131108 UOI131108 UYE131108 VIA131108 VRW131108 WBS131108 WLO131108 WVK131108 C196644 IY196644 SU196644 ACQ196644 AMM196644 AWI196644 BGE196644 BQA196644 BZW196644 CJS196644 CTO196644 DDK196644 DNG196644 DXC196644 EGY196644 EQU196644 FAQ196644 FKM196644 FUI196644 GEE196644 GOA196644 GXW196644 HHS196644 HRO196644 IBK196644 ILG196644 IVC196644 JEY196644 JOU196644 JYQ196644 KIM196644 KSI196644 LCE196644 LMA196644 LVW196644 MFS196644 MPO196644 MZK196644 NJG196644 NTC196644 OCY196644 OMU196644 OWQ196644 PGM196644 PQI196644 QAE196644 QKA196644 QTW196644 RDS196644 RNO196644 RXK196644 SHG196644 SRC196644 TAY196644 TKU196644 TUQ196644 UEM196644 UOI196644 UYE196644 VIA196644 VRW196644 WBS196644 WLO196644 WVK196644 C262180 IY262180 SU262180 ACQ262180 AMM262180 AWI262180 BGE262180 BQA262180 BZW262180 CJS262180 CTO262180 DDK262180 DNG262180 DXC262180 EGY262180 EQU262180 FAQ262180 FKM262180 FUI262180 GEE262180 GOA262180 GXW262180 HHS262180 HRO262180 IBK262180 ILG262180 IVC262180 JEY262180 JOU262180 JYQ262180 KIM262180 KSI262180 LCE262180 LMA262180 LVW262180 MFS262180 MPO262180 MZK262180 NJG262180 NTC262180 OCY262180 OMU262180 OWQ262180 PGM262180 PQI262180 QAE262180 QKA262180 QTW262180 RDS262180 RNO262180 RXK262180 SHG262180 SRC262180 TAY262180 TKU262180 TUQ262180 UEM262180 UOI262180 UYE262180 VIA262180 VRW262180 WBS262180 WLO262180 WVK262180 C327716 IY327716 SU327716 ACQ327716 AMM327716 AWI327716 BGE327716 BQA327716 BZW327716 CJS327716 CTO327716 DDK327716 DNG327716 DXC327716 EGY327716 EQU327716 FAQ327716 FKM327716 FUI327716 GEE327716 GOA327716 GXW327716 HHS327716 HRO327716 IBK327716 ILG327716 IVC327716 JEY327716 JOU327716 JYQ327716 KIM327716 KSI327716 LCE327716 LMA327716 LVW327716 MFS327716 MPO327716 MZK327716 NJG327716 NTC327716 OCY327716 OMU327716 OWQ327716 PGM327716 PQI327716 QAE327716 QKA327716 QTW327716 RDS327716 RNO327716 RXK327716 SHG327716 SRC327716 TAY327716 TKU327716 TUQ327716 UEM327716 UOI327716 UYE327716 VIA327716 VRW327716 WBS327716 WLO327716 WVK327716 C393252 IY393252 SU393252 ACQ393252 AMM393252 AWI393252 BGE393252 BQA393252 BZW393252 CJS393252 CTO393252 DDK393252 DNG393252 DXC393252 EGY393252 EQU393252 FAQ393252 FKM393252 FUI393252 GEE393252 GOA393252 GXW393252 HHS393252 HRO393252 IBK393252 ILG393252 IVC393252 JEY393252 JOU393252 JYQ393252 KIM393252 KSI393252 LCE393252 LMA393252 LVW393252 MFS393252 MPO393252 MZK393252 NJG393252 NTC393252 OCY393252 OMU393252 OWQ393252 PGM393252 PQI393252 QAE393252 QKA393252 QTW393252 RDS393252 RNO393252 RXK393252 SHG393252 SRC393252 TAY393252 TKU393252 TUQ393252 UEM393252 UOI393252 UYE393252 VIA393252 VRW393252 WBS393252 WLO393252 WVK393252 C458788 IY458788 SU458788 ACQ458788 AMM458788 AWI458788 BGE458788 BQA458788 BZW458788 CJS458788 CTO458788 DDK458788 DNG458788 DXC458788 EGY458788 EQU458788 FAQ458788 FKM458788 FUI458788 GEE458788 GOA458788 GXW458788 HHS458788 HRO458788 IBK458788 ILG458788 IVC458788 JEY458788 JOU458788 JYQ458788 KIM458788 KSI458788 LCE458788 LMA458788 LVW458788 MFS458788 MPO458788 MZK458788 NJG458788 NTC458788 OCY458788 OMU458788 OWQ458788 PGM458788 PQI458788 QAE458788 QKA458788 QTW458788 RDS458788 RNO458788 RXK458788 SHG458788 SRC458788 TAY458788 TKU458788 TUQ458788 UEM458788 UOI458788 UYE458788 VIA458788 VRW458788 WBS458788 WLO458788 WVK458788 C524324 IY524324 SU524324 ACQ524324 AMM524324 AWI524324 BGE524324 BQA524324 BZW524324 CJS524324 CTO524324 DDK524324 DNG524324 DXC524324 EGY524324 EQU524324 FAQ524324 FKM524324 FUI524324 GEE524324 GOA524324 GXW524324 HHS524324 HRO524324 IBK524324 ILG524324 IVC524324 JEY524324 JOU524324 JYQ524324 KIM524324 KSI524324 LCE524324 LMA524324 LVW524324 MFS524324 MPO524324 MZK524324 NJG524324 NTC524324 OCY524324 OMU524324 OWQ524324 PGM524324 PQI524324 QAE524324 QKA524324 QTW524324 RDS524324 RNO524324 RXK524324 SHG524324 SRC524324 TAY524324 TKU524324 TUQ524324 UEM524324 UOI524324 UYE524324 VIA524324 VRW524324 WBS524324 WLO524324 WVK524324 C589860 IY589860 SU589860 ACQ589860 AMM589860 AWI589860 BGE589860 BQA589860 BZW589860 CJS589860 CTO589860 DDK589860 DNG589860 DXC589860 EGY589860 EQU589860 FAQ589860 FKM589860 FUI589860 GEE589860 GOA589860 GXW589860 HHS589860 HRO589860 IBK589860 ILG589860 IVC589860 JEY589860 JOU589860 JYQ589860 KIM589860 KSI589860 LCE589860 LMA589860 LVW589860 MFS589860 MPO589860 MZK589860 NJG589860 NTC589860 OCY589860 OMU589860 OWQ589860 PGM589860 PQI589860 QAE589860 QKA589860 QTW589860 RDS589860 RNO589860 RXK589860 SHG589860 SRC589860 TAY589860 TKU589860 TUQ589860 UEM589860 UOI589860 UYE589860 VIA589860 VRW589860 WBS589860 WLO589860 WVK589860 C655396 IY655396 SU655396 ACQ655396 AMM655396 AWI655396 BGE655396 BQA655396 BZW655396 CJS655396 CTO655396 DDK655396 DNG655396 DXC655396 EGY655396 EQU655396 FAQ655396 FKM655396 FUI655396 GEE655396 GOA655396 GXW655396 HHS655396 HRO655396 IBK655396 ILG655396 IVC655396 JEY655396 JOU655396 JYQ655396 KIM655396 KSI655396 LCE655396 LMA655396 LVW655396 MFS655396 MPO655396 MZK655396 NJG655396 NTC655396 OCY655396 OMU655396 OWQ655396 PGM655396 PQI655396 QAE655396 QKA655396 QTW655396 RDS655396 RNO655396 RXK655396 SHG655396 SRC655396 TAY655396 TKU655396 TUQ655396 UEM655396 UOI655396 UYE655396 VIA655396 VRW655396 WBS655396 WLO655396 WVK655396 C720932 IY720932 SU720932 ACQ720932 AMM720932 AWI720932 BGE720932 BQA720932 BZW720932 CJS720932 CTO720932 DDK720932 DNG720932 DXC720932 EGY720932 EQU720932 FAQ720932 FKM720932 FUI720932 GEE720932 GOA720932 GXW720932 HHS720932 HRO720932 IBK720932 ILG720932 IVC720932 JEY720932 JOU720932 JYQ720932 KIM720932 KSI720932 LCE720932 LMA720932 LVW720932 MFS720932 MPO720932 MZK720932 NJG720932 NTC720932 OCY720932 OMU720932 OWQ720932 PGM720932 PQI720932 QAE720932 QKA720932 QTW720932 RDS720932 RNO720932 RXK720932 SHG720932 SRC720932 TAY720932 TKU720932 TUQ720932 UEM720932 UOI720932 UYE720932 VIA720932 VRW720932 WBS720932 WLO720932 WVK720932 C786468 IY786468 SU786468 ACQ786468 AMM786468 AWI786468 BGE786468 BQA786468 BZW786468 CJS786468 CTO786468 DDK786468 DNG786468 DXC786468 EGY786468 EQU786468 FAQ786468 FKM786468 FUI786468 GEE786468 GOA786468 GXW786468 HHS786468 HRO786468 IBK786468 ILG786468 IVC786468 JEY786468 JOU786468 JYQ786468 KIM786468 KSI786468 LCE786468 LMA786468 LVW786468 MFS786468 MPO786468 MZK786468 NJG786468 NTC786468 OCY786468 OMU786468 OWQ786468 PGM786468 PQI786468 QAE786468 QKA786468 QTW786468 RDS786468 RNO786468 RXK786468 SHG786468 SRC786468 TAY786468 TKU786468 TUQ786468 UEM786468 UOI786468 UYE786468 VIA786468 VRW786468 WBS786468 WLO786468 WVK786468 C852004 IY852004 SU852004 ACQ852004 AMM852004 AWI852004 BGE852004 BQA852004 BZW852004 CJS852004 CTO852004 DDK852004 DNG852004 DXC852004 EGY852004 EQU852004 FAQ852004 FKM852004 FUI852004 GEE852004 GOA852004 GXW852004 HHS852004 HRO852004 IBK852004 ILG852004 IVC852004 JEY852004 JOU852004 JYQ852004 KIM852004 KSI852004 LCE852004 LMA852004 LVW852004 MFS852004 MPO852004 MZK852004 NJG852004 NTC852004 OCY852004 OMU852004 OWQ852004 PGM852004 PQI852004 QAE852004 QKA852004 QTW852004 RDS852004 RNO852004 RXK852004 SHG852004 SRC852004 TAY852004 TKU852004 TUQ852004 UEM852004 UOI852004 UYE852004 VIA852004 VRW852004 WBS852004 WLO852004 WVK852004 C917540 IY917540 SU917540 ACQ917540 AMM917540 AWI917540 BGE917540 BQA917540 BZW917540 CJS917540 CTO917540 DDK917540 DNG917540 DXC917540 EGY917540 EQU917540 FAQ917540 FKM917540 FUI917540 GEE917540 GOA917540 GXW917540 HHS917540 HRO917540 IBK917540 ILG917540 IVC917540 JEY917540 JOU917540 JYQ917540 KIM917540 KSI917540 LCE917540 LMA917540 LVW917540 MFS917540 MPO917540 MZK917540 NJG917540 NTC917540 OCY917540 OMU917540 OWQ917540 PGM917540 PQI917540 QAE917540 QKA917540 QTW917540 RDS917540 RNO917540 RXK917540 SHG917540 SRC917540 TAY917540 TKU917540 TUQ917540 UEM917540 UOI917540 UYE917540 VIA917540 VRW917540 WBS917540 WLO917540 WVK917540 C983076 IY983076 SU983076 ACQ983076 AMM983076 AWI983076 BGE983076 BQA983076 BZW983076 CJS983076 CTO983076 DDK983076 DNG983076 DXC983076 EGY983076 EQU983076 FAQ983076 FKM983076 FUI983076 GEE983076 GOA983076 GXW983076 HHS983076 HRO983076 IBK983076 ILG983076 IVC983076 JEY983076 JOU983076 JYQ983076 KIM983076 KSI983076 LCE983076 LMA983076 LVW983076 MFS983076 MPO983076 MZK983076 NJG983076 NTC983076 OCY983076 OMU983076 OWQ983076 PGM983076 PQI983076 QAE983076 QKA983076 QTW983076 RDS983076 RNO983076 RXK983076 SHG983076 SRC983076 TAY983076 TKU983076 TUQ983076 UEM983076 UOI983076 UYE983076 VIA983076 VRW983076 WBS983076 WLO983076 WVK983076"/>
    <dataValidation type="whole" operator="notEqual" allowBlank="1" showErrorMessage="1" error="Что, не получается?_x000a__x000a_Выше нос друзья!_x000a__x000a_Введите целое число." sqref="C48 IY48 SU48 ACQ48 AMM48 AWI48 BGE48 BQA48 BZW48 CJS48 CTO48 DDK48 DNG48 DXC48 EGY48 EQU48 FAQ48 FKM48 FUI48 GEE48 GOA48 GXW48 HHS48 HRO48 IBK48 ILG48 IVC48 JEY48 JOU48 JYQ48 KIM48 KSI48 LCE48 LMA48 LVW48 MFS48 MPO48 MZK48 NJG48 NTC48 OCY48 OMU48 OWQ48 PGM48 PQI48 QAE48 QKA48 QTW48 RDS48 RNO48 RXK48 SHG48 SRC48 TAY48 TKU48 TUQ48 UEM48 UOI48 UYE48 VIA48 VRW48 WBS48 WLO48 WVK48 C65584 IY65584 SU65584 ACQ65584 AMM65584 AWI65584 BGE65584 BQA65584 BZW65584 CJS65584 CTO65584 DDK65584 DNG65584 DXC65584 EGY65584 EQU65584 FAQ65584 FKM65584 FUI65584 GEE65584 GOA65584 GXW65584 HHS65584 HRO65584 IBK65584 ILG65584 IVC65584 JEY65584 JOU65584 JYQ65584 KIM65584 KSI65584 LCE65584 LMA65584 LVW65584 MFS65584 MPO65584 MZK65584 NJG65584 NTC65584 OCY65584 OMU65584 OWQ65584 PGM65584 PQI65584 QAE65584 QKA65584 QTW65584 RDS65584 RNO65584 RXK65584 SHG65584 SRC65584 TAY65584 TKU65584 TUQ65584 UEM65584 UOI65584 UYE65584 VIA65584 VRW65584 WBS65584 WLO65584 WVK65584 C131120 IY131120 SU131120 ACQ131120 AMM131120 AWI131120 BGE131120 BQA131120 BZW131120 CJS131120 CTO131120 DDK131120 DNG131120 DXC131120 EGY131120 EQU131120 FAQ131120 FKM131120 FUI131120 GEE131120 GOA131120 GXW131120 HHS131120 HRO131120 IBK131120 ILG131120 IVC131120 JEY131120 JOU131120 JYQ131120 KIM131120 KSI131120 LCE131120 LMA131120 LVW131120 MFS131120 MPO131120 MZK131120 NJG131120 NTC131120 OCY131120 OMU131120 OWQ131120 PGM131120 PQI131120 QAE131120 QKA131120 QTW131120 RDS131120 RNO131120 RXK131120 SHG131120 SRC131120 TAY131120 TKU131120 TUQ131120 UEM131120 UOI131120 UYE131120 VIA131120 VRW131120 WBS131120 WLO131120 WVK131120 C196656 IY196656 SU196656 ACQ196656 AMM196656 AWI196656 BGE196656 BQA196656 BZW196656 CJS196656 CTO196656 DDK196656 DNG196656 DXC196656 EGY196656 EQU196656 FAQ196656 FKM196656 FUI196656 GEE196656 GOA196656 GXW196656 HHS196656 HRO196656 IBK196656 ILG196656 IVC196656 JEY196656 JOU196656 JYQ196656 KIM196656 KSI196656 LCE196656 LMA196656 LVW196656 MFS196656 MPO196656 MZK196656 NJG196656 NTC196656 OCY196656 OMU196656 OWQ196656 PGM196656 PQI196656 QAE196656 QKA196656 QTW196656 RDS196656 RNO196656 RXK196656 SHG196656 SRC196656 TAY196656 TKU196656 TUQ196656 UEM196656 UOI196656 UYE196656 VIA196656 VRW196656 WBS196656 WLO196656 WVK196656 C262192 IY262192 SU262192 ACQ262192 AMM262192 AWI262192 BGE262192 BQA262192 BZW262192 CJS262192 CTO262192 DDK262192 DNG262192 DXC262192 EGY262192 EQU262192 FAQ262192 FKM262192 FUI262192 GEE262192 GOA262192 GXW262192 HHS262192 HRO262192 IBK262192 ILG262192 IVC262192 JEY262192 JOU262192 JYQ262192 KIM262192 KSI262192 LCE262192 LMA262192 LVW262192 MFS262192 MPO262192 MZK262192 NJG262192 NTC262192 OCY262192 OMU262192 OWQ262192 PGM262192 PQI262192 QAE262192 QKA262192 QTW262192 RDS262192 RNO262192 RXK262192 SHG262192 SRC262192 TAY262192 TKU262192 TUQ262192 UEM262192 UOI262192 UYE262192 VIA262192 VRW262192 WBS262192 WLO262192 WVK262192 C327728 IY327728 SU327728 ACQ327728 AMM327728 AWI327728 BGE327728 BQA327728 BZW327728 CJS327728 CTO327728 DDK327728 DNG327728 DXC327728 EGY327728 EQU327728 FAQ327728 FKM327728 FUI327728 GEE327728 GOA327728 GXW327728 HHS327728 HRO327728 IBK327728 ILG327728 IVC327728 JEY327728 JOU327728 JYQ327728 KIM327728 KSI327728 LCE327728 LMA327728 LVW327728 MFS327728 MPO327728 MZK327728 NJG327728 NTC327728 OCY327728 OMU327728 OWQ327728 PGM327728 PQI327728 QAE327728 QKA327728 QTW327728 RDS327728 RNO327728 RXK327728 SHG327728 SRC327728 TAY327728 TKU327728 TUQ327728 UEM327728 UOI327728 UYE327728 VIA327728 VRW327728 WBS327728 WLO327728 WVK327728 C393264 IY393264 SU393264 ACQ393264 AMM393264 AWI393264 BGE393264 BQA393264 BZW393264 CJS393264 CTO393264 DDK393264 DNG393264 DXC393264 EGY393264 EQU393264 FAQ393264 FKM393264 FUI393264 GEE393264 GOA393264 GXW393264 HHS393264 HRO393264 IBK393264 ILG393264 IVC393264 JEY393264 JOU393264 JYQ393264 KIM393264 KSI393264 LCE393264 LMA393264 LVW393264 MFS393264 MPO393264 MZK393264 NJG393264 NTC393264 OCY393264 OMU393264 OWQ393264 PGM393264 PQI393264 QAE393264 QKA393264 QTW393264 RDS393264 RNO393264 RXK393264 SHG393264 SRC393264 TAY393264 TKU393264 TUQ393264 UEM393264 UOI393264 UYE393264 VIA393264 VRW393264 WBS393264 WLO393264 WVK393264 C458800 IY458800 SU458800 ACQ458800 AMM458800 AWI458800 BGE458800 BQA458800 BZW458800 CJS458800 CTO458800 DDK458800 DNG458800 DXC458800 EGY458800 EQU458800 FAQ458800 FKM458800 FUI458800 GEE458800 GOA458800 GXW458800 HHS458800 HRO458800 IBK458800 ILG458800 IVC458800 JEY458800 JOU458800 JYQ458800 KIM458800 KSI458800 LCE458800 LMA458800 LVW458800 MFS458800 MPO458800 MZK458800 NJG458800 NTC458800 OCY458800 OMU458800 OWQ458800 PGM458800 PQI458800 QAE458800 QKA458800 QTW458800 RDS458800 RNO458800 RXK458800 SHG458800 SRC458800 TAY458800 TKU458800 TUQ458800 UEM458800 UOI458800 UYE458800 VIA458800 VRW458800 WBS458800 WLO458800 WVK458800 C524336 IY524336 SU524336 ACQ524336 AMM524336 AWI524336 BGE524336 BQA524336 BZW524336 CJS524336 CTO524336 DDK524336 DNG524336 DXC524336 EGY524336 EQU524336 FAQ524336 FKM524336 FUI524336 GEE524336 GOA524336 GXW524336 HHS524336 HRO524336 IBK524336 ILG524336 IVC524336 JEY524336 JOU524336 JYQ524336 KIM524336 KSI524336 LCE524336 LMA524336 LVW524336 MFS524336 MPO524336 MZK524336 NJG524336 NTC524336 OCY524336 OMU524336 OWQ524336 PGM524336 PQI524336 QAE524336 QKA524336 QTW524336 RDS524336 RNO524336 RXK524336 SHG524336 SRC524336 TAY524336 TKU524336 TUQ524336 UEM524336 UOI524336 UYE524336 VIA524336 VRW524336 WBS524336 WLO524336 WVK524336 C589872 IY589872 SU589872 ACQ589872 AMM589872 AWI589872 BGE589872 BQA589872 BZW589872 CJS589872 CTO589872 DDK589872 DNG589872 DXC589872 EGY589872 EQU589872 FAQ589872 FKM589872 FUI589872 GEE589872 GOA589872 GXW589872 HHS589872 HRO589872 IBK589872 ILG589872 IVC589872 JEY589872 JOU589872 JYQ589872 KIM589872 KSI589872 LCE589872 LMA589872 LVW589872 MFS589872 MPO589872 MZK589872 NJG589872 NTC589872 OCY589872 OMU589872 OWQ589872 PGM589872 PQI589872 QAE589872 QKA589872 QTW589872 RDS589872 RNO589872 RXK589872 SHG589872 SRC589872 TAY589872 TKU589872 TUQ589872 UEM589872 UOI589872 UYE589872 VIA589872 VRW589872 WBS589872 WLO589872 WVK589872 C655408 IY655408 SU655408 ACQ655408 AMM655408 AWI655408 BGE655408 BQA655408 BZW655408 CJS655408 CTO655408 DDK655408 DNG655408 DXC655408 EGY655408 EQU655408 FAQ655408 FKM655408 FUI655408 GEE655408 GOA655408 GXW655408 HHS655408 HRO655408 IBK655408 ILG655408 IVC655408 JEY655408 JOU655408 JYQ655408 KIM655408 KSI655408 LCE655408 LMA655408 LVW655408 MFS655408 MPO655408 MZK655408 NJG655408 NTC655408 OCY655408 OMU655408 OWQ655408 PGM655408 PQI655408 QAE655408 QKA655408 QTW655408 RDS655408 RNO655408 RXK655408 SHG655408 SRC655408 TAY655408 TKU655408 TUQ655408 UEM655408 UOI655408 UYE655408 VIA655408 VRW655408 WBS655408 WLO655408 WVK655408 C720944 IY720944 SU720944 ACQ720944 AMM720944 AWI720944 BGE720944 BQA720944 BZW720944 CJS720944 CTO720944 DDK720944 DNG720944 DXC720944 EGY720944 EQU720944 FAQ720944 FKM720944 FUI720944 GEE720944 GOA720944 GXW720944 HHS720944 HRO720944 IBK720944 ILG720944 IVC720944 JEY720944 JOU720944 JYQ720944 KIM720944 KSI720944 LCE720944 LMA720944 LVW720944 MFS720944 MPO720944 MZK720944 NJG720944 NTC720944 OCY720944 OMU720944 OWQ720944 PGM720944 PQI720944 QAE720944 QKA720944 QTW720944 RDS720944 RNO720944 RXK720944 SHG720944 SRC720944 TAY720944 TKU720944 TUQ720944 UEM720944 UOI720944 UYE720944 VIA720944 VRW720944 WBS720944 WLO720944 WVK720944 C786480 IY786480 SU786480 ACQ786480 AMM786480 AWI786480 BGE786480 BQA786480 BZW786480 CJS786480 CTO786480 DDK786480 DNG786480 DXC786480 EGY786480 EQU786480 FAQ786480 FKM786480 FUI786480 GEE786480 GOA786480 GXW786480 HHS786480 HRO786480 IBK786480 ILG786480 IVC786480 JEY786480 JOU786480 JYQ786480 KIM786480 KSI786480 LCE786480 LMA786480 LVW786480 MFS786480 MPO786480 MZK786480 NJG786480 NTC786480 OCY786480 OMU786480 OWQ786480 PGM786480 PQI786480 QAE786480 QKA786480 QTW786480 RDS786480 RNO786480 RXK786480 SHG786480 SRC786480 TAY786480 TKU786480 TUQ786480 UEM786480 UOI786480 UYE786480 VIA786480 VRW786480 WBS786480 WLO786480 WVK786480 C852016 IY852016 SU852016 ACQ852016 AMM852016 AWI852016 BGE852016 BQA852016 BZW852016 CJS852016 CTO852016 DDK852016 DNG852016 DXC852016 EGY852016 EQU852016 FAQ852016 FKM852016 FUI852016 GEE852016 GOA852016 GXW852016 HHS852016 HRO852016 IBK852016 ILG852016 IVC852016 JEY852016 JOU852016 JYQ852016 KIM852016 KSI852016 LCE852016 LMA852016 LVW852016 MFS852016 MPO852016 MZK852016 NJG852016 NTC852016 OCY852016 OMU852016 OWQ852016 PGM852016 PQI852016 QAE852016 QKA852016 QTW852016 RDS852016 RNO852016 RXK852016 SHG852016 SRC852016 TAY852016 TKU852016 TUQ852016 UEM852016 UOI852016 UYE852016 VIA852016 VRW852016 WBS852016 WLO852016 WVK852016 C917552 IY917552 SU917552 ACQ917552 AMM917552 AWI917552 BGE917552 BQA917552 BZW917552 CJS917552 CTO917552 DDK917552 DNG917552 DXC917552 EGY917552 EQU917552 FAQ917552 FKM917552 FUI917552 GEE917552 GOA917552 GXW917552 HHS917552 HRO917552 IBK917552 ILG917552 IVC917552 JEY917552 JOU917552 JYQ917552 KIM917552 KSI917552 LCE917552 LMA917552 LVW917552 MFS917552 MPO917552 MZK917552 NJG917552 NTC917552 OCY917552 OMU917552 OWQ917552 PGM917552 PQI917552 QAE917552 QKA917552 QTW917552 RDS917552 RNO917552 RXK917552 SHG917552 SRC917552 TAY917552 TKU917552 TUQ917552 UEM917552 UOI917552 UYE917552 VIA917552 VRW917552 WBS917552 WLO917552 WVK917552 C983088 IY983088 SU983088 ACQ983088 AMM983088 AWI983088 BGE983088 BQA983088 BZW983088 CJS983088 CTO983088 DDK983088 DNG983088 DXC983088 EGY983088 EQU983088 FAQ983088 FKM983088 FUI983088 GEE983088 GOA983088 GXW983088 HHS983088 HRO983088 IBK983088 ILG983088 IVC983088 JEY983088 JOU983088 JYQ983088 KIM983088 KSI983088 LCE983088 LMA983088 LVW983088 MFS983088 MPO983088 MZK983088 NJG983088 NTC983088 OCY983088 OMU983088 OWQ983088 PGM983088 PQI983088 QAE983088 QKA983088 QTW983088 RDS983088 RNO983088 RXK983088 SHG983088 SRC983088 TAY983088 TKU983088 TUQ983088 UEM983088 UOI983088 UYE983088 VIA983088 VRW983088 WBS983088 WLO983088 WVK983088">
      <formula1>-1E+21</formula1>
    </dataValidation>
  </dataValidations>
  <pageMargins left="0.37" right="0.35" top="0.56000000000000005" bottom="0.6" header="0.5" footer="0.5"/>
  <pageSetup paperSize="9" scale="80" orientation="portrait" r:id="rId1"/>
  <headerFooter alignWithMargins="0"/>
</worksheet>
</file>

<file path=xl/worksheets/sheet2.xml><?xml version="1.0" encoding="utf-8"?>
<worksheet xmlns="http://schemas.openxmlformats.org/spreadsheetml/2006/main" xmlns:r="http://schemas.openxmlformats.org/officeDocument/2006/relationships">
  <sheetPr codeName="Лист2"/>
  <dimension ref="A1:S81"/>
  <sheetViews>
    <sheetView topLeftCell="A58" workbookViewId="0">
      <selection activeCell="B6" sqref="B6"/>
    </sheetView>
  </sheetViews>
  <sheetFormatPr defaultRowHeight="15" customHeight="1"/>
  <cols>
    <col min="1" max="1" width="52.42578125" style="37" customWidth="1"/>
    <col min="2" max="2" width="28.42578125" style="37" customWidth="1"/>
    <col min="3" max="3" width="7.42578125" style="37" customWidth="1"/>
    <col min="4" max="4" width="28.140625" style="37" customWidth="1"/>
    <col min="5" max="8" width="7.42578125" style="37" customWidth="1"/>
    <col min="9" max="16384" width="9.140625" style="37"/>
  </cols>
  <sheetData>
    <row r="1" spans="1:19" ht="15" customHeight="1">
      <c r="B1" s="613" t="s">
        <v>2277</v>
      </c>
    </row>
    <row r="2" spans="1:19" ht="15" customHeight="1">
      <c r="A2" s="35" t="s">
        <v>709</v>
      </c>
      <c r="B2" s="701" t="s">
        <v>2664</v>
      </c>
      <c r="C2" s="41"/>
      <c r="D2" s="42"/>
      <c r="E2" s="41"/>
      <c r="F2" s="41"/>
      <c r="G2" s="41"/>
      <c r="H2" s="41"/>
      <c r="I2" s="41"/>
      <c r="J2" s="41"/>
      <c r="K2" s="41"/>
      <c r="L2" s="41"/>
      <c r="M2" s="41"/>
      <c r="N2" s="41"/>
      <c r="O2" s="41"/>
      <c r="P2" s="41"/>
      <c r="Q2" s="41"/>
      <c r="R2" s="41"/>
      <c r="S2" s="41"/>
    </row>
    <row r="3" spans="1:19" ht="15" customHeight="1" thickBot="1">
      <c r="A3" s="371" t="s">
        <v>379</v>
      </c>
      <c r="B3" s="371"/>
      <c r="C3" s="41"/>
      <c r="D3" s="42"/>
      <c r="E3" s="41"/>
      <c r="F3" s="41"/>
      <c r="G3" s="41"/>
      <c r="H3" s="41"/>
      <c r="I3" s="41"/>
      <c r="J3" s="41"/>
      <c r="K3" s="41"/>
      <c r="L3" s="41"/>
      <c r="M3" s="41"/>
      <c r="N3" s="41"/>
      <c r="O3" s="41"/>
      <c r="P3" s="41"/>
      <c r="Q3" s="41"/>
      <c r="R3" s="41"/>
      <c r="S3" s="41"/>
    </row>
    <row r="4" spans="1:19" ht="15" customHeight="1">
      <c r="A4" s="202" t="s">
        <v>710</v>
      </c>
      <c r="B4" s="235" t="s">
        <v>678</v>
      </c>
      <c r="C4" s="41"/>
      <c r="D4" s="42"/>
      <c r="E4" s="41"/>
      <c r="F4" s="41"/>
      <c r="G4" s="41"/>
      <c r="H4" s="41"/>
      <c r="I4" s="41"/>
      <c r="J4" s="41"/>
      <c r="K4" s="41"/>
      <c r="L4" s="41"/>
      <c r="M4" s="41"/>
      <c r="N4" s="41"/>
      <c r="O4" s="41"/>
      <c r="P4" s="41"/>
      <c r="Q4" s="41"/>
      <c r="R4" s="41"/>
      <c r="S4" s="41"/>
    </row>
    <row r="5" spans="1:19" ht="15" customHeight="1">
      <c r="A5" s="186" t="s">
        <v>1393</v>
      </c>
      <c r="B5" s="206"/>
      <c r="C5" s="41"/>
      <c r="D5" s="42"/>
      <c r="E5" s="41"/>
      <c r="F5" s="41"/>
      <c r="G5" s="41"/>
      <c r="H5" s="41"/>
      <c r="I5" s="41"/>
      <c r="J5" s="41"/>
      <c r="K5" s="41"/>
      <c r="L5" s="41"/>
      <c r="M5" s="41"/>
      <c r="N5" s="41"/>
      <c r="O5" s="41"/>
      <c r="P5" s="41"/>
      <c r="Q5" s="41"/>
      <c r="R5" s="41"/>
      <c r="S5" s="41"/>
    </row>
    <row r="6" spans="1:19" ht="15" customHeight="1">
      <c r="A6" s="168" t="s">
        <v>1037</v>
      </c>
      <c r="B6" s="204" t="s">
        <v>62</v>
      </c>
      <c r="C6" s="41"/>
      <c r="D6" s="42"/>
      <c r="E6" s="41"/>
      <c r="F6" s="41"/>
      <c r="G6" s="41"/>
      <c r="H6" s="41"/>
      <c r="I6" s="41"/>
      <c r="J6" s="41"/>
      <c r="K6" s="41"/>
      <c r="L6" s="41"/>
      <c r="M6" s="41"/>
      <c r="N6" s="41"/>
      <c r="O6" s="41"/>
      <c r="P6" s="41"/>
      <c r="Q6" s="41"/>
      <c r="R6" s="41"/>
      <c r="S6" s="41"/>
    </row>
    <row r="7" spans="1:19" ht="15" customHeight="1">
      <c r="A7" s="168" t="s">
        <v>177</v>
      </c>
      <c r="B7" s="204" t="s">
        <v>63</v>
      </c>
      <c r="C7" s="41"/>
      <c r="D7" s="42"/>
      <c r="E7" s="41"/>
      <c r="F7" s="41"/>
      <c r="G7" s="41"/>
      <c r="H7" s="41"/>
      <c r="I7" s="41"/>
      <c r="J7" s="41"/>
      <c r="K7" s="41"/>
      <c r="L7" s="41"/>
      <c r="M7" s="41"/>
      <c r="N7" s="41"/>
      <c r="O7" s="41"/>
      <c r="P7" s="41"/>
      <c r="Q7" s="41"/>
      <c r="R7" s="41"/>
      <c r="S7" s="41"/>
    </row>
    <row r="8" spans="1:19" ht="15" customHeight="1">
      <c r="A8" s="168" t="s">
        <v>550</v>
      </c>
      <c r="B8" s="204" t="s">
        <v>64</v>
      </c>
      <c r="C8" s="41"/>
      <c r="D8" s="42"/>
      <c r="E8" s="41"/>
      <c r="F8" s="41"/>
      <c r="G8" s="41"/>
      <c r="H8" s="41"/>
      <c r="I8" s="41"/>
      <c r="J8" s="41"/>
      <c r="K8" s="41"/>
      <c r="L8" s="41"/>
      <c r="M8" s="41"/>
      <c r="N8" s="41"/>
      <c r="O8" s="41"/>
      <c r="P8" s="41"/>
      <c r="Q8" s="41"/>
      <c r="R8" s="41"/>
      <c r="S8" s="41"/>
    </row>
    <row r="9" spans="1:19" ht="15" customHeight="1">
      <c r="A9" s="59" t="s">
        <v>551</v>
      </c>
      <c r="B9" s="204" t="s">
        <v>65</v>
      </c>
      <c r="C9" s="41"/>
      <c r="D9" s="42"/>
      <c r="E9" s="41"/>
      <c r="F9" s="41"/>
      <c r="G9" s="41"/>
      <c r="H9" s="41"/>
      <c r="I9" s="41"/>
      <c r="J9" s="41"/>
      <c r="K9" s="41"/>
      <c r="L9" s="41"/>
      <c r="M9" s="41"/>
      <c r="N9" s="41"/>
      <c r="O9" s="41"/>
      <c r="P9" s="41"/>
      <c r="Q9" s="41"/>
      <c r="R9" s="41"/>
      <c r="S9" s="41"/>
    </row>
    <row r="10" spans="1:19" ht="15" customHeight="1">
      <c r="A10" s="168" t="s">
        <v>552</v>
      </c>
      <c r="B10" s="204" t="s">
        <v>66</v>
      </c>
      <c r="C10" s="41"/>
      <c r="D10" s="42"/>
      <c r="E10" s="41"/>
      <c r="F10" s="41"/>
      <c r="G10" s="41"/>
      <c r="H10" s="41"/>
      <c r="I10" s="41"/>
      <c r="J10" s="41"/>
      <c r="K10" s="41"/>
      <c r="L10" s="41"/>
      <c r="M10" s="41"/>
      <c r="N10" s="41"/>
      <c r="O10" s="41"/>
      <c r="P10" s="41"/>
      <c r="Q10" s="41"/>
      <c r="R10" s="41"/>
      <c r="S10" s="41"/>
    </row>
    <row r="11" spans="1:19" ht="15" customHeight="1">
      <c r="A11" s="59" t="s">
        <v>1480</v>
      </c>
      <c r="B11" s="204" t="s">
        <v>67</v>
      </c>
      <c r="C11" s="41"/>
      <c r="D11" s="42"/>
      <c r="E11" s="41"/>
      <c r="F11" s="41"/>
      <c r="G11" s="41"/>
      <c r="H11" s="41"/>
      <c r="I11" s="41"/>
      <c r="J11" s="41"/>
      <c r="K11" s="41"/>
      <c r="L11" s="41"/>
      <c r="M11" s="41"/>
      <c r="N11" s="41"/>
      <c r="O11" s="41"/>
      <c r="P11" s="41"/>
      <c r="Q11" s="41"/>
      <c r="R11" s="41"/>
      <c r="S11" s="41"/>
    </row>
    <row r="12" spans="1:19" ht="15" customHeight="1">
      <c r="A12" s="59" t="s">
        <v>25</v>
      </c>
      <c r="B12" s="204" t="s">
        <v>68</v>
      </c>
      <c r="C12" s="41"/>
      <c r="D12" s="42"/>
      <c r="E12" s="41"/>
      <c r="F12" s="41"/>
      <c r="G12" s="41"/>
      <c r="H12" s="41"/>
      <c r="I12" s="41"/>
      <c r="J12" s="41"/>
      <c r="K12" s="41"/>
      <c r="L12" s="41"/>
      <c r="M12" s="41"/>
      <c r="N12" s="41"/>
      <c r="O12" s="41"/>
      <c r="P12" s="41"/>
      <c r="Q12" s="41"/>
      <c r="R12" s="41"/>
      <c r="S12" s="41"/>
    </row>
    <row r="13" spans="1:19" ht="15" customHeight="1">
      <c r="A13" s="168" t="s">
        <v>877</v>
      </c>
      <c r="B13" s="204" t="s">
        <v>1205</v>
      </c>
      <c r="C13" s="41"/>
      <c r="D13" s="42"/>
      <c r="E13" s="41"/>
      <c r="F13" s="41"/>
      <c r="G13" s="41"/>
      <c r="H13" s="41"/>
      <c r="I13" s="41"/>
      <c r="J13" s="41"/>
      <c r="K13" s="41"/>
      <c r="L13" s="41"/>
      <c r="M13" s="41"/>
      <c r="N13" s="41"/>
      <c r="O13" s="41"/>
      <c r="P13" s="41"/>
      <c r="Q13" s="41"/>
      <c r="R13" s="41"/>
      <c r="S13" s="41"/>
    </row>
    <row r="14" spans="1:19" ht="15" customHeight="1">
      <c r="A14" s="190" t="s">
        <v>2089</v>
      </c>
      <c r="B14" s="204" t="s">
        <v>385</v>
      </c>
      <c r="C14" s="41"/>
      <c r="D14" s="42"/>
      <c r="E14" s="41"/>
      <c r="F14" s="41"/>
      <c r="G14" s="41"/>
      <c r="H14" s="41"/>
      <c r="I14" s="41"/>
      <c r="J14" s="41"/>
      <c r="K14" s="41"/>
      <c r="L14" s="41"/>
      <c r="M14" s="41"/>
      <c r="N14" s="41"/>
      <c r="O14" s="41"/>
      <c r="P14" s="41"/>
      <c r="Q14" s="41"/>
      <c r="R14" s="41"/>
      <c r="S14" s="41"/>
    </row>
    <row r="15" spans="1:19" ht="15" customHeight="1">
      <c r="A15" s="187" t="s">
        <v>2090</v>
      </c>
      <c r="B15" s="204" t="s">
        <v>386</v>
      </c>
      <c r="C15" s="41"/>
      <c r="D15" s="42"/>
      <c r="E15" s="41"/>
      <c r="F15" s="41"/>
      <c r="G15" s="41"/>
      <c r="H15" s="41"/>
      <c r="I15" s="41"/>
      <c r="J15" s="41"/>
      <c r="K15" s="41"/>
      <c r="L15" s="41"/>
      <c r="M15" s="41"/>
      <c r="N15" s="41"/>
      <c r="O15" s="41"/>
      <c r="P15" s="41"/>
      <c r="Q15" s="41"/>
      <c r="R15" s="41"/>
      <c r="S15" s="41"/>
    </row>
    <row r="16" spans="1:19" ht="15" customHeight="1">
      <c r="A16" s="236" t="s">
        <v>2091</v>
      </c>
      <c r="B16" s="67">
        <f>SUM(B6:B15)</f>
        <v>0</v>
      </c>
      <c r="C16" s="41"/>
      <c r="D16" s="42"/>
      <c r="E16" s="41"/>
      <c r="F16" s="41"/>
      <c r="G16" s="41"/>
      <c r="H16" s="41"/>
      <c r="I16" s="41"/>
      <c r="J16" s="41"/>
      <c r="K16" s="41"/>
      <c r="L16" s="41"/>
      <c r="M16" s="41"/>
      <c r="N16" s="41"/>
      <c r="O16" s="41"/>
      <c r="P16" s="41"/>
      <c r="Q16" s="41"/>
      <c r="R16" s="41"/>
      <c r="S16" s="41"/>
    </row>
    <row r="17" spans="1:19" ht="15" customHeight="1">
      <c r="A17" s="186"/>
      <c r="B17" s="237"/>
      <c r="C17" s="41"/>
      <c r="D17" s="42"/>
      <c r="E17" s="41"/>
      <c r="F17" s="41"/>
      <c r="G17" s="41"/>
      <c r="H17" s="41"/>
      <c r="I17" s="41"/>
      <c r="J17" s="41"/>
      <c r="K17" s="41"/>
      <c r="L17" s="41"/>
      <c r="M17" s="41"/>
      <c r="N17" s="41"/>
      <c r="O17" s="41"/>
      <c r="P17" s="41"/>
      <c r="Q17" s="41"/>
      <c r="R17" s="41"/>
      <c r="S17" s="41"/>
    </row>
    <row r="18" spans="1:19" ht="15" customHeight="1">
      <c r="A18" s="186" t="s">
        <v>1116</v>
      </c>
      <c r="B18" s="238"/>
      <c r="C18" s="41"/>
      <c r="D18" s="42"/>
      <c r="E18" s="41"/>
      <c r="F18" s="41"/>
      <c r="G18" s="41"/>
      <c r="H18" s="41"/>
      <c r="I18" s="41"/>
      <c r="J18" s="41"/>
      <c r="K18" s="41"/>
      <c r="L18" s="41"/>
      <c r="M18" s="41"/>
      <c r="N18" s="41"/>
      <c r="O18" s="41"/>
      <c r="P18" s="41"/>
      <c r="Q18" s="41"/>
      <c r="R18" s="41"/>
      <c r="S18" s="41"/>
    </row>
    <row r="19" spans="1:19" ht="15" customHeight="1">
      <c r="A19" s="168" t="s">
        <v>2101</v>
      </c>
      <c r="B19" s="204" t="s">
        <v>387</v>
      </c>
      <c r="C19" s="41"/>
      <c r="D19" s="42"/>
      <c r="E19" s="41"/>
      <c r="F19" s="41"/>
      <c r="G19" s="41"/>
      <c r="H19" s="41"/>
      <c r="I19" s="41"/>
      <c r="J19" s="41"/>
      <c r="K19" s="41"/>
      <c r="L19" s="41"/>
      <c r="M19" s="41"/>
      <c r="N19" s="41"/>
      <c r="O19" s="41"/>
      <c r="P19" s="41"/>
      <c r="Q19" s="41"/>
      <c r="R19" s="41"/>
      <c r="S19" s="41"/>
    </row>
    <row r="20" spans="1:19" ht="15" customHeight="1">
      <c r="A20" s="168" t="s">
        <v>2102</v>
      </c>
      <c r="B20" s="204" t="s">
        <v>388</v>
      </c>
      <c r="C20" s="41"/>
      <c r="D20" s="42"/>
      <c r="E20" s="41"/>
      <c r="F20" s="41"/>
      <c r="G20" s="41"/>
      <c r="H20" s="41"/>
      <c r="I20" s="41"/>
      <c r="J20" s="41"/>
      <c r="K20" s="41"/>
      <c r="L20" s="41"/>
      <c r="M20" s="41"/>
      <c r="N20" s="41"/>
      <c r="O20" s="41"/>
      <c r="P20" s="41"/>
      <c r="Q20" s="41"/>
      <c r="R20" s="41"/>
      <c r="S20" s="41"/>
    </row>
    <row r="21" spans="1:19" ht="15" customHeight="1">
      <c r="A21" s="168" t="s">
        <v>76</v>
      </c>
      <c r="B21" s="204" t="s">
        <v>2098</v>
      </c>
      <c r="C21" s="41"/>
      <c r="D21" s="42"/>
      <c r="E21" s="41"/>
      <c r="F21" s="41"/>
      <c r="G21" s="41"/>
      <c r="H21" s="41"/>
      <c r="I21" s="41"/>
      <c r="J21" s="41"/>
      <c r="K21" s="41"/>
      <c r="L21" s="41"/>
      <c r="M21" s="41"/>
      <c r="N21" s="41"/>
      <c r="O21" s="41"/>
      <c r="P21" s="41"/>
      <c r="Q21" s="41"/>
      <c r="R21" s="41"/>
      <c r="S21" s="41"/>
    </row>
    <row r="22" spans="1:19" ht="15" customHeight="1">
      <c r="A22" s="168" t="s">
        <v>1132</v>
      </c>
      <c r="B22" s="204" t="s">
        <v>2099</v>
      </c>
      <c r="C22" s="41"/>
      <c r="D22" s="42"/>
      <c r="E22" s="41"/>
      <c r="F22" s="41"/>
      <c r="G22" s="41"/>
      <c r="H22" s="41"/>
      <c r="I22" s="41"/>
      <c r="J22" s="41"/>
      <c r="K22" s="41"/>
      <c r="L22" s="41"/>
      <c r="M22" s="41"/>
      <c r="N22" s="41"/>
      <c r="O22" s="41"/>
      <c r="P22" s="41"/>
      <c r="Q22" s="41"/>
      <c r="R22" s="41"/>
      <c r="S22" s="41"/>
    </row>
    <row r="23" spans="1:19" ht="15" customHeight="1">
      <c r="A23" s="168" t="s">
        <v>216</v>
      </c>
      <c r="B23" s="204" t="s">
        <v>2100</v>
      </c>
      <c r="C23" s="41"/>
      <c r="D23" s="42"/>
      <c r="E23" s="41"/>
      <c r="F23" s="41"/>
      <c r="G23" s="41"/>
      <c r="H23" s="41"/>
      <c r="I23" s="41"/>
      <c r="J23" s="41"/>
      <c r="K23" s="41"/>
      <c r="L23" s="41"/>
      <c r="M23" s="41"/>
      <c r="N23" s="41"/>
      <c r="O23" s="41"/>
      <c r="P23" s="41"/>
      <c r="Q23" s="41"/>
      <c r="R23" s="41"/>
      <c r="S23" s="41"/>
    </row>
    <row r="24" spans="1:19" ht="15" customHeight="1">
      <c r="A24" s="186" t="s">
        <v>2165</v>
      </c>
      <c r="B24" s="239">
        <f>SUM(B19:B23)</f>
        <v>0</v>
      </c>
      <c r="C24" s="41"/>
      <c r="D24" s="42"/>
      <c r="E24" s="41"/>
      <c r="F24" s="41"/>
      <c r="G24" s="41"/>
      <c r="H24" s="41"/>
      <c r="I24" s="41"/>
      <c r="J24" s="41"/>
      <c r="K24" s="41"/>
      <c r="L24" s="41"/>
      <c r="M24" s="41"/>
      <c r="N24" s="41"/>
      <c r="O24" s="41"/>
      <c r="P24" s="41"/>
      <c r="Q24" s="41"/>
      <c r="R24" s="41"/>
      <c r="S24" s="41"/>
    </row>
    <row r="25" spans="1:19" ht="15" customHeight="1">
      <c r="A25" s="168" t="s">
        <v>686</v>
      </c>
      <c r="B25" s="204" t="s">
        <v>1207</v>
      </c>
      <c r="C25" s="41"/>
      <c r="D25" s="42"/>
      <c r="E25" s="25"/>
      <c r="F25" s="41"/>
      <c r="G25" s="41"/>
      <c r="H25" s="41"/>
      <c r="I25" s="41"/>
      <c r="J25" s="41"/>
      <c r="K25" s="41"/>
      <c r="L25" s="41"/>
      <c r="M25" s="41"/>
      <c r="N25" s="41"/>
      <c r="O25" s="41"/>
      <c r="P25" s="41"/>
      <c r="Q25" s="41"/>
      <c r="R25" s="41"/>
      <c r="S25" s="41"/>
    </row>
    <row r="26" spans="1:19" ht="12.75" customHeight="1">
      <c r="A26" s="240" t="s">
        <v>2232</v>
      </c>
      <c r="B26" s="204" t="s">
        <v>1208</v>
      </c>
      <c r="C26" s="41"/>
      <c r="D26" s="42"/>
      <c r="E26" s="41"/>
      <c r="F26" s="41"/>
      <c r="G26" s="41"/>
      <c r="H26" s="41"/>
      <c r="I26" s="41"/>
      <c r="J26" s="41"/>
      <c r="K26" s="41"/>
      <c r="L26" s="41"/>
      <c r="M26" s="41"/>
      <c r="N26" s="41"/>
      <c r="O26" s="41"/>
      <c r="P26" s="41"/>
      <c r="Q26" s="41"/>
      <c r="R26" s="41"/>
      <c r="S26" s="41"/>
    </row>
    <row r="27" spans="1:19" ht="15" customHeight="1">
      <c r="A27" s="187" t="s">
        <v>643</v>
      </c>
      <c r="B27" s="204" t="s">
        <v>1209</v>
      </c>
      <c r="C27" s="41"/>
      <c r="D27" s="42"/>
      <c r="E27" s="41"/>
      <c r="F27" s="41"/>
      <c r="G27" s="41"/>
      <c r="H27" s="41"/>
      <c r="I27" s="41"/>
      <c r="J27" s="41"/>
      <c r="K27" s="41"/>
      <c r="L27" s="41"/>
      <c r="M27" s="41"/>
      <c r="N27" s="41"/>
      <c r="O27" s="41"/>
      <c r="P27" s="41"/>
      <c r="Q27" s="41"/>
      <c r="R27" s="41"/>
      <c r="S27" s="41"/>
    </row>
    <row r="28" spans="1:19" ht="15" customHeight="1">
      <c r="A28" s="236" t="s">
        <v>553</v>
      </c>
      <c r="B28" s="239">
        <f>SUM(B25:B27)</f>
        <v>0</v>
      </c>
      <c r="C28" s="41"/>
      <c r="D28" s="42"/>
      <c r="E28" s="41"/>
      <c r="F28" s="41"/>
      <c r="G28" s="41"/>
      <c r="H28" s="41"/>
      <c r="I28" s="41"/>
      <c r="J28" s="41"/>
      <c r="K28" s="41"/>
      <c r="L28" s="41"/>
      <c r="M28" s="41"/>
      <c r="N28" s="41"/>
      <c r="O28" s="41"/>
      <c r="P28" s="41"/>
      <c r="Q28" s="41"/>
      <c r="R28" s="41"/>
      <c r="S28" s="41"/>
    </row>
    <row r="29" spans="1:19" ht="15" customHeight="1">
      <c r="A29" s="236" t="s">
        <v>554</v>
      </c>
      <c r="B29" s="237">
        <f>B28+B24</f>
        <v>0</v>
      </c>
      <c r="C29" s="41"/>
      <c r="D29" s="42"/>
      <c r="E29" s="41"/>
      <c r="F29" s="41"/>
      <c r="G29" s="41"/>
      <c r="H29" s="41"/>
      <c r="I29" s="41"/>
      <c r="J29" s="41"/>
      <c r="K29" s="41"/>
      <c r="L29" s="41"/>
      <c r="M29" s="41"/>
      <c r="N29" s="41"/>
      <c r="O29" s="41"/>
      <c r="P29" s="41"/>
      <c r="Q29" s="41"/>
      <c r="R29" s="41"/>
      <c r="S29" s="41"/>
    </row>
    <row r="30" spans="1:19" ht="15" customHeight="1">
      <c r="A30" s="168"/>
      <c r="B30" s="237"/>
      <c r="C30" s="41"/>
      <c r="D30" s="42"/>
      <c r="E30" s="41"/>
      <c r="F30" s="41"/>
      <c r="G30" s="41"/>
      <c r="H30" s="41"/>
      <c r="I30" s="41"/>
      <c r="J30" s="41"/>
      <c r="K30" s="41"/>
      <c r="L30" s="41"/>
      <c r="M30" s="41"/>
      <c r="N30" s="41"/>
      <c r="O30" s="41"/>
      <c r="P30" s="41"/>
      <c r="Q30" s="41"/>
      <c r="R30" s="41"/>
      <c r="S30" s="41"/>
    </row>
    <row r="31" spans="1:19" ht="15" customHeight="1">
      <c r="A31" s="186" t="s">
        <v>1995</v>
      </c>
      <c r="B31" s="237">
        <f>B16-B29</f>
        <v>0</v>
      </c>
      <c r="C31" s="41"/>
      <c r="D31" s="42"/>
      <c r="E31" s="41"/>
      <c r="F31" s="41"/>
      <c r="G31" s="41"/>
      <c r="H31" s="41"/>
      <c r="I31" s="41"/>
      <c r="J31" s="41"/>
      <c r="K31" s="41"/>
      <c r="L31" s="41"/>
      <c r="M31" s="41"/>
      <c r="N31" s="41"/>
      <c r="O31" s="41"/>
      <c r="P31" s="41"/>
      <c r="Q31" s="41"/>
      <c r="R31" s="41"/>
      <c r="S31" s="41"/>
    </row>
    <row r="32" spans="1:19" ht="15" customHeight="1">
      <c r="A32" s="241" t="s">
        <v>1346</v>
      </c>
      <c r="B32" s="542" t="s">
        <v>1782</v>
      </c>
      <c r="C32" s="41"/>
      <c r="D32" s="42"/>
      <c r="E32" s="41"/>
      <c r="F32" s="41"/>
      <c r="G32" s="41"/>
      <c r="H32" s="41"/>
      <c r="I32" s="41"/>
      <c r="J32" s="41"/>
      <c r="K32" s="41"/>
      <c r="L32" s="41"/>
      <c r="M32" s="41"/>
      <c r="N32" s="41"/>
      <c r="O32" s="41"/>
      <c r="P32" s="41"/>
      <c r="Q32" s="41"/>
      <c r="R32" s="41"/>
      <c r="S32" s="41"/>
    </row>
    <row r="33" spans="1:19" ht="27.75" customHeight="1">
      <c r="A33" s="242" t="s">
        <v>1213</v>
      </c>
      <c r="B33" s="237" t="e">
        <f>B31-B32</f>
        <v>#VALUE!</v>
      </c>
      <c r="C33" s="41"/>
      <c r="D33" s="42"/>
      <c r="E33" s="41"/>
      <c r="F33" s="41"/>
      <c r="G33" s="41"/>
      <c r="H33" s="41"/>
      <c r="I33" s="41"/>
      <c r="J33" s="41"/>
      <c r="K33" s="41"/>
      <c r="L33" s="41"/>
      <c r="M33" s="41"/>
      <c r="N33" s="41"/>
      <c r="O33" s="41"/>
      <c r="P33" s="41"/>
      <c r="Q33" s="41"/>
      <c r="R33" s="41"/>
      <c r="S33" s="41"/>
    </row>
    <row r="34" spans="1:19" ht="15" customHeight="1">
      <c r="A34" s="168"/>
      <c r="B34" s="237"/>
      <c r="C34" s="41"/>
      <c r="D34" s="42"/>
      <c r="E34" s="41"/>
      <c r="F34" s="41"/>
      <c r="G34" s="41"/>
      <c r="H34" s="41"/>
      <c r="I34" s="41"/>
      <c r="J34" s="41"/>
      <c r="K34" s="41"/>
      <c r="L34" s="41"/>
      <c r="M34" s="41"/>
      <c r="N34" s="41"/>
      <c r="O34" s="41"/>
      <c r="P34" s="41"/>
      <c r="Q34" s="41"/>
      <c r="R34" s="41"/>
      <c r="S34" s="41"/>
    </row>
    <row r="35" spans="1:19" ht="15" customHeight="1">
      <c r="A35" s="186" t="s">
        <v>1214</v>
      </c>
      <c r="B35" s="238"/>
      <c r="C35" s="41"/>
      <c r="D35" s="42"/>
      <c r="E35" s="41"/>
      <c r="F35" s="41"/>
      <c r="G35" s="41"/>
      <c r="H35" s="41"/>
      <c r="I35" s="41"/>
      <c r="J35" s="41"/>
      <c r="K35" s="41"/>
      <c r="L35" s="41"/>
      <c r="M35" s="41"/>
      <c r="N35" s="41"/>
      <c r="O35" s="41"/>
      <c r="P35" s="41"/>
      <c r="Q35" s="41"/>
      <c r="R35" s="41"/>
      <c r="S35" s="41"/>
    </row>
    <row r="36" spans="1:19" ht="15" customHeight="1">
      <c r="A36" s="168" t="s">
        <v>2040</v>
      </c>
      <c r="B36" s="204" t="s">
        <v>501</v>
      </c>
      <c r="C36" s="41"/>
      <c r="D36" s="42"/>
      <c r="E36" s="41"/>
      <c r="F36" s="41"/>
      <c r="G36" s="41"/>
      <c r="H36" s="41"/>
      <c r="I36" s="41"/>
      <c r="J36" s="41"/>
      <c r="K36" s="41"/>
      <c r="L36" s="41"/>
      <c r="M36" s="41"/>
      <c r="N36" s="41"/>
      <c r="O36" s="41"/>
      <c r="P36" s="41"/>
      <c r="Q36" s="41"/>
      <c r="R36" s="41"/>
      <c r="S36" s="41"/>
    </row>
    <row r="37" spans="1:19" ht="15" customHeight="1">
      <c r="A37" s="168" t="s">
        <v>26</v>
      </c>
      <c r="B37" s="204" t="s">
        <v>502</v>
      </c>
      <c r="C37" s="41"/>
      <c r="D37" s="42"/>
      <c r="E37" s="41"/>
      <c r="F37" s="41"/>
      <c r="G37" s="41"/>
      <c r="H37" s="41"/>
      <c r="I37" s="41"/>
      <c r="J37" s="41"/>
      <c r="K37" s="41"/>
      <c r="L37" s="41"/>
      <c r="M37" s="41"/>
      <c r="N37" s="41"/>
      <c r="O37" s="41"/>
      <c r="P37" s="41"/>
      <c r="Q37" s="41"/>
      <c r="R37" s="41"/>
      <c r="S37" s="41"/>
    </row>
    <row r="38" spans="1:19" ht="15" customHeight="1">
      <c r="A38" s="168" t="s">
        <v>298</v>
      </c>
      <c r="B38" s="204" t="s">
        <v>503</v>
      </c>
      <c r="C38" s="41"/>
      <c r="D38" s="42"/>
      <c r="E38" s="41"/>
      <c r="F38" s="41"/>
      <c r="G38" s="41"/>
      <c r="H38" s="41"/>
      <c r="I38" s="41"/>
      <c r="J38" s="41"/>
      <c r="K38" s="41"/>
      <c r="L38" s="41"/>
      <c r="M38" s="41"/>
      <c r="N38" s="41"/>
      <c r="O38" s="41"/>
      <c r="P38" s="41"/>
      <c r="Q38" s="41"/>
      <c r="R38" s="41"/>
      <c r="S38" s="41"/>
    </row>
    <row r="39" spans="1:19" ht="15" customHeight="1">
      <c r="A39" s="168" t="s">
        <v>299</v>
      </c>
      <c r="B39" s="204" t="s">
        <v>504</v>
      </c>
      <c r="C39" s="41"/>
      <c r="D39" s="42"/>
      <c r="E39" s="41"/>
      <c r="F39" s="41"/>
      <c r="G39" s="41"/>
      <c r="H39" s="41"/>
      <c r="I39" s="41"/>
      <c r="J39" s="41"/>
      <c r="K39" s="41"/>
      <c r="L39" s="41"/>
      <c r="M39" s="41"/>
      <c r="N39" s="41"/>
      <c r="O39" s="41"/>
      <c r="P39" s="41"/>
      <c r="Q39" s="41"/>
      <c r="R39" s="41"/>
      <c r="S39" s="41"/>
    </row>
    <row r="40" spans="1:19" ht="15" customHeight="1">
      <c r="A40" s="168" t="s">
        <v>300</v>
      </c>
      <c r="B40" s="204" t="s">
        <v>505</v>
      </c>
      <c r="C40" s="41"/>
      <c r="D40" s="42"/>
      <c r="E40" s="41"/>
      <c r="F40" s="41"/>
      <c r="G40" s="41"/>
      <c r="H40" s="41"/>
      <c r="I40" s="41"/>
      <c r="J40" s="41"/>
      <c r="K40" s="41"/>
      <c r="L40" s="41"/>
      <c r="M40" s="41"/>
      <c r="N40" s="41"/>
      <c r="O40" s="41"/>
      <c r="P40" s="41"/>
      <c r="Q40" s="41"/>
      <c r="R40" s="41"/>
      <c r="S40" s="41"/>
    </row>
    <row r="41" spans="1:19" ht="15" customHeight="1">
      <c r="A41" s="186" t="s">
        <v>2016</v>
      </c>
      <c r="B41" s="67">
        <f>SUM(B36:B40)</f>
        <v>0</v>
      </c>
      <c r="C41" s="41"/>
      <c r="D41" s="42"/>
      <c r="E41" s="41"/>
      <c r="F41" s="41"/>
      <c r="G41" s="41"/>
      <c r="H41" s="41"/>
      <c r="I41" s="41"/>
      <c r="J41" s="41"/>
      <c r="K41" s="41"/>
      <c r="L41" s="41"/>
      <c r="M41" s="41"/>
      <c r="N41" s="41"/>
      <c r="O41" s="41"/>
      <c r="P41" s="41"/>
      <c r="Q41" s="41"/>
      <c r="R41" s="41"/>
      <c r="S41" s="41"/>
    </row>
    <row r="42" spans="1:19" ht="15" customHeight="1">
      <c r="A42" s="168"/>
      <c r="B42" s="237"/>
      <c r="C42" s="41"/>
      <c r="D42" s="42"/>
      <c r="E42" s="41"/>
      <c r="F42" s="41"/>
      <c r="G42" s="41"/>
      <c r="H42" s="41"/>
      <c r="I42" s="41"/>
      <c r="J42" s="41"/>
      <c r="K42" s="41"/>
      <c r="L42" s="41"/>
      <c r="M42" s="41"/>
      <c r="N42" s="41"/>
      <c r="O42" s="41"/>
      <c r="P42" s="41"/>
      <c r="Q42" s="41"/>
      <c r="R42" s="41"/>
      <c r="S42" s="41"/>
    </row>
    <row r="43" spans="1:19" ht="15" customHeight="1">
      <c r="A43" s="186" t="s">
        <v>1945</v>
      </c>
      <c r="B43" s="238"/>
      <c r="C43" s="41"/>
      <c r="D43" s="42"/>
      <c r="E43" s="41"/>
      <c r="F43" s="41"/>
      <c r="G43" s="41"/>
      <c r="H43" s="41"/>
      <c r="I43" s="41"/>
      <c r="J43" s="41"/>
      <c r="K43" s="41"/>
      <c r="L43" s="41"/>
      <c r="M43" s="41"/>
      <c r="N43" s="41"/>
      <c r="O43" s="41"/>
      <c r="P43" s="41"/>
      <c r="Q43" s="41"/>
      <c r="R43" s="41"/>
      <c r="S43" s="41"/>
    </row>
    <row r="44" spans="1:19" ht="15" customHeight="1">
      <c r="A44" s="168" t="s">
        <v>1431</v>
      </c>
      <c r="B44" s="204" t="s">
        <v>506</v>
      </c>
      <c r="C44" s="41"/>
      <c r="D44" s="42"/>
      <c r="E44" s="41"/>
      <c r="F44" s="41"/>
      <c r="G44" s="41"/>
      <c r="H44" s="41"/>
      <c r="I44" s="41"/>
      <c r="J44" s="41"/>
      <c r="K44" s="41"/>
      <c r="L44" s="41"/>
      <c r="M44" s="41"/>
      <c r="N44" s="41"/>
      <c r="O44" s="41"/>
      <c r="P44" s="41"/>
      <c r="Q44" s="41"/>
      <c r="R44" s="41"/>
      <c r="S44" s="41"/>
    </row>
    <row r="45" spans="1:19" ht="15" customHeight="1">
      <c r="A45" s="168" t="s">
        <v>53</v>
      </c>
      <c r="B45" s="204" t="s">
        <v>507</v>
      </c>
      <c r="C45" s="41"/>
      <c r="D45" s="42"/>
      <c r="E45" s="41"/>
      <c r="F45" s="41"/>
      <c r="G45" s="41"/>
      <c r="H45" s="41"/>
      <c r="I45" s="41"/>
      <c r="J45" s="41"/>
      <c r="K45" s="41"/>
      <c r="L45" s="41"/>
      <c r="M45" s="41"/>
      <c r="N45" s="41"/>
      <c r="O45" s="41"/>
      <c r="P45" s="41"/>
      <c r="Q45" s="41"/>
      <c r="R45" s="41"/>
      <c r="S45" s="41"/>
    </row>
    <row r="46" spans="1:19" ht="15" customHeight="1">
      <c r="A46" s="168" t="s">
        <v>1919</v>
      </c>
      <c r="B46" s="204" t="s">
        <v>508</v>
      </c>
      <c r="C46" s="41"/>
      <c r="D46" s="42"/>
      <c r="E46" s="41"/>
      <c r="F46" s="41"/>
      <c r="G46" s="41"/>
      <c r="H46" s="41"/>
      <c r="I46" s="41"/>
      <c r="J46" s="41"/>
      <c r="K46" s="41"/>
      <c r="L46" s="41"/>
      <c r="M46" s="41"/>
      <c r="N46" s="41"/>
      <c r="O46" s="41"/>
      <c r="P46" s="41"/>
      <c r="Q46" s="41"/>
      <c r="R46" s="41"/>
      <c r="S46" s="41"/>
    </row>
    <row r="47" spans="1:19" ht="15" customHeight="1">
      <c r="A47" s="168" t="s">
        <v>1920</v>
      </c>
      <c r="B47" s="204" t="s">
        <v>509</v>
      </c>
      <c r="C47" s="41"/>
      <c r="D47" s="42"/>
      <c r="E47" s="41"/>
      <c r="F47" s="41"/>
      <c r="G47" s="41"/>
      <c r="H47" s="41"/>
      <c r="I47" s="41"/>
      <c r="J47" s="41"/>
      <c r="K47" s="41"/>
      <c r="L47" s="41"/>
      <c r="M47" s="41"/>
      <c r="N47" s="41"/>
      <c r="O47" s="41"/>
      <c r="P47" s="41"/>
      <c r="Q47" s="41"/>
      <c r="R47" s="41"/>
      <c r="S47" s="41"/>
    </row>
    <row r="48" spans="1:19" ht="15" customHeight="1">
      <c r="A48" s="168" t="s">
        <v>1075</v>
      </c>
      <c r="B48" s="204" t="s">
        <v>510</v>
      </c>
      <c r="C48" s="41"/>
      <c r="D48" s="42"/>
      <c r="E48" s="41"/>
      <c r="F48" s="41"/>
      <c r="G48" s="41"/>
      <c r="H48" s="41"/>
      <c r="I48" s="41"/>
      <c r="J48" s="41"/>
      <c r="K48" s="41"/>
      <c r="L48" s="41"/>
      <c r="M48" s="41"/>
      <c r="N48" s="41"/>
      <c r="O48" s="41"/>
      <c r="P48" s="41"/>
      <c r="Q48" s="41"/>
      <c r="R48" s="41"/>
      <c r="S48" s="41"/>
    </row>
    <row r="49" spans="1:19" ht="15" customHeight="1">
      <c r="A49" s="186" t="s">
        <v>931</v>
      </c>
      <c r="B49" s="67">
        <f>SUM(B44:B48)</f>
        <v>0</v>
      </c>
      <c r="C49" s="41"/>
      <c r="D49" s="42"/>
      <c r="E49" s="41"/>
      <c r="F49" s="41"/>
      <c r="G49" s="41"/>
      <c r="H49" s="41"/>
      <c r="I49" s="41"/>
      <c r="J49" s="41"/>
      <c r="K49" s="41"/>
      <c r="L49" s="41"/>
      <c r="M49" s="41"/>
      <c r="N49" s="41"/>
      <c r="O49" s="41"/>
      <c r="P49" s="41"/>
      <c r="Q49" s="41"/>
      <c r="R49" s="41"/>
      <c r="S49" s="41"/>
    </row>
    <row r="50" spans="1:19" ht="15" customHeight="1">
      <c r="A50" s="186"/>
      <c r="B50" s="67"/>
      <c r="C50" s="41"/>
      <c r="D50" s="42"/>
      <c r="E50" s="41"/>
      <c r="F50" s="41"/>
      <c r="G50" s="41"/>
      <c r="H50" s="41"/>
      <c r="I50" s="41"/>
      <c r="J50" s="41"/>
      <c r="K50" s="41"/>
      <c r="L50" s="41"/>
      <c r="M50" s="41"/>
      <c r="N50" s="41"/>
      <c r="O50" s="41"/>
      <c r="P50" s="41"/>
      <c r="Q50" s="41"/>
      <c r="R50" s="41"/>
      <c r="S50" s="41"/>
    </row>
    <row r="51" spans="1:19" ht="15" customHeight="1">
      <c r="A51" s="186" t="s">
        <v>1364</v>
      </c>
      <c r="B51" s="239" t="e">
        <f>B33+B41-B49</f>
        <v>#VALUE!</v>
      </c>
      <c r="C51" s="41"/>
      <c r="D51" s="42"/>
      <c r="E51" s="41"/>
      <c r="F51" s="41"/>
      <c r="G51" s="41"/>
      <c r="H51" s="41"/>
      <c r="I51" s="41"/>
      <c r="J51" s="41"/>
      <c r="K51" s="41"/>
      <c r="L51" s="41"/>
      <c r="M51" s="41"/>
      <c r="N51" s="41"/>
      <c r="O51" s="41"/>
      <c r="P51" s="41"/>
      <c r="Q51" s="41"/>
      <c r="R51" s="41"/>
      <c r="S51" s="41"/>
    </row>
    <row r="52" spans="1:19" ht="15" customHeight="1">
      <c r="A52" s="186"/>
      <c r="B52" s="239"/>
      <c r="C52" s="41"/>
      <c r="D52" s="42"/>
      <c r="E52" s="41"/>
      <c r="F52" s="41"/>
      <c r="G52" s="41"/>
      <c r="H52" s="41"/>
      <c r="I52" s="41"/>
      <c r="J52" s="41"/>
      <c r="K52" s="41"/>
      <c r="L52" s="41"/>
      <c r="M52" s="41"/>
      <c r="N52" s="41"/>
      <c r="O52" s="41"/>
      <c r="P52" s="41"/>
      <c r="Q52" s="41"/>
      <c r="R52" s="41"/>
      <c r="S52" s="41"/>
    </row>
    <row r="53" spans="1:19" ht="15" customHeight="1">
      <c r="A53" s="186" t="s">
        <v>251</v>
      </c>
      <c r="B53" s="239"/>
      <c r="C53" s="41"/>
      <c r="D53" s="42"/>
      <c r="E53" s="41"/>
      <c r="F53" s="41"/>
      <c r="G53" s="41"/>
      <c r="H53" s="41"/>
      <c r="I53" s="41"/>
      <c r="J53" s="41"/>
      <c r="K53" s="41"/>
      <c r="L53" s="41"/>
      <c r="M53" s="41"/>
      <c r="N53" s="41"/>
      <c r="O53" s="41"/>
      <c r="P53" s="41"/>
      <c r="Q53" s="41"/>
      <c r="R53" s="41"/>
      <c r="S53" s="41"/>
    </row>
    <row r="54" spans="1:19" ht="15" customHeight="1">
      <c r="A54" s="168" t="s">
        <v>2104</v>
      </c>
      <c r="B54" s="204" t="s">
        <v>511</v>
      </c>
      <c r="C54" s="41"/>
      <c r="D54" s="42"/>
      <c r="E54" s="41"/>
      <c r="F54" s="41"/>
      <c r="G54" s="41"/>
      <c r="H54" s="41"/>
      <c r="I54" s="41"/>
      <c r="J54" s="41"/>
      <c r="K54" s="41"/>
      <c r="L54" s="41"/>
      <c r="M54" s="41"/>
      <c r="N54" s="41"/>
      <c r="O54" s="41"/>
      <c r="P54" s="41"/>
      <c r="Q54" s="41"/>
      <c r="R54" s="41"/>
      <c r="S54" s="41"/>
    </row>
    <row r="55" spans="1:19" ht="15" customHeight="1">
      <c r="A55" s="168" t="s">
        <v>325</v>
      </c>
      <c r="B55" s="204" t="s">
        <v>512</v>
      </c>
      <c r="C55" s="41"/>
      <c r="D55" s="42"/>
      <c r="E55" s="41"/>
      <c r="F55" s="41"/>
      <c r="G55" s="41"/>
      <c r="H55" s="41"/>
      <c r="I55" s="41"/>
      <c r="J55" s="41"/>
      <c r="K55" s="41"/>
      <c r="L55" s="41"/>
      <c r="M55" s="41"/>
      <c r="N55" s="41"/>
      <c r="O55" s="41"/>
      <c r="P55" s="41"/>
      <c r="Q55" s="41"/>
      <c r="R55" s="41"/>
      <c r="S55" s="41"/>
    </row>
    <row r="56" spans="1:19" ht="15" customHeight="1">
      <c r="A56" s="168" t="s">
        <v>1363</v>
      </c>
      <c r="B56" s="204" t="s">
        <v>513</v>
      </c>
      <c r="C56" s="41"/>
      <c r="D56" s="42"/>
      <c r="E56" s="41"/>
      <c r="F56" s="41"/>
      <c r="G56" s="41"/>
      <c r="H56" s="41"/>
      <c r="I56" s="41"/>
      <c r="J56" s="41"/>
      <c r="K56" s="41"/>
      <c r="L56" s="41"/>
      <c r="M56" s="41"/>
      <c r="N56" s="41"/>
      <c r="O56" s="41"/>
      <c r="P56" s="41"/>
      <c r="Q56" s="41"/>
      <c r="R56" s="41"/>
      <c r="S56" s="41"/>
    </row>
    <row r="57" spans="1:19" ht="15" customHeight="1">
      <c r="A57" s="168" t="s">
        <v>218</v>
      </c>
      <c r="B57" s="204" t="s">
        <v>514</v>
      </c>
      <c r="C57" s="41"/>
      <c r="D57" s="42"/>
      <c r="E57" s="41"/>
      <c r="F57" s="41"/>
      <c r="G57" s="41"/>
      <c r="H57" s="41"/>
      <c r="I57" s="41"/>
      <c r="J57" s="41"/>
      <c r="K57" s="41"/>
      <c r="L57" s="41"/>
      <c r="M57" s="41"/>
      <c r="N57" s="41"/>
      <c r="O57" s="41"/>
      <c r="P57" s="41"/>
      <c r="Q57" s="41"/>
      <c r="R57" s="41"/>
      <c r="S57" s="41"/>
    </row>
    <row r="58" spans="1:19" ht="15" customHeight="1">
      <c r="A58" s="168" t="s">
        <v>100</v>
      </c>
      <c r="B58" s="204" t="s">
        <v>863</v>
      </c>
      <c r="C58" s="41"/>
      <c r="D58" s="42"/>
      <c r="E58" s="41"/>
      <c r="F58" s="41"/>
      <c r="G58" s="41"/>
      <c r="H58" s="41"/>
      <c r="I58" s="41"/>
      <c r="J58" s="41"/>
      <c r="K58" s="41"/>
      <c r="L58" s="41"/>
      <c r="M58" s="41"/>
      <c r="N58" s="41"/>
      <c r="O58" s="41"/>
      <c r="P58" s="41"/>
      <c r="Q58" s="41"/>
      <c r="R58" s="41"/>
      <c r="S58" s="41"/>
    </row>
    <row r="59" spans="1:19" ht="15" customHeight="1">
      <c r="A59" s="168" t="s">
        <v>101</v>
      </c>
      <c r="B59" s="204" t="s">
        <v>864</v>
      </c>
      <c r="C59" s="41"/>
      <c r="D59" s="42"/>
      <c r="E59" s="41"/>
      <c r="F59" s="41"/>
      <c r="G59" s="41"/>
      <c r="H59" s="41"/>
      <c r="I59" s="41"/>
      <c r="J59" s="41"/>
      <c r="K59" s="41"/>
      <c r="L59" s="41"/>
      <c r="M59" s="41"/>
      <c r="N59" s="41"/>
      <c r="O59" s="41"/>
      <c r="P59" s="41"/>
      <c r="Q59" s="41"/>
      <c r="R59" s="41"/>
      <c r="S59" s="41"/>
    </row>
    <row r="60" spans="1:19" ht="15" customHeight="1">
      <c r="A60" s="243" t="s">
        <v>48</v>
      </c>
      <c r="B60" s="204" t="s">
        <v>865</v>
      </c>
      <c r="C60" s="41"/>
      <c r="D60" s="42"/>
      <c r="E60" s="41"/>
      <c r="F60" s="41"/>
      <c r="G60" s="41"/>
      <c r="H60" s="41"/>
      <c r="I60" s="41"/>
      <c r="J60" s="41"/>
      <c r="K60" s="41"/>
      <c r="L60" s="41"/>
      <c r="M60" s="41"/>
      <c r="N60" s="41"/>
      <c r="O60" s="41"/>
      <c r="P60" s="41"/>
      <c r="Q60" s="41"/>
      <c r="R60" s="41"/>
      <c r="S60" s="41"/>
    </row>
    <row r="61" spans="1:19" ht="15" customHeight="1">
      <c r="A61" s="186" t="s">
        <v>49</v>
      </c>
      <c r="B61" s="237">
        <f>SUM(B54:B60)</f>
        <v>0</v>
      </c>
      <c r="C61" s="47"/>
      <c r="D61" s="346"/>
      <c r="E61" s="41"/>
      <c r="F61" s="41"/>
      <c r="G61" s="41"/>
      <c r="H61" s="41"/>
      <c r="I61" s="41"/>
      <c r="J61" s="41"/>
      <c r="K61" s="41"/>
      <c r="L61" s="41"/>
      <c r="M61" s="41"/>
      <c r="N61" s="41"/>
      <c r="O61" s="41"/>
      <c r="P61" s="41"/>
      <c r="Q61" s="41"/>
      <c r="R61" s="41"/>
      <c r="S61" s="41"/>
    </row>
    <row r="62" spans="1:19" ht="15" customHeight="1">
      <c r="A62" s="168" t="s">
        <v>50</v>
      </c>
      <c r="B62" s="237"/>
      <c r="C62" s="41"/>
      <c r="D62" s="42"/>
      <c r="E62" s="41"/>
      <c r="F62" s="41"/>
      <c r="G62" s="41"/>
      <c r="H62" s="41"/>
      <c r="I62" s="41"/>
      <c r="J62" s="41"/>
      <c r="K62" s="41"/>
      <c r="L62" s="41"/>
      <c r="M62" s="41"/>
      <c r="N62" s="41"/>
      <c r="O62" s="41"/>
      <c r="P62" s="41"/>
      <c r="Q62" s="41"/>
      <c r="R62" s="41"/>
      <c r="S62" s="41"/>
    </row>
    <row r="63" spans="1:19" ht="15" customHeight="1">
      <c r="A63" s="186" t="s">
        <v>500</v>
      </c>
      <c r="B63" s="542" t="s">
        <v>1783</v>
      </c>
      <c r="C63" s="41"/>
      <c r="D63" s="42"/>
      <c r="E63" s="41"/>
      <c r="F63" s="41"/>
      <c r="G63" s="41"/>
      <c r="H63" s="41"/>
      <c r="I63" s="41"/>
      <c r="J63" s="41"/>
      <c r="K63" s="41"/>
      <c r="L63" s="41"/>
      <c r="M63" s="41"/>
      <c r="N63" s="41"/>
      <c r="O63" s="41"/>
      <c r="P63" s="41"/>
      <c r="Q63" s="41"/>
      <c r="R63" s="41"/>
      <c r="S63" s="41"/>
    </row>
    <row r="64" spans="1:19" ht="15" customHeight="1">
      <c r="A64" s="186"/>
      <c r="B64" s="239"/>
      <c r="C64" s="41"/>
      <c r="D64" s="42"/>
      <c r="E64" s="41"/>
      <c r="F64" s="41"/>
      <c r="G64" s="41"/>
      <c r="H64" s="41"/>
      <c r="I64" s="41"/>
      <c r="J64" s="41"/>
      <c r="K64" s="41"/>
      <c r="L64" s="41"/>
      <c r="M64" s="41"/>
      <c r="N64" s="41"/>
      <c r="O64" s="41"/>
      <c r="P64" s="41"/>
      <c r="Q64" s="41"/>
      <c r="R64" s="41"/>
      <c r="S64" s="41"/>
    </row>
    <row r="65" spans="1:19" ht="15" customHeight="1">
      <c r="A65" s="186" t="s">
        <v>949</v>
      </c>
      <c r="B65" s="237" t="e">
        <f>B51-B61-B63</f>
        <v>#VALUE!</v>
      </c>
      <c r="C65" s="47"/>
      <c r="D65" s="346"/>
      <c r="E65" s="41"/>
      <c r="F65" s="41"/>
      <c r="G65" s="41"/>
      <c r="H65" s="41"/>
      <c r="I65" s="41"/>
      <c r="J65" s="41"/>
      <c r="K65" s="41"/>
      <c r="L65" s="41"/>
      <c r="M65" s="41"/>
      <c r="N65" s="41"/>
      <c r="O65" s="41"/>
      <c r="P65" s="41"/>
      <c r="Q65" s="41"/>
      <c r="R65" s="41"/>
      <c r="S65" s="41"/>
    </row>
    <row r="66" spans="1:19" ht="15" customHeight="1">
      <c r="A66" s="168" t="s">
        <v>950</v>
      </c>
      <c r="B66" s="204" t="s">
        <v>866</v>
      </c>
      <c r="C66" s="41"/>
      <c r="D66" s="42"/>
      <c r="E66" s="41"/>
      <c r="F66" s="41"/>
      <c r="G66" s="41"/>
      <c r="H66" s="41"/>
      <c r="I66" s="41"/>
      <c r="J66" s="41"/>
      <c r="K66" s="41"/>
      <c r="L66" s="41"/>
      <c r="M66" s="41"/>
      <c r="N66" s="41"/>
      <c r="O66" s="41"/>
      <c r="P66" s="41"/>
      <c r="Q66" s="41"/>
      <c r="R66" s="41"/>
      <c r="S66" s="41"/>
    </row>
    <row r="67" spans="1:19" ht="15" customHeight="1">
      <c r="A67" s="168"/>
      <c r="B67" s="67"/>
      <c r="C67" s="41"/>
      <c r="D67" s="42"/>
      <c r="E67" s="41"/>
      <c r="F67" s="41"/>
      <c r="G67" s="41"/>
      <c r="H67" s="41"/>
      <c r="I67" s="41"/>
      <c r="J67" s="41"/>
      <c r="K67" s="41"/>
      <c r="L67" s="41"/>
      <c r="M67" s="41"/>
      <c r="N67" s="41"/>
      <c r="O67" s="41"/>
      <c r="P67" s="41"/>
      <c r="Q67" s="41"/>
      <c r="R67" s="41"/>
      <c r="S67" s="41"/>
    </row>
    <row r="68" spans="1:19" ht="15" customHeight="1">
      <c r="A68" s="186" t="s">
        <v>1472</v>
      </c>
      <c r="B68" s="237" t="e">
        <f>B65-B66</f>
        <v>#VALUE!</v>
      </c>
      <c r="C68" s="47"/>
      <c r="D68" s="346"/>
      <c r="E68" s="41"/>
      <c r="F68" s="41"/>
      <c r="G68" s="41"/>
      <c r="H68" s="41"/>
      <c r="I68" s="41"/>
      <c r="J68" s="41"/>
      <c r="K68" s="41"/>
      <c r="L68" s="41"/>
      <c r="M68" s="41"/>
      <c r="N68" s="41"/>
      <c r="O68" s="41"/>
      <c r="P68" s="41"/>
      <c r="Q68" s="41"/>
      <c r="R68" s="41"/>
      <c r="S68" s="41"/>
    </row>
    <row r="69" spans="1:19" ht="15" customHeight="1">
      <c r="A69" s="168" t="s">
        <v>1473</v>
      </c>
      <c r="B69" s="204"/>
      <c r="C69" s="41"/>
      <c r="D69" s="42"/>
      <c r="E69" s="41"/>
      <c r="F69" s="41"/>
      <c r="G69" s="41"/>
      <c r="H69" s="41"/>
      <c r="I69" s="41"/>
      <c r="J69" s="41"/>
      <c r="K69" s="41"/>
      <c r="L69" s="41"/>
      <c r="M69" s="41"/>
      <c r="N69" s="41"/>
      <c r="O69" s="41"/>
      <c r="P69" s="41"/>
      <c r="Q69" s="41"/>
      <c r="R69" s="41"/>
      <c r="S69" s="41"/>
    </row>
    <row r="70" spans="1:19" ht="15" customHeight="1">
      <c r="A70" s="168" t="s">
        <v>706</v>
      </c>
      <c r="B70" s="204"/>
      <c r="C70" s="41"/>
      <c r="D70" s="42"/>
      <c r="E70" s="41"/>
      <c r="F70" s="41"/>
      <c r="G70" s="41"/>
      <c r="H70" s="41"/>
      <c r="I70" s="41"/>
      <c r="J70" s="41"/>
      <c r="K70" s="41"/>
      <c r="L70" s="41"/>
      <c r="M70" s="41"/>
      <c r="N70" s="41"/>
      <c r="O70" s="41"/>
      <c r="P70" s="41"/>
      <c r="Q70" s="41"/>
      <c r="R70" s="41"/>
      <c r="S70" s="41"/>
    </row>
    <row r="71" spans="1:19" ht="15" customHeight="1">
      <c r="A71" s="186"/>
      <c r="B71" s="237"/>
      <c r="C71" s="41"/>
      <c r="D71" s="42"/>
      <c r="E71" s="41"/>
      <c r="F71" s="41"/>
      <c r="G71" s="41"/>
      <c r="H71" s="41"/>
      <c r="I71" s="41"/>
      <c r="J71" s="41"/>
      <c r="K71" s="41"/>
      <c r="L71" s="41"/>
      <c r="M71" s="41"/>
      <c r="N71" s="41"/>
      <c r="O71" s="41"/>
      <c r="P71" s="41"/>
      <c r="Q71" s="41"/>
      <c r="R71" s="41"/>
      <c r="S71" s="41"/>
    </row>
    <row r="72" spans="1:19" ht="15" customHeight="1" thickBot="1">
      <c r="A72" s="244" t="s">
        <v>786</v>
      </c>
      <c r="B72" s="245" t="e">
        <f>B68+B69+B70</f>
        <v>#VALUE!</v>
      </c>
      <c r="C72" s="47"/>
      <c r="D72" s="346"/>
      <c r="E72" s="41"/>
      <c r="F72" s="41"/>
      <c r="G72" s="41"/>
      <c r="H72" s="41"/>
      <c r="I72" s="41"/>
      <c r="J72" s="41"/>
      <c r="K72" s="41"/>
      <c r="L72" s="41"/>
      <c r="M72" s="41"/>
      <c r="N72" s="41"/>
      <c r="O72" s="41"/>
      <c r="P72" s="41"/>
      <c r="Q72" s="41"/>
      <c r="R72" s="41"/>
      <c r="S72" s="41"/>
    </row>
    <row r="73" spans="1:19" ht="15" customHeight="1">
      <c r="C73" s="41"/>
      <c r="D73" s="42"/>
      <c r="E73" s="41"/>
      <c r="F73" s="41"/>
      <c r="G73" s="41"/>
      <c r="H73" s="41"/>
      <c r="I73" s="41"/>
      <c r="J73" s="41"/>
      <c r="K73" s="41"/>
      <c r="L73" s="41"/>
      <c r="M73" s="41"/>
      <c r="N73" s="41"/>
      <c r="O73" s="41"/>
      <c r="P73" s="41"/>
      <c r="Q73" s="41"/>
      <c r="R73" s="41"/>
      <c r="S73" s="41"/>
    </row>
    <row r="74" spans="1:19" ht="15" customHeight="1">
      <c r="A74" s="34" t="s">
        <v>102</v>
      </c>
      <c r="C74" s="41"/>
      <c r="D74" s="42"/>
      <c r="E74" s="41"/>
      <c r="F74" s="41"/>
      <c r="G74" s="41"/>
      <c r="H74" s="41"/>
      <c r="I74" s="41"/>
      <c r="J74" s="41"/>
      <c r="K74" s="41"/>
      <c r="L74" s="41"/>
      <c r="M74" s="41"/>
      <c r="N74" s="41"/>
      <c r="O74" s="41"/>
      <c r="P74" s="41"/>
      <c r="Q74" s="41"/>
      <c r="R74" s="41"/>
      <c r="S74" s="41"/>
    </row>
    <row r="75" spans="1:19" ht="15" customHeight="1">
      <c r="A75" s="34" t="s">
        <v>1198</v>
      </c>
      <c r="C75" s="41"/>
      <c r="D75" s="42"/>
      <c r="E75" s="41"/>
      <c r="F75" s="41"/>
      <c r="G75" s="41"/>
      <c r="H75" s="41"/>
      <c r="I75" s="41"/>
      <c r="J75" s="41"/>
      <c r="K75" s="41"/>
      <c r="L75" s="41"/>
      <c r="M75" s="41"/>
      <c r="N75" s="41"/>
      <c r="O75" s="41"/>
      <c r="P75" s="41"/>
      <c r="Q75" s="41"/>
      <c r="R75" s="41"/>
      <c r="S75" s="41"/>
    </row>
    <row r="76" spans="1:19" ht="15" customHeight="1">
      <c r="C76" s="41"/>
      <c r="D76" s="42"/>
      <c r="E76" s="41"/>
      <c r="F76" s="41"/>
      <c r="G76" s="41"/>
      <c r="H76" s="41"/>
      <c r="I76" s="41"/>
      <c r="J76" s="41"/>
      <c r="K76" s="41"/>
      <c r="L76" s="41"/>
      <c r="M76" s="41"/>
      <c r="N76" s="41"/>
      <c r="O76" s="41"/>
      <c r="P76" s="41"/>
      <c r="Q76" s="41"/>
      <c r="R76" s="41"/>
      <c r="S76" s="41"/>
    </row>
    <row r="77" spans="1:19" ht="15" customHeight="1">
      <c r="C77" s="41"/>
      <c r="D77" s="42"/>
      <c r="E77" s="41"/>
      <c r="F77" s="41"/>
      <c r="G77" s="41"/>
      <c r="H77" s="41"/>
      <c r="I77" s="41"/>
      <c r="J77" s="41"/>
      <c r="K77" s="41"/>
      <c r="L77" s="41"/>
      <c r="M77" s="41"/>
      <c r="N77" s="41"/>
      <c r="O77" s="41"/>
      <c r="P77" s="41"/>
      <c r="Q77" s="41"/>
      <c r="R77" s="41"/>
      <c r="S77" s="41"/>
    </row>
    <row r="78" spans="1:19" ht="15" customHeight="1">
      <c r="C78" s="41"/>
      <c r="D78" s="42"/>
      <c r="E78" s="41"/>
      <c r="F78" s="41"/>
      <c r="G78" s="41"/>
      <c r="H78" s="41"/>
      <c r="I78" s="41"/>
      <c r="J78" s="41"/>
      <c r="K78" s="41"/>
      <c r="L78" s="41"/>
      <c r="M78" s="41"/>
      <c r="N78" s="41"/>
      <c r="O78" s="41"/>
      <c r="P78" s="41"/>
      <c r="Q78" s="41"/>
      <c r="R78" s="41"/>
      <c r="S78" s="41"/>
    </row>
    <row r="79" spans="1:19" ht="15" customHeight="1">
      <c r="C79" s="41"/>
      <c r="D79" s="42"/>
      <c r="E79" s="41"/>
      <c r="F79" s="41"/>
      <c r="G79" s="41"/>
      <c r="H79" s="41"/>
      <c r="I79" s="41"/>
      <c r="J79" s="41"/>
      <c r="K79" s="41"/>
      <c r="L79" s="41"/>
      <c r="M79" s="41"/>
      <c r="N79" s="41"/>
      <c r="O79" s="41"/>
      <c r="P79" s="41"/>
      <c r="Q79" s="41"/>
      <c r="R79" s="41"/>
      <c r="S79" s="41"/>
    </row>
    <row r="80" spans="1:19" ht="15" customHeight="1">
      <c r="C80" s="41"/>
      <c r="D80" s="42"/>
      <c r="E80" s="41"/>
      <c r="F80" s="41"/>
      <c r="G80" s="41"/>
      <c r="H80" s="41"/>
      <c r="I80" s="41"/>
      <c r="J80" s="41"/>
      <c r="K80" s="41"/>
      <c r="L80" s="41"/>
      <c r="M80" s="41"/>
      <c r="N80" s="41"/>
      <c r="O80" s="41"/>
      <c r="P80" s="41"/>
      <c r="Q80" s="41"/>
      <c r="R80" s="41"/>
      <c r="S80" s="41"/>
    </row>
    <row r="81" spans="3:19" ht="15" customHeight="1">
      <c r="C81" s="41"/>
      <c r="D81" s="42"/>
      <c r="E81" s="41"/>
      <c r="F81" s="41"/>
      <c r="G81" s="41"/>
      <c r="H81" s="41"/>
      <c r="I81" s="41"/>
      <c r="J81" s="41"/>
      <c r="K81" s="41"/>
      <c r="L81" s="41"/>
      <c r="M81" s="41"/>
      <c r="N81" s="41"/>
      <c r="O81" s="41"/>
      <c r="P81" s="41"/>
      <c r="Q81" s="41"/>
      <c r="R81" s="41"/>
      <c r="S81" s="41"/>
    </row>
  </sheetData>
  <phoneticPr fontId="0" type="noConversion"/>
  <conditionalFormatting sqref="B16">
    <cfRule type="cellIs" dxfId="37" priority="2" stopIfTrue="1" operator="notEqual">
      <formula>INTINC</formula>
    </cfRule>
  </conditionalFormatting>
  <conditionalFormatting sqref="B29">
    <cfRule type="cellIs" dxfId="36" priority="1" stopIfTrue="1" operator="notEqual">
      <formula>INTEXP</formula>
    </cfRule>
  </conditionalFormatting>
  <dataValidations count="3">
    <dataValidation allowBlank="1" showInputMessage="1" showErrorMessage="1" prompt="Значение должно равняться итого процентных доходов (см.следующий лист)" sqref="B16 IX16 ST16 ACP16 AML16 AWH16 BGD16 BPZ16 BZV16 CJR16 CTN16 DDJ16 DNF16 DXB16 EGX16 EQT16 FAP16 FKL16 FUH16 GED16 GNZ16 GXV16 HHR16 HRN16 IBJ16 ILF16 IVB16 JEX16 JOT16 JYP16 KIL16 KSH16 LCD16 LLZ16 LVV16 MFR16 MPN16 MZJ16 NJF16 NTB16 OCX16 OMT16 OWP16 PGL16 PQH16 QAD16 QJZ16 QTV16 RDR16 RNN16 RXJ16 SHF16 SRB16 TAX16 TKT16 TUP16 UEL16 UOH16 UYD16 VHZ16 VRV16 WBR16 WLN16 WVJ16 B65552 IX65552 ST65552 ACP65552 AML65552 AWH65552 BGD65552 BPZ65552 BZV65552 CJR65552 CTN65552 DDJ65552 DNF65552 DXB65552 EGX65552 EQT65552 FAP65552 FKL65552 FUH65552 GED65552 GNZ65552 GXV65552 HHR65552 HRN65552 IBJ65552 ILF65552 IVB65552 JEX65552 JOT65552 JYP65552 KIL65552 KSH65552 LCD65552 LLZ65552 LVV65552 MFR65552 MPN65552 MZJ65552 NJF65552 NTB65552 OCX65552 OMT65552 OWP65552 PGL65552 PQH65552 QAD65552 QJZ65552 QTV65552 RDR65552 RNN65552 RXJ65552 SHF65552 SRB65552 TAX65552 TKT65552 TUP65552 UEL65552 UOH65552 UYD65552 VHZ65552 VRV65552 WBR65552 WLN65552 WVJ65552 B131088 IX131088 ST131088 ACP131088 AML131088 AWH131088 BGD131088 BPZ131088 BZV131088 CJR131088 CTN131088 DDJ131088 DNF131088 DXB131088 EGX131088 EQT131088 FAP131088 FKL131088 FUH131088 GED131088 GNZ131088 GXV131088 HHR131088 HRN131088 IBJ131088 ILF131088 IVB131088 JEX131088 JOT131088 JYP131088 KIL131088 KSH131088 LCD131088 LLZ131088 LVV131088 MFR131088 MPN131088 MZJ131088 NJF131088 NTB131088 OCX131088 OMT131088 OWP131088 PGL131088 PQH131088 QAD131088 QJZ131088 QTV131088 RDR131088 RNN131088 RXJ131088 SHF131088 SRB131088 TAX131088 TKT131088 TUP131088 UEL131088 UOH131088 UYD131088 VHZ131088 VRV131088 WBR131088 WLN131088 WVJ131088 B196624 IX196624 ST196624 ACP196624 AML196624 AWH196624 BGD196624 BPZ196624 BZV196624 CJR196624 CTN196624 DDJ196624 DNF196624 DXB196624 EGX196624 EQT196624 FAP196624 FKL196624 FUH196624 GED196624 GNZ196624 GXV196624 HHR196624 HRN196624 IBJ196624 ILF196624 IVB196624 JEX196624 JOT196624 JYP196624 KIL196624 KSH196624 LCD196624 LLZ196624 LVV196624 MFR196624 MPN196624 MZJ196624 NJF196624 NTB196624 OCX196624 OMT196624 OWP196624 PGL196624 PQH196624 QAD196624 QJZ196624 QTV196624 RDR196624 RNN196624 RXJ196624 SHF196624 SRB196624 TAX196624 TKT196624 TUP196624 UEL196624 UOH196624 UYD196624 VHZ196624 VRV196624 WBR196624 WLN196624 WVJ196624 B262160 IX262160 ST262160 ACP262160 AML262160 AWH262160 BGD262160 BPZ262160 BZV262160 CJR262160 CTN262160 DDJ262160 DNF262160 DXB262160 EGX262160 EQT262160 FAP262160 FKL262160 FUH262160 GED262160 GNZ262160 GXV262160 HHR262160 HRN262160 IBJ262160 ILF262160 IVB262160 JEX262160 JOT262160 JYP262160 KIL262160 KSH262160 LCD262160 LLZ262160 LVV262160 MFR262160 MPN262160 MZJ262160 NJF262160 NTB262160 OCX262160 OMT262160 OWP262160 PGL262160 PQH262160 QAD262160 QJZ262160 QTV262160 RDR262160 RNN262160 RXJ262160 SHF262160 SRB262160 TAX262160 TKT262160 TUP262160 UEL262160 UOH262160 UYD262160 VHZ262160 VRV262160 WBR262160 WLN262160 WVJ262160 B327696 IX327696 ST327696 ACP327696 AML327696 AWH327696 BGD327696 BPZ327696 BZV327696 CJR327696 CTN327696 DDJ327696 DNF327696 DXB327696 EGX327696 EQT327696 FAP327696 FKL327696 FUH327696 GED327696 GNZ327696 GXV327696 HHR327696 HRN327696 IBJ327696 ILF327696 IVB327696 JEX327696 JOT327696 JYP327696 KIL327696 KSH327696 LCD327696 LLZ327696 LVV327696 MFR327696 MPN327696 MZJ327696 NJF327696 NTB327696 OCX327696 OMT327696 OWP327696 PGL327696 PQH327696 QAD327696 QJZ327696 QTV327696 RDR327696 RNN327696 RXJ327696 SHF327696 SRB327696 TAX327696 TKT327696 TUP327696 UEL327696 UOH327696 UYD327696 VHZ327696 VRV327696 WBR327696 WLN327696 WVJ327696 B393232 IX393232 ST393232 ACP393232 AML393232 AWH393232 BGD393232 BPZ393232 BZV393232 CJR393232 CTN393232 DDJ393232 DNF393232 DXB393232 EGX393232 EQT393232 FAP393232 FKL393232 FUH393232 GED393232 GNZ393232 GXV393232 HHR393232 HRN393232 IBJ393232 ILF393232 IVB393232 JEX393232 JOT393232 JYP393232 KIL393232 KSH393232 LCD393232 LLZ393232 LVV393232 MFR393232 MPN393232 MZJ393232 NJF393232 NTB393232 OCX393232 OMT393232 OWP393232 PGL393232 PQH393232 QAD393232 QJZ393232 QTV393232 RDR393232 RNN393232 RXJ393232 SHF393232 SRB393232 TAX393232 TKT393232 TUP393232 UEL393232 UOH393232 UYD393232 VHZ393232 VRV393232 WBR393232 WLN393232 WVJ393232 B458768 IX458768 ST458768 ACP458768 AML458768 AWH458768 BGD458768 BPZ458768 BZV458768 CJR458768 CTN458768 DDJ458768 DNF458768 DXB458768 EGX458768 EQT458768 FAP458768 FKL458768 FUH458768 GED458768 GNZ458768 GXV458768 HHR458768 HRN458768 IBJ458768 ILF458768 IVB458768 JEX458768 JOT458768 JYP458768 KIL458768 KSH458768 LCD458768 LLZ458768 LVV458768 MFR458768 MPN458768 MZJ458768 NJF458768 NTB458768 OCX458768 OMT458768 OWP458768 PGL458768 PQH458768 QAD458768 QJZ458768 QTV458768 RDR458768 RNN458768 RXJ458768 SHF458768 SRB458768 TAX458768 TKT458768 TUP458768 UEL458768 UOH458768 UYD458768 VHZ458768 VRV458768 WBR458768 WLN458768 WVJ458768 B524304 IX524304 ST524304 ACP524304 AML524304 AWH524304 BGD524304 BPZ524304 BZV524304 CJR524304 CTN524304 DDJ524304 DNF524304 DXB524304 EGX524304 EQT524304 FAP524304 FKL524304 FUH524304 GED524304 GNZ524304 GXV524304 HHR524304 HRN524304 IBJ524304 ILF524304 IVB524304 JEX524304 JOT524304 JYP524304 KIL524304 KSH524304 LCD524304 LLZ524304 LVV524304 MFR524304 MPN524304 MZJ524304 NJF524304 NTB524304 OCX524304 OMT524304 OWP524304 PGL524304 PQH524304 QAD524304 QJZ524304 QTV524304 RDR524304 RNN524304 RXJ524304 SHF524304 SRB524304 TAX524304 TKT524304 TUP524304 UEL524304 UOH524304 UYD524304 VHZ524304 VRV524304 WBR524304 WLN524304 WVJ524304 B589840 IX589840 ST589840 ACP589840 AML589840 AWH589840 BGD589840 BPZ589840 BZV589840 CJR589840 CTN589840 DDJ589840 DNF589840 DXB589840 EGX589840 EQT589840 FAP589840 FKL589840 FUH589840 GED589840 GNZ589840 GXV589840 HHR589840 HRN589840 IBJ589840 ILF589840 IVB589840 JEX589840 JOT589840 JYP589840 KIL589840 KSH589840 LCD589840 LLZ589840 LVV589840 MFR589840 MPN589840 MZJ589840 NJF589840 NTB589840 OCX589840 OMT589840 OWP589840 PGL589840 PQH589840 QAD589840 QJZ589840 QTV589840 RDR589840 RNN589840 RXJ589840 SHF589840 SRB589840 TAX589840 TKT589840 TUP589840 UEL589840 UOH589840 UYD589840 VHZ589840 VRV589840 WBR589840 WLN589840 WVJ589840 B655376 IX655376 ST655376 ACP655376 AML655376 AWH655376 BGD655376 BPZ655376 BZV655376 CJR655376 CTN655376 DDJ655376 DNF655376 DXB655376 EGX655376 EQT655376 FAP655376 FKL655376 FUH655376 GED655376 GNZ655376 GXV655376 HHR655376 HRN655376 IBJ655376 ILF655376 IVB655376 JEX655376 JOT655376 JYP655376 KIL655376 KSH655376 LCD655376 LLZ655376 LVV655376 MFR655376 MPN655376 MZJ655376 NJF655376 NTB655376 OCX655376 OMT655376 OWP655376 PGL655376 PQH655376 QAD655376 QJZ655376 QTV655376 RDR655376 RNN655376 RXJ655376 SHF655376 SRB655376 TAX655376 TKT655376 TUP655376 UEL655376 UOH655376 UYD655376 VHZ655376 VRV655376 WBR655376 WLN655376 WVJ655376 B720912 IX720912 ST720912 ACP720912 AML720912 AWH720912 BGD720912 BPZ720912 BZV720912 CJR720912 CTN720912 DDJ720912 DNF720912 DXB720912 EGX720912 EQT720912 FAP720912 FKL720912 FUH720912 GED720912 GNZ720912 GXV720912 HHR720912 HRN720912 IBJ720912 ILF720912 IVB720912 JEX720912 JOT720912 JYP720912 KIL720912 KSH720912 LCD720912 LLZ720912 LVV720912 MFR720912 MPN720912 MZJ720912 NJF720912 NTB720912 OCX720912 OMT720912 OWP720912 PGL720912 PQH720912 QAD720912 QJZ720912 QTV720912 RDR720912 RNN720912 RXJ720912 SHF720912 SRB720912 TAX720912 TKT720912 TUP720912 UEL720912 UOH720912 UYD720912 VHZ720912 VRV720912 WBR720912 WLN720912 WVJ720912 B786448 IX786448 ST786448 ACP786448 AML786448 AWH786448 BGD786448 BPZ786448 BZV786448 CJR786448 CTN786448 DDJ786448 DNF786448 DXB786448 EGX786448 EQT786448 FAP786448 FKL786448 FUH786448 GED786448 GNZ786448 GXV786448 HHR786448 HRN786448 IBJ786448 ILF786448 IVB786448 JEX786448 JOT786448 JYP786448 KIL786448 KSH786448 LCD786448 LLZ786448 LVV786448 MFR786448 MPN786448 MZJ786448 NJF786448 NTB786448 OCX786448 OMT786448 OWP786448 PGL786448 PQH786448 QAD786448 QJZ786448 QTV786448 RDR786448 RNN786448 RXJ786448 SHF786448 SRB786448 TAX786448 TKT786448 TUP786448 UEL786448 UOH786448 UYD786448 VHZ786448 VRV786448 WBR786448 WLN786448 WVJ786448 B851984 IX851984 ST851984 ACP851984 AML851984 AWH851984 BGD851984 BPZ851984 BZV851984 CJR851984 CTN851984 DDJ851984 DNF851984 DXB851984 EGX851984 EQT851984 FAP851984 FKL851984 FUH851984 GED851984 GNZ851984 GXV851984 HHR851984 HRN851984 IBJ851984 ILF851984 IVB851984 JEX851984 JOT851984 JYP851984 KIL851984 KSH851984 LCD851984 LLZ851984 LVV851984 MFR851984 MPN851984 MZJ851984 NJF851984 NTB851984 OCX851984 OMT851984 OWP851984 PGL851984 PQH851984 QAD851984 QJZ851984 QTV851984 RDR851984 RNN851984 RXJ851984 SHF851984 SRB851984 TAX851984 TKT851984 TUP851984 UEL851984 UOH851984 UYD851984 VHZ851984 VRV851984 WBR851984 WLN851984 WVJ851984 B917520 IX917520 ST917520 ACP917520 AML917520 AWH917520 BGD917520 BPZ917520 BZV917520 CJR917520 CTN917520 DDJ917520 DNF917520 DXB917520 EGX917520 EQT917520 FAP917520 FKL917520 FUH917520 GED917520 GNZ917520 GXV917520 HHR917520 HRN917520 IBJ917520 ILF917520 IVB917520 JEX917520 JOT917520 JYP917520 KIL917520 KSH917520 LCD917520 LLZ917520 LVV917520 MFR917520 MPN917520 MZJ917520 NJF917520 NTB917520 OCX917520 OMT917520 OWP917520 PGL917520 PQH917520 QAD917520 QJZ917520 QTV917520 RDR917520 RNN917520 RXJ917520 SHF917520 SRB917520 TAX917520 TKT917520 TUP917520 UEL917520 UOH917520 UYD917520 VHZ917520 VRV917520 WBR917520 WLN917520 WVJ917520 B983056 IX983056 ST983056 ACP983056 AML983056 AWH983056 BGD983056 BPZ983056 BZV983056 CJR983056 CTN983056 DDJ983056 DNF983056 DXB983056 EGX983056 EQT983056 FAP983056 FKL983056 FUH983056 GED983056 GNZ983056 GXV983056 HHR983056 HRN983056 IBJ983056 ILF983056 IVB983056 JEX983056 JOT983056 JYP983056 KIL983056 KSH983056 LCD983056 LLZ983056 LVV983056 MFR983056 MPN983056 MZJ983056 NJF983056 NTB983056 OCX983056 OMT983056 OWP983056 PGL983056 PQH983056 QAD983056 QJZ983056 QTV983056 RDR983056 RNN983056 RXJ983056 SHF983056 SRB983056 TAX983056 TKT983056 TUP983056 UEL983056 UOH983056 UYD983056 VHZ983056 VRV983056 WBR983056 WLN983056 WVJ983056"/>
    <dataValidation allowBlank="1" showInputMessage="1" showErrorMessage="1" prompt="Значение должно равняться итого процентных расходов (см. следующую страницу)" sqref="B29 IX29 ST29 ACP29 AML29 AWH29 BGD29 BPZ29 BZV29 CJR29 CTN29 DDJ29 DNF29 DXB29 EGX29 EQT29 FAP29 FKL29 FUH29 GED29 GNZ29 GXV29 HHR29 HRN29 IBJ29 ILF29 IVB29 JEX29 JOT29 JYP29 KIL29 KSH29 LCD29 LLZ29 LVV29 MFR29 MPN29 MZJ29 NJF29 NTB29 OCX29 OMT29 OWP29 PGL29 PQH29 QAD29 QJZ29 QTV29 RDR29 RNN29 RXJ29 SHF29 SRB29 TAX29 TKT29 TUP29 UEL29 UOH29 UYD29 VHZ29 VRV29 WBR29 WLN29 WVJ29 B65565 IX65565 ST65565 ACP65565 AML65565 AWH65565 BGD65565 BPZ65565 BZV65565 CJR65565 CTN65565 DDJ65565 DNF65565 DXB65565 EGX65565 EQT65565 FAP65565 FKL65565 FUH65565 GED65565 GNZ65565 GXV65565 HHR65565 HRN65565 IBJ65565 ILF65565 IVB65565 JEX65565 JOT65565 JYP65565 KIL65565 KSH65565 LCD65565 LLZ65565 LVV65565 MFR65565 MPN65565 MZJ65565 NJF65565 NTB65565 OCX65565 OMT65565 OWP65565 PGL65565 PQH65565 QAD65565 QJZ65565 QTV65565 RDR65565 RNN65565 RXJ65565 SHF65565 SRB65565 TAX65565 TKT65565 TUP65565 UEL65565 UOH65565 UYD65565 VHZ65565 VRV65565 WBR65565 WLN65565 WVJ65565 B131101 IX131101 ST131101 ACP131101 AML131101 AWH131101 BGD131101 BPZ131101 BZV131101 CJR131101 CTN131101 DDJ131101 DNF131101 DXB131101 EGX131101 EQT131101 FAP131101 FKL131101 FUH131101 GED131101 GNZ131101 GXV131101 HHR131101 HRN131101 IBJ131101 ILF131101 IVB131101 JEX131101 JOT131101 JYP131101 KIL131101 KSH131101 LCD131101 LLZ131101 LVV131101 MFR131101 MPN131101 MZJ131101 NJF131101 NTB131101 OCX131101 OMT131101 OWP131101 PGL131101 PQH131101 QAD131101 QJZ131101 QTV131101 RDR131101 RNN131101 RXJ131101 SHF131101 SRB131101 TAX131101 TKT131101 TUP131101 UEL131101 UOH131101 UYD131101 VHZ131101 VRV131101 WBR131101 WLN131101 WVJ131101 B196637 IX196637 ST196637 ACP196637 AML196637 AWH196637 BGD196637 BPZ196637 BZV196637 CJR196637 CTN196637 DDJ196637 DNF196637 DXB196637 EGX196637 EQT196637 FAP196637 FKL196637 FUH196637 GED196637 GNZ196637 GXV196637 HHR196637 HRN196637 IBJ196637 ILF196637 IVB196637 JEX196637 JOT196637 JYP196637 KIL196637 KSH196637 LCD196637 LLZ196637 LVV196637 MFR196637 MPN196637 MZJ196637 NJF196637 NTB196637 OCX196637 OMT196637 OWP196637 PGL196637 PQH196637 QAD196637 QJZ196637 QTV196637 RDR196637 RNN196637 RXJ196637 SHF196637 SRB196637 TAX196637 TKT196637 TUP196637 UEL196637 UOH196637 UYD196637 VHZ196637 VRV196637 WBR196637 WLN196637 WVJ196637 B262173 IX262173 ST262173 ACP262173 AML262173 AWH262173 BGD262173 BPZ262173 BZV262173 CJR262173 CTN262173 DDJ262173 DNF262173 DXB262173 EGX262173 EQT262173 FAP262173 FKL262173 FUH262173 GED262173 GNZ262173 GXV262173 HHR262173 HRN262173 IBJ262173 ILF262173 IVB262173 JEX262173 JOT262173 JYP262173 KIL262173 KSH262173 LCD262173 LLZ262173 LVV262173 MFR262173 MPN262173 MZJ262173 NJF262173 NTB262173 OCX262173 OMT262173 OWP262173 PGL262173 PQH262173 QAD262173 QJZ262173 QTV262173 RDR262173 RNN262173 RXJ262173 SHF262173 SRB262173 TAX262173 TKT262173 TUP262173 UEL262173 UOH262173 UYD262173 VHZ262173 VRV262173 WBR262173 WLN262173 WVJ262173 B327709 IX327709 ST327709 ACP327709 AML327709 AWH327709 BGD327709 BPZ327709 BZV327709 CJR327709 CTN327709 DDJ327709 DNF327709 DXB327709 EGX327709 EQT327709 FAP327709 FKL327709 FUH327709 GED327709 GNZ327709 GXV327709 HHR327709 HRN327709 IBJ327709 ILF327709 IVB327709 JEX327709 JOT327709 JYP327709 KIL327709 KSH327709 LCD327709 LLZ327709 LVV327709 MFR327709 MPN327709 MZJ327709 NJF327709 NTB327709 OCX327709 OMT327709 OWP327709 PGL327709 PQH327709 QAD327709 QJZ327709 QTV327709 RDR327709 RNN327709 RXJ327709 SHF327709 SRB327709 TAX327709 TKT327709 TUP327709 UEL327709 UOH327709 UYD327709 VHZ327709 VRV327709 WBR327709 WLN327709 WVJ327709 B393245 IX393245 ST393245 ACP393245 AML393245 AWH393245 BGD393245 BPZ393245 BZV393245 CJR393245 CTN393245 DDJ393245 DNF393245 DXB393245 EGX393245 EQT393245 FAP393245 FKL393245 FUH393245 GED393245 GNZ393245 GXV393245 HHR393245 HRN393245 IBJ393245 ILF393245 IVB393245 JEX393245 JOT393245 JYP393245 KIL393245 KSH393245 LCD393245 LLZ393245 LVV393245 MFR393245 MPN393245 MZJ393245 NJF393245 NTB393245 OCX393245 OMT393245 OWP393245 PGL393245 PQH393245 QAD393245 QJZ393245 QTV393245 RDR393245 RNN393245 RXJ393245 SHF393245 SRB393245 TAX393245 TKT393245 TUP393245 UEL393245 UOH393245 UYD393245 VHZ393245 VRV393245 WBR393245 WLN393245 WVJ393245 B458781 IX458781 ST458781 ACP458781 AML458781 AWH458781 BGD458781 BPZ458781 BZV458781 CJR458781 CTN458781 DDJ458781 DNF458781 DXB458781 EGX458781 EQT458781 FAP458781 FKL458781 FUH458781 GED458781 GNZ458781 GXV458781 HHR458781 HRN458781 IBJ458781 ILF458781 IVB458781 JEX458781 JOT458781 JYP458781 KIL458781 KSH458781 LCD458781 LLZ458781 LVV458781 MFR458781 MPN458781 MZJ458781 NJF458781 NTB458781 OCX458781 OMT458781 OWP458781 PGL458781 PQH458781 QAD458781 QJZ458781 QTV458781 RDR458781 RNN458781 RXJ458781 SHF458781 SRB458781 TAX458781 TKT458781 TUP458781 UEL458781 UOH458781 UYD458781 VHZ458781 VRV458781 WBR458781 WLN458781 WVJ458781 B524317 IX524317 ST524317 ACP524317 AML524317 AWH524317 BGD524317 BPZ524317 BZV524317 CJR524317 CTN524317 DDJ524317 DNF524317 DXB524317 EGX524317 EQT524317 FAP524317 FKL524317 FUH524317 GED524317 GNZ524317 GXV524317 HHR524317 HRN524317 IBJ524317 ILF524317 IVB524317 JEX524317 JOT524317 JYP524317 KIL524317 KSH524317 LCD524317 LLZ524317 LVV524317 MFR524317 MPN524317 MZJ524317 NJF524317 NTB524317 OCX524317 OMT524317 OWP524317 PGL524317 PQH524317 QAD524317 QJZ524317 QTV524317 RDR524317 RNN524317 RXJ524317 SHF524317 SRB524317 TAX524317 TKT524317 TUP524317 UEL524317 UOH524317 UYD524317 VHZ524317 VRV524317 WBR524317 WLN524317 WVJ524317 B589853 IX589853 ST589853 ACP589853 AML589853 AWH589853 BGD589853 BPZ589853 BZV589853 CJR589853 CTN589853 DDJ589853 DNF589853 DXB589853 EGX589853 EQT589853 FAP589853 FKL589853 FUH589853 GED589853 GNZ589853 GXV589853 HHR589853 HRN589853 IBJ589853 ILF589853 IVB589853 JEX589853 JOT589853 JYP589853 KIL589853 KSH589853 LCD589853 LLZ589853 LVV589853 MFR589853 MPN589853 MZJ589853 NJF589853 NTB589853 OCX589853 OMT589853 OWP589853 PGL589853 PQH589853 QAD589853 QJZ589853 QTV589853 RDR589853 RNN589853 RXJ589853 SHF589853 SRB589853 TAX589853 TKT589853 TUP589853 UEL589853 UOH589853 UYD589853 VHZ589853 VRV589853 WBR589853 WLN589853 WVJ589853 B655389 IX655389 ST655389 ACP655389 AML655389 AWH655389 BGD655389 BPZ655389 BZV655389 CJR655389 CTN655389 DDJ655389 DNF655389 DXB655389 EGX655389 EQT655389 FAP655389 FKL655389 FUH655389 GED655389 GNZ655389 GXV655389 HHR655389 HRN655389 IBJ655389 ILF655389 IVB655389 JEX655389 JOT655389 JYP655389 KIL655389 KSH655389 LCD655389 LLZ655389 LVV655389 MFR655389 MPN655389 MZJ655389 NJF655389 NTB655389 OCX655389 OMT655389 OWP655389 PGL655389 PQH655389 QAD655389 QJZ655389 QTV655389 RDR655389 RNN655389 RXJ655389 SHF655389 SRB655389 TAX655389 TKT655389 TUP655389 UEL655389 UOH655389 UYD655389 VHZ655389 VRV655389 WBR655389 WLN655389 WVJ655389 B720925 IX720925 ST720925 ACP720925 AML720925 AWH720925 BGD720925 BPZ720925 BZV720925 CJR720925 CTN720925 DDJ720925 DNF720925 DXB720925 EGX720925 EQT720925 FAP720925 FKL720925 FUH720925 GED720925 GNZ720925 GXV720925 HHR720925 HRN720925 IBJ720925 ILF720925 IVB720925 JEX720925 JOT720925 JYP720925 KIL720925 KSH720925 LCD720925 LLZ720925 LVV720925 MFR720925 MPN720925 MZJ720925 NJF720925 NTB720925 OCX720925 OMT720925 OWP720925 PGL720925 PQH720925 QAD720925 QJZ720925 QTV720925 RDR720925 RNN720925 RXJ720925 SHF720925 SRB720925 TAX720925 TKT720925 TUP720925 UEL720925 UOH720925 UYD720925 VHZ720925 VRV720925 WBR720925 WLN720925 WVJ720925 B786461 IX786461 ST786461 ACP786461 AML786461 AWH786461 BGD786461 BPZ786461 BZV786461 CJR786461 CTN786461 DDJ786461 DNF786461 DXB786461 EGX786461 EQT786461 FAP786461 FKL786461 FUH786461 GED786461 GNZ786461 GXV786461 HHR786461 HRN786461 IBJ786461 ILF786461 IVB786461 JEX786461 JOT786461 JYP786461 KIL786461 KSH786461 LCD786461 LLZ786461 LVV786461 MFR786461 MPN786461 MZJ786461 NJF786461 NTB786461 OCX786461 OMT786461 OWP786461 PGL786461 PQH786461 QAD786461 QJZ786461 QTV786461 RDR786461 RNN786461 RXJ786461 SHF786461 SRB786461 TAX786461 TKT786461 TUP786461 UEL786461 UOH786461 UYD786461 VHZ786461 VRV786461 WBR786461 WLN786461 WVJ786461 B851997 IX851997 ST851997 ACP851997 AML851997 AWH851997 BGD851997 BPZ851997 BZV851997 CJR851997 CTN851997 DDJ851997 DNF851997 DXB851997 EGX851997 EQT851997 FAP851997 FKL851997 FUH851997 GED851997 GNZ851997 GXV851997 HHR851997 HRN851997 IBJ851997 ILF851997 IVB851997 JEX851997 JOT851997 JYP851997 KIL851997 KSH851997 LCD851997 LLZ851997 LVV851997 MFR851997 MPN851997 MZJ851997 NJF851997 NTB851997 OCX851997 OMT851997 OWP851997 PGL851997 PQH851997 QAD851997 QJZ851997 QTV851997 RDR851997 RNN851997 RXJ851997 SHF851997 SRB851997 TAX851997 TKT851997 TUP851997 UEL851997 UOH851997 UYD851997 VHZ851997 VRV851997 WBR851997 WLN851997 WVJ851997 B917533 IX917533 ST917533 ACP917533 AML917533 AWH917533 BGD917533 BPZ917533 BZV917533 CJR917533 CTN917533 DDJ917533 DNF917533 DXB917533 EGX917533 EQT917533 FAP917533 FKL917533 FUH917533 GED917533 GNZ917533 GXV917533 HHR917533 HRN917533 IBJ917533 ILF917533 IVB917533 JEX917533 JOT917533 JYP917533 KIL917533 KSH917533 LCD917533 LLZ917533 LVV917533 MFR917533 MPN917533 MZJ917533 NJF917533 NTB917533 OCX917533 OMT917533 OWP917533 PGL917533 PQH917533 QAD917533 QJZ917533 QTV917533 RDR917533 RNN917533 RXJ917533 SHF917533 SRB917533 TAX917533 TKT917533 TUP917533 UEL917533 UOH917533 UYD917533 VHZ917533 VRV917533 WBR917533 WLN917533 WVJ917533 B983069 IX983069 ST983069 ACP983069 AML983069 AWH983069 BGD983069 BPZ983069 BZV983069 CJR983069 CTN983069 DDJ983069 DNF983069 DXB983069 EGX983069 EQT983069 FAP983069 FKL983069 FUH983069 GED983069 GNZ983069 GXV983069 HHR983069 HRN983069 IBJ983069 ILF983069 IVB983069 JEX983069 JOT983069 JYP983069 KIL983069 KSH983069 LCD983069 LLZ983069 LVV983069 MFR983069 MPN983069 MZJ983069 NJF983069 NTB983069 OCX983069 OMT983069 OWP983069 PGL983069 PQH983069 QAD983069 QJZ983069 QTV983069 RDR983069 RNN983069 RXJ983069 SHF983069 SRB983069 TAX983069 TKT983069 TUP983069 UEL983069 UOH983069 UYD983069 VHZ983069 VRV983069 WBR983069 WLN983069 WVJ983069"/>
    <dataValidation type="whole" operator="notEqual" allowBlank="1" showErrorMessage="1" error="Если увас есть желание не видеть больше_x000a_это сообщение, вводите целые числа!" sqref="B69:B70 IX69:IX70 ST69:ST70 ACP69:ACP70 AML69:AML70 AWH69:AWH70 BGD69:BGD70 BPZ69:BPZ70 BZV69:BZV70 CJR69:CJR70 CTN69:CTN70 DDJ69:DDJ70 DNF69:DNF70 DXB69:DXB70 EGX69:EGX70 EQT69:EQT70 FAP69:FAP70 FKL69:FKL70 FUH69:FUH70 GED69:GED70 GNZ69:GNZ70 GXV69:GXV70 HHR69:HHR70 HRN69:HRN70 IBJ69:IBJ70 ILF69:ILF70 IVB69:IVB70 JEX69:JEX70 JOT69:JOT70 JYP69:JYP70 KIL69:KIL70 KSH69:KSH70 LCD69:LCD70 LLZ69:LLZ70 LVV69:LVV70 MFR69:MFR70 MPN69:MPN70 MZJ69:MZJ70 NJF69:NJF70 NTB69:NTB70 OCX69:OCX70 OMT69:OMT70 OWP69:OWP70 PGL69:PGL70 PQH69:PQH70 QAD69:QAD70 QJZ69:QJZ70 QTV69:QTV70 RDR69:RDR70 RNN69:RNN70 RXJ69:RXJ70 SHF69:SHF70 SRB69:SRB70 TAX69:TAX70 TKT69:TKT70 TUP69:TUP70 UEL69:UEL70 UOH69:UOH70 UYD69:UYD70 VHZ69:VHZ70 VRV69:VRV70 WBR69:WBR70 WLN69:WLN70 WVJ69:WVJ70 B65605:B65606 IX65605:IX65606 ST65605:ST65606 ACP65605:ACP65606 AML65605:AML65606 AWH65605:AWH65606 BGD65605:BGD65606 BPZ65605:BPZ65606 BZV65605:BZV65606 CJR65605:CJR65606 CTN65605:CTN65606 DDJ65605:DDJ65606 DNF65605:DNF65606 DXB65605:DXB65606 EGX65605:EGX65606 EQT65605:EQT65606 FAP65605:FAP65606 FKL65605:FKL65606 FUH65605:FUH65606 GED65605:GED65606 GNZ65605:GNZ65606 GXV65605:GXV65606 HHR65605:HHR65606 HRN65605:HRN65606 IBJ65605:IBJ65606 ILF65605:ILF65606 IVB65605:IVB65606 JEX65605:JEX65606 JOT65605:JOT65606 JYP65605:JYP65606 KIL65605:KIL65606 KSH65605:KSH65606 LCD65605:LCD65606 LLZ65605:LLZ65606 LVV65605:LVV65606 MFR65605:MFR65606 MPN65605:MPN65606 MZJ65605:MZJ65606 NJF65605:NJF65606 NTB65605:NTB65606 OCX65605:OCX65606 OMT65605:OMT65606 OWP65605:OWP65606 PGL65605:PGL65606 PQH65605:PQH65606 QAD65605:QAD65606 QJZ65605:QJZ65606 QTV65605:QTV65606 RDR65605:RDR65606 RNN65605:RNN65606 RXJ65605:RXJ65606 SHF65605:SHF65606 SRB65605:SRB65606 TAX65605:TAX65606 TKT65605:TKT65606 TUP65605:TUP65606 UEL65605:UEL65606 UOH65605:UOH65606 UYD65605:UYD65606 VHZ65605:VHZ65606 VRV65605:VRV65606 WBR65605:WBR65606 WLN65605:WLN65606 WVJ65605:WVJ65606 B131141:B131142 IX131141:IX131142 ST131141:ST131142 ACP131141:ACP131142 AML131141:AML131142 AWH131141:AWH131142 BGD131141:BGD131142 BPZ131141:BPZ131142 BZV131141:BZV131142 CJR131141:CJR131142 CTN131141:CTN131142 DDJ131141:DDJ131142 DNF131141:DNF131142 DXB131141:DXB131142 EGX131141:EGX131142 EQT131141:EQT131142 FAP131141:FAP131142 FKL131141:FKL131142 FUH131141:FUH131142 GED131141:GED131142 GNZ131141:GNZ131142 GXV131141:GXV131142 HHR131141:HHR131142 HRN131141:HRN131142 IBJ131141:IBJ131142 ILF131141:ILF131142 IVB131141:IVB131142 JEX131141:JEX131142 JOT131141:JOT131142 JYP131141:JYP131142 KIL131141:KIL131142 KSH131141:KSH131142 LCD131141:LCD131142 LLZ131141:LLZ131142 LVV131141:LVV131142 MFR131141:MFR131142 MPN131141:MPN131142 MZJ131141:MZJ131142 NJF131141:NJF131142 NTB131141:NTB131142 OCX131141:OCX131142 OMT131141:OMT131142 OWP131141:OWP131142 PGL131141:PGL131142 PQH131141:PQH131142 QAD131141:QAD131142 QJZ131141:QJZ131142 QTV131141:QTV131142 RDR131141:RDR131142 RNN131141:RNN131142 RXJ131141:RXJ131142 SHF131141:SHF131142 SRB131141:SRB131142 TAX131141:TAX131142 TKT131141:TKT131142 TUP131141:TUP131142 UEL131141:UEL131142 UOH131141:UOH131142 UYD131141:UYD131142 VHZ131141:VHZ131142 VRV131141:VRV131142 WBR131141:WBR131142 WLN131141:WLN131142 WVJ131141:WVJ131142 B196677:B196678 IX196677:IX196678 ST196677:ST196678 ACP196677:ACP196678 AML196677:AML196678 AWH196677:AWH196678 BGD196677:BGD196678 BPZ196677:BPZ196678 BZV196677:BZV196678 CJR196677:CJR196678 CTN196677:CTN196678 DDJ196677:DDJ196678 DNF196677:DNF196678 DXB196677:DXB196678 EGX196677:EGX196678 EQT196677:EQT196678 FAP196677:FAP196678 FKL196677:FKL196678 FUH196677:FUH196678 GED196677:GED196678 GNZ196677:GNZ196678 GXV196677:GXV196678 HHR196677:HHR196678 HRN196677:HRN196678 IBJ196677:IBJ196678 ILF196677:ILF196678 IVB196677:IVB196678 JEX196677:JEX196678 JOT196677:JOT196678 JYP196677:JYP196678 KIL196677:KIL196678 KSH196677:KSH196678 LCD196677:LCD196678 LLZ196677:LLZ196678 LVV196677:LVV196678 MFR196677:MFR196678 MPN196677:MPN196678 MZJ196677:MZJ196678 NJF196677:NJF196678 NTB196677:NTB196678 OCX196677:OCX196678 OMT196677:OMT196678 OWP196677:OWP196678 PGL196677:PGL196678 PQH196677:PQH196678 QAD196677:QAD196678 QJZ196677:QJZ196678 QTV196677:QTV196678 RDR196677:RDR196678 RNN196677:RNN196678 RXJ196677:RXJ196678 SHF196677:SHF196678 SRB196677:SRB196678 TAX196677:TAX196678 TKT196677:TKT196678 TUP196677:TUP196678 UEL196677:UEL196678 UOH196677:UOH196678 UYD196677:UYD196678 VHZ196677:VHZ196678 VRV196677:VRV196678 WBR196677:WBR196678 WLN196677:WLN196678 WVJ196677:WVJ196678 B262213:B262214 IX262213:IX262214 ST262213:ST262214 ACP262213:ACP262214 AML262213:AML262214 AWH262213:AWH262214 BGD262213:BGD262214 BPZ262213:BPZ262214 BZV262213:BZV262214 CJR262213:CJR262214 CTN262213:CTN262214 DDJ262213:DDJ262214 DNF262213:DNF262214 DXB262213:DXB262214 EGX262213:EGX262214 EQT262213:EQT262214 FAP262213:FAP262214 FKL262213:FKL262214 FUH262213:FUH262214 GED262213:GED262214 GNZ262213:GNZ262214 GXV262213:GXV262214 HHR262213:HHR262214 HRN262213:HRN262214 IBJ262213:IBJ262214 ILF262213:ILF262214 IVB262213:IVB262214 JEX262213:JEX262214 JOT262213:JOT262214 JYP262213:JYP262214 KIL262213:KIL262214 KSH262213:KSH262214 LCD262213:LCD262214 LLZ262213:LLZ262214 LVV262213:LVV262214 MFR262213:MFR262214 MPN262213:MPN262214 MZJ262213:MZJ262214 NJF262213:NJF262214 NTB262213:NTB262214 OCX262213:OCX262214 OMT262213:OMT262214 OWP262213:OWP262214 PGL262213:PGL262214 PQH262213:PQH262214 QAD262213:QAD262214 QJZ262213:QJZ262214 QTV262213:QTV262214 RDR262213:RDR262214 RNN262213:RNN262214 RXJ262213:RXJ262214 SHF262213:SHF262214 SRB262213:SRB262214 TAX262213:TAX262214 TKT262213:TKT262214 TUP262213:TUP262214 UEL262213:UEL262214 UOH262213:UOH262214 UYD262213:UYD262214 VHZ262213:VHZ262214 VRV262213:VRV262214 WBR262213:WBR262214 WLN262213:WLN262214 WVJ262213:WVJ262214 B327749:B327750 IX327749:IX327750 ST327749:ST327750 ACP327749:ACP327750 AML327749:AML327750 AWH327749:AWH327750 BGD327749:BGD327750 BPZ327749:BPZ327750 BZV327749:BZV327750 CJR327749:CJR327750 CTN327749:CTN327750 DDJ327749:DDJ327750 DNF327749:DNF327750 DXB327749:DXB327750 EGX327749:EGX327750 EQT327749:EQT327750 FAP327749:FAP327750 FKL327749:FKL327750 FUH327749:FUH327750 GED327749:GED327750 GNZ327749:GNZ327750 GXV327749:GXV327750 HHR327749:HHR327750 HRN327749:HRN327750 IBJ327749:IBJ327750 ILF327749:ILF327750 IVB327749:IVB327750 JEX327749:JEX327750 JOT327749:JOT327750 JYP327749:JYP327750 KIL327749:KIL327750 KSH327749:KSH327750 LCD327749:LCD327750 LLZ327749:LLZ327750 LVV327749:LVV327750 MFR327749:MFR327750 MPN327749:MPN327750 MZJ327749:MZJ327750 NJF327749:NJF327750 NTB327749:NTB327750 OCX327749:OCX327750 OMT327749:OMT327750 OWP327749:OWP327750 PGL327749:PGL327750 PQH327749:PQH327750 QAD327749:QAD327750 QJZ327749:QJZ327750 QTV327749:QTV327750 RDR327749:RDR327750 RNN327749:RNN327750 RXJ327749:RXJ327750 SHF327749:SHF327750 SRB327749:SRB327750 TAX327749:TAX327750 TKT327749:TKT327750 TUP327749:TUP327750 UEL327749:UEL327750 UOH327749:UOH327750 UYD327749:UYD327750 VHZ327749:VHZ327750 VRV327749:VRV327750 WBR327749:WBR327750 WLN327749:WLN327750 WVJ327749:WVJ327750 B393285:B393286 IX393285:IX393286 ST393285:ST393286 ACP393285:ACP393286 AML393285:AML393286 AWH393285:AWH393286 BGD393285:BGD393286 BPZ393285:BPZ393286 BZV393285:BZV393286 CJR393285:CJR393286 CTN393285:CTN393286 DDJ393285:DDJ393286 DNF393285:DNF393286 DXB393285:DXB393286 EGX393285:EGX393286 EQT393285:EQT393286 FAP393285:FAP393286 FKL393285:FKL393286 FUH393285:FUH393286 GED393285:GED393286 GNZ393285:GNZ393286 GXV393285:GXV393286 HHR393285:HHR393286 HRN393285:HRN393286 IBJ393285:IBJ393286 ILF393285:ILF393286 IVB393285:IVB393286 JEX393285:JEX393286 JOT393285:JOT393286 JYP393285:JYP393286 KIL393285:KIL393286 KSH393285:KSH393286 LCD393285:LCD393286 LLZ393285:LLZ393286 LVV393285:LVV393286 MFR393285:MFR393286 MPN393285:MPN393286 MZJ393285:MZJ393286 NJF393285:NJF393286 NTB393285:NTB393286 OCX393285:OCX393286 OMT393285:OMT393286 OWP393285:OWP393286 PGL393285:PGL393286 PQH393285:PQH393286 QAD393285:QAD393286 QJZ393285:QJZ393286 QTV393285:QTV393286 RDR393285:RDR393286 RNN393285:RNN393286 RXJ393285:RXJ393286 SHF393285:SHF393286 SRB393285:SRB393286 TAX393285:TAX393286 TKT393285:TKT393286 TUP393285:TUP393286 UEL393285:UEL393286 UOH393285:UOH393286 UYD393285:UYD393286 VHZ393285:VHZ393286 VRV393285:VRV393286 WBR393285:WBR393286 WLN393285:WLN393286 WVJ393285:WVJ393286 B458821:B458822 IX458821:IX458822 ST458821:ST458822 ACP458821:ACP458822 AML458821:AML458822 AWH458821:AWH458822 BGD458821:BGD458822 BPZ458821:BPZ458822 BZV458821:BZV458822 CJR458821:CJR458822 CTN458821:CTN458822 DDJ458821:DDJ458822 DNF458821:DNF458822 DXB458821:DXB458822 EGX458821:EGX458822 EQT458821:EQT458822 FAP458821:FAP458822 FKL458821:FKL458822 FUH458821:FUH458822 GED458821:GED458822 GNZ458821:GNZ458822 GXV458821:GXV458822 HHR458821:HHR458822 HRN458821:HRN458822 IBJ458821:IBJ458822 ILF458821:ILF458822 IVB458821:IVB458822 JEX458821:JEX458822 JOT458821:JOT458822 JYP458821:JYP458822 KIL458821:KIL458822 KSH458821:KSH458822 LCD458821:LCD458822 LLZ458821:LLZ458822 LVV458821:LVV458822 MFR458821:MFR458822 MPN458821:MPN458822 MZJ458821:MZJ458822 NJF458821:NJF458822 NTB458821:NTB458822 OCX458821:OCX458822 OMT458821:OMT458822 OWP458821:OWP458822 PGL458821:PGL458822 PQH458821:PQH458822 QAD458821:QAD458822 QJZ458821:QJZ458822 QTV458821:QTV458822 RDR458821:RDR458822 RNN458821:RNN458822 RXJ458821:RXJ458822 SHF458821:SHF458822 SRB458821:SRB458822 TAX458821:TAX458822 TKT458821:TKT458822 TUP458821:TUP458822 UEL458821:UEL458822 UOH458821:UOH458822 UYD458821:UYD458822 VHZ458821:VHZ458822 VRV458821:VRV458822 WBR458821:WBR458822 WLN458821:WLN458822 WVJ458821:WVJ458822 B524357:B524358 IX524357:IX524358 ST524357:ST524358 ACP524357:ACP524358 AML524357:AML524358 AWH524357:AWH524358 BGD524357:BGD524358 BPZ524357:BPZ524358 BZV524357:BZV524358 CJR524357:CJR524358 CTN524357:CTN524358 DDJ524357:DDJ524358 DNF524357:DNF524358 DXB524357:DXB524358 EGX524357:EGX524358 EQT524357:EQT524358 FAP524357:FAP524358 FKL524357:FKL524358 FUH524357:FUH524358 GED524357:GED524358 GNZ524357:GNZ524358 GXV524357:GXV524358 HHR524357:HHR524358 HRN524357:HRN524358 IBJ524357:IBJ524358 ILF524357:ILF524358 IVB524357:IVB524358 JEX524357:JEX524358 JOT524357:JOT524358 JYP524357:JYP524358 KIL524357:KIL524358 KSH524357:KSH524358 LCD524357:LCD524358 LLZ524357:LLZ524358 LVV524357:LVV524358 MFR524357:MFR524358 MPN524357:MPN524358 MZJ524357:MZJ524358 NJF524357:NJF524358 NTB524357:NTB524358 OCX524357:OCX524358 OMT524357:OMT524358 OWP524357:OWP524358 PGL524357:PGL524358 PQH524357:PQH524358 QAD524357:QAD524358 QJZ524357:QJZ524358 QTV524357:QTV524358 RDR524357:RDR524358 RNN524357:RNN524358 RXJ524357:RXJ524358 SHF524357:SHF524358 SRB524357:SRB524358 TAX524357:TAX524358 TKT524357:TKT524358 TUP524357:TUP524358 UEL524357:UEL524358 UOH524357:UOH524358 UYD524357:UYD524358 VHZ524357:VHZ524358 VRV524357:VRV524358 WBR524357:WBR524358 WLN524357:WLN524358 WVJ524357:WVJ524358 B589893:B589894 IX589893:IX589894 ST589893:ST589894 ACP589893:ACP589894 AML589893:AML589894 AWH589893:AWH589894 BGD589893:BGD589894 BPZ589893:BPZ589894 BZV589893:BZV589894 CJR589893:CJR589894 CTN589893:CTN589894 DDJ589893:DDJ589894 DNF589893:DNF589894 DXB589893:DXB589894 EGX589893:EGX589894 EQT589893:EQT589894 FAP589893:FAP589894 FKL589893:FKL589894 FUH589893:FUH589894 GED589893:GED589894 GNZ589893:GNZ589894 GXV589893:GXV589894 HHR589893:HHR589894 HRN589893:HRN589894 IBJ589893:IBJ589894 ILF589893:ILF589894 IVB589893:IVB589894 JEX589893:JEX589894 JOT589893:JOT589894 JYP589893:JYP589894 KIL589893:KIL589894 KSH589893:KSH589894 LCD589893:LCD589894 LLZ589893:LLZ589894 LVV589893:LVV589894 MFR589893:MFR589894 MPN589893:MPN589894 MZJ589893:MZJ589894 NJF589893:NJF589894 NTB589893:NTB589894 OCX589893:OCX589894 OMT589893:OMT589894 OWP589893:OWP589894 PGL589893:PGL589894 PQH589893:PQH589894 QAD589893:QAD589894 QJZ589893:QJZ589894 QTV589893:QTV589894 RDR589893:RDR589894 RNN589893:RNN589894 RXJ589893:RXJ589894 SHF589893:SHF589894 SRB589893:SRB589894 TAX589893:TAX589894 TKT589893:TKT589894 TUP589893:TUP589894 UEL589893:UEL589894 UOH589893:UOH589894 UYD589893:UYD589894 VHZ589893:VHZ589894 VRV589893:VRV589894 WBR589893:WBR589894 WLN589893:WLN589894 WVJ589893:WVJ589894 B655429:B655430 IX655429:IX655430 ST655429:ST655430 ACP655429:ACP655430 AML655429:AML655430 AWH655429:AWH655430 BGD655429:BGD655430 BPZ655429:BPZ655430 BZV655429:BZV655430 CJR655429:CJR655430 CTN655429:CTN655430 DDJ655429:DDJ655430 DNF655429:DNF655430 DXB655429:DXB655430 EGX655429:EGX655430 EQT655429:EQT655430 FAP655429:FAP655430 FKL655429:FKL655430 FUH655429:FUH655430 GED655429:GED655430 GNZ655429:GNZ655430 GXV655429:GXV655430 HHR655429:HHR655430 HRN655429:HRN655430 IBJ655429:IBJ655430 ILF655429:ILF655430 IVB655429:IVB655430 JEX655429:JEX655430 JOT655429:JOT655430 JYP655429:JYP655430 KIL655429:KIL655430 KSH655429:KSH655430 LCD655429:LCD655430 LLZ655429:LLZ655430 LVV655429:LVV655430 MFR655429:MFR655430 MPN655429:MPN655430 MZJ655429:MZJ655430 NJF655429:NJF655430 NTB655429:NTB655430 OCX655429:OCX655430 OMT655429:OMT655430 OWP655429:OWP655430 PGL655429:PGL655430 PQH655429:PQH655430 QAD655429:QAD655430 QJZ655429:QJZ655430 QTV655429:QTV655430 RDR655429:RDR655430 RNN655429:RNN655430 RXJ655429:RXJ655430 SHF655429:SHF655430 SRB655429:SRB655430 TAX655429:TAX655430 TKT655429:TKT655430 TUP655429:TUP655430 UEL655429:UEL655430 UOH655429:UOH655430 UYD655429:UYD655430 VHZ655429:VHZ655430 VRV655429:VRV655430 WBR655429:WBR655430 WLN655429:WLN655430 WVJ655429:WVJ655430 B720965:B720966 IX720965:IX720966 ST720965:ST720966 ACP720965:ACP720966 AML720965:AML720966 AWH720965:AWH720966 BGD720965:BGD720966 BPZ720965:BPZ720966 BZV720965:BZV720966 CJR720965:CJR720966 CTN720965:CTN720966 DDJ720965:DDJ720966 DNF720965:DNF720966 DXB720965:DXB720966 EGX720965:EGX720966 EQT720965:EQT720966 FAP720965:FAP720966 FKL720965:FKL720966 FUH720965:FUH720966 GED720965:GED720966 GNZ720965:GNZ720966 GXV720965:GXV720966 HHR720965:HHR720966 HRN720965:HRN720966 IBJ720965:IBJ720966 ILF720965:ILF720966 IVB720965:IVB720966 JEX720965:JEX720966 JOT720965:JOT720966 JYP720965:JYP720966 KIL720965:KIL720966 KSH720965:KSH720966 LCD720965:LCD720966 LLZ720965:LLZ720966 LVV720965:LVV720966 MFR720965:MFR720966 MPN720965:MPN720966 MZJ720965:MZJ720966 NJF720965:NJF720966 NTB720965:NTB720966 OCX720965:OCX720966 OMT720965:OMT720966 OWP720965:OWP720966 PGL720965:PGL720966 PQH720965:PQH720966 QAD720965:QAD720966 QJZ720965:QJZ720966 QTV720965:QTV720966 RDR720965:RDR720966 RNN720965:RNN720966 RXJ720965:RXJ720966 SHF720965:SHF720966 SRB720965:SRB720966 TAX720965:TAX720966 TKT720965:TKT720966 TUP720965:TUP720966 UEL720965:UEL720966 UOH720965:UOH720966 UYD720965:UYD720966 VHZ720965:VHZ720966 VRV720965:VRV720966 WBR720965:WBR720966 WLN720965:WLN720966 WVJ720965:WVJ720966 B786501:B786502 IX786501:IX786502 ST786501:ST786502 ACP786501:ACP786502 AML786501:AML786502 AWH786501:AWH786502 BGD786501:BGD786502 BPZ786501:BPZ786502 BZV786501:BZV786502 CJR786501:CJR786502 CTN786501:CTN786502 DDJ786501:DDJ786502 DNF786501:DNF786502 DXB786501:DXB786502 EGX786501:EGX786502 EQT786501:EQT786502 FAP786501:FAP786502 FKL786501:FKL786502 FUH786501:FUH786502 GED786501:GED786502 GNZ786501:GNZ786502 GXV786501:GXV786502 HHR786501:HHR786502 HRN786501:HRN786502 IBJ786501:IBJ786502 ILF786501:ILF786502 IVB786501:IVB786502 JEX786501:JEX786502 JOT786501:JOT786502 JYP786501:JYP786502 KIL786501:KIL786502 KSH786501:KSH786502 LCD786501:LCD786502 LLZ786501:LLZ786502 LVV786501:LVV786502 MFR786501:MFR786502 MPN786501:MPN786502 MZJ786501:MZJ786502 NJF786501:NJF786502 NTB786501:NTB786502 OCX786501:OCX786502 OMT786501:OMT786502 OWP786501:OWP786502 PGL786501:PGL786502 PQH786501:PQH786502 QAD786501:QAD786502 QJZ786501:QJZ786502 QTV786501:QTV786502 RDR786501:RDR786502 RNN786501:RNN786502 RXJ786501:RXJ786502 SHF786501:SHF786502 SRB786501:SRB786502 TAX786501:TAX786502 TKT786501:TKT786502 TUP786501:TUP786502 UEL786501:UEL786502 UOH786501:UOH786502 UYD786501:UYD786502 VHZ786501:VHZ786502 VRV786501:VRV786502 WBR786501:WBR786502 WLN786501:WLN786502 WVJ786501:WVJ786502 B852037:B852038 IX852037:IX852038 ST852037:ST852038 ACP852037:ACP852038 AML852037:AML852038 AWH852037:AWH852038 BGD852037:BGD852038 BPZ852037:BPZ852038 BZV852037:BZV852038 CJR852037:CJR852038 CTN852037:CTN852038 DDJ852037:DDJ852038 DNF852037:DNF852038 DXB852037:DXB852038 EGX852037:EGX852038 EQT852037:EQT852038 FAP852037:FAP852038 FKL852037:FKL852038 FUH852037:FUH852038 GED852037:GED852038 GNZ852037:GNZ852038 GXV852037:GXV852038 HHR852037:HHR852038 HRN852037:HRN852038 IBJ852037:IBJ852038 ILF852037:ILF852038 IVB852037:IVB852038 JEX852037:JEX852038 JOT852037:JOT852038 JYP852037:JYP852038 KIL852037:KIL852038 KSH852037:KSH852038 LCD852037:LCD852038 LLZ852037:LLZ852038 LVV852037:LVV852038 MFR852037:MFR852038 MPN852037:MPN852038 MZJ852037:MZJ852038 NJF852037:NJF852038 NTB852037:NTB852038 OCX852037:OCX852038 OMT852037:OMT852038 OWP852037:OWP852038 PGL852037:PGL852038 PQH852037:PQH852038 QAD852037:QAD852038 QJZ852037:QJZ852038 QTV852037:QTV852038 RDR852037:RDR852038 RNN852037:RNN852038 RXJ852037:RXJ852038 SHF852037:SHF852038 SRB852037:SRB852038 TAX852037:TAX852038 TKT852037:TKT852038 TUP852037:TUP852038 UEL852037:UEL852038 UOH852037:UOH852038 UYD852037:UYD852038 VHZ852037:VHZ852038 VRV852037:VRV852038 WBR852037:WBR852038 WLN852037:WLN852038 WVJ852037:WVJ852038 B917573:B917574 IX917573:IX917574 ST917573:ST917574 ACP917573:ACP917574 AML917573:AML917574 AWH917573:AWH917574 BGD917573:BGD917574 BPZ917573:BPZ917574 BZV917573:BZV917574 CJR917573:CJR917574 CTN917573:CTN917574 DDJ917573:DDJ917574 DNF917573:DNF917574 DXB917573:DXB917574 EGX917573:EGX917574 EQT917573:EQT917574 FAP917573:FAP917574 FKL917573:FKL917574 FUH917573:FUH917574 GED917573:GED917574 GNZ917573:GNZ917574 GXV917573:GXV917574 HHR917573:HHR917574 HRN917573:HRN917574 IBJ917573:IBJ917574 ILF917573:ILF917574 IVB917573:IVB917574 JEX917573:JEX917574 JOT917573:JOT917574 JYP917573:JYP917574 KIL917573:KIL917574 KSH917573:KSH917574 LCD917573:LCD917574 LLZ917573:LLZ917574 LVV917573:LVV917574 MFR917573:MFR917574 MPN917573:MPN917574 MZJ917573:MZJ917574 NJF917573:NJF917574 NTB917573:NTB917574 OCX917573:OCX917574 OMT917573:OMT917574 OWP917573:OWP917574 PGL917573:PGL917574 PQH917573:PQH917574 QAD917573:QAD917574 QJZ917573:QJZ917574 QTV917573:QTV917574 RDR917573:RDR917574 RNN917573:RNN917574 RXJ917573:RXJ917574 SHF917573:SHF917574 SRB917573:SRB917574 TAX917573:TAX917574 TKT917573:TKT917574 TUP917573:TUP917574 UEL917573:UEL917574 UOH917573:UOH917574 UYD917573:UYD917574 VHZ917573:VHZ917574 VRV917573:VRV917574 WBR917573:WBR917574 WLN917573:WLN917574 WVJ917573:WVJ917574 B983109:B983110 IX983109:IX983110 ST983109:ST983110 ACP983109:ACP983110 AML983109:AML983110 AWH983109:AWH983110 BGD983109:BGD983110 BPZ983109:BPZ983110 BZV983109:BZV983110 CJR983109:CJR983110 CTN983109:CTN983110 DDJ983109:DDJ983110 DNF983109:DNF983110 DXB983109:DXB983110 EGX983109:EGX983110 EQT983109:EQT983110 FAP983109:FAP983110 FKL983109:FKL983110 FUH983109:FUH983110 GED983109:GED983110 GNZ983109:GNZ983110 GXV983109:GXV983110 HHR983109:HHR983110 HRN983109:HRN983110 IBJ983109:IBJ983110 ILF983109:ILF983110 IVB983109:IVB983110 JEX983109:JEX983110 JOT983109:JOT983110 JYP983109:JYP983110 KIL983109:KIL983110 KSH983109:KSH983110 LCD983109:LCD983110 LLZ983109:LLZ983110 LVV983109:LVV983110 MFR983109:MFR983110 MPN983109:MPN983110 MZJ983109:MZJ983110 NJF983109:NJF983110 NTB983109:NTB983110 OCX983109:OCX983110 OMT983109:OMT983110 OWP983109:OWP983110 PGL983109:PGL983110 PQH983109:PQH983110 QAD983109:QAD983110 QJZ983109:QJZ983110 QTV983109:QTV983110 RDR983109:RDR983110 RNN983109:RNN983110 RXJ983109:RXJ983110 SHF983109:SHF983110 SRB983109:SRB983110 TAX983109:TAX983110 TKT983109:TKT983110 TUP983109:TUP983110 UEL983109:UEL983110 UOH983109:UOH983110 UYD983109:UYD983110 VHZ983109:VHZ983110 VRV983109:VRV983110 WBR983109:WBR983110 WLN983109:WLN983110 WVJ983109:WVJ983110">
      <formula1>-1E+21</formula1>
    </dataValidation>
  </dataValidations>
  <pageMargins left="0.75" right="0.75" top="0.49" bottom="0.4" header="0.35" footer="0.28999999999999998"/>
  <pageSetup paperSize="9" scale="69" orientation="portrait" r:id="rId1"/>
  <headerFooter alignWithMargins="0"/>
</worksheet>
</file>

<file path=xl/worksheets/sheet3.xml><?xml version="1.0" encoding="utf-8"?>
<worksheet xmlns="http://schemas.openxmlformats.org/spreadsheetml/2006/main" xmlns:r="http://schemas.openxmlformats.org/officeDocument/2006/relationships">
  <sheetPr codeName="Лист3"/>
  <dimension ref="A1:G97"/>
  <sheetViews>
    <sheetView workbookViewId="0">
      <selection activeCell="B13" sqref="B13"/>
    </sheetView>
  </sheetViews>
  <sheetFormatPr defaultRowHeight="15"/>
  <cols>
    <col min="1" max="1" width="59" style="52" customWidth="1"/>
    <col min="2" max="2" width="41" style="52" customWidth="1"/>
    <col min="3" max="3" width="6.42578125" style="52" customWidth="1"/>
    <col min="4" max="4" width="18" customWidth="1"/>
    <col min="5" max="7" width="6.42578125" style="52" customWidth="1"/>
    <col min="8" max="8" width="14.28515625" style="52" customWidth="1"/>
    <col min="9" max="9" width="6.42578125" style="52" customWidth="1"/>
    <col min="10" max="16384" width="9.140625" style="52"/>
  </cols>
  <sheetData>
    <row r="1" spans="1:7" ht="63.75">
      <c r="B1" s="613" t="s">
        <v>2277</v>
      </c>
    </row>
    <row r="2" spans="1:7" ht="15.75">
      <c r="A2" s="50" t="s">
        <v>1728</v>
      </c>
      <c r="B2" s="701" t="s">
        <v>2665</v>
      </c>
      <c r="C2" s="51"/>
      <c r="E2" s="51"/>
      <c r="F2" s="51"/>
      <c r="G2" s="51"/>
    </row>
    <row r="3" spans="1:7" ht="15.75" thickBot="1">
      <c r="A3" s="372" t="s">
        <v>379</v>
      </c>
      <c r="B3" s="53"/>
      <c r="C3" s="51"/>
      <c r="E3" s="51"/>
      <c r="F3" s="51"/>
      <c r="G3" s="51"/>
    </row>
    <row r="4" spans="1:7">
      <c r="A4" s="198" t="s">
        <v>1403</v>
      </c>
      <c r="B4" s="199" t="s">
        <v>678</v>
      </c>
      <c r="C4" s="51"/>
      <c r="E4" s="51"/>
      <c r="F4" s="51"/>
      <c r="G4" s="51"/>
    </row>
    <row r="5" spans="1:7">
      <c r="A5" s="246" t="s">
        <v>1404</v>
      </c>
      <c r="B5" s="247"/>
      <c r="C5" s="51"/>
      <c r="E5" s="51"/>
      <c r="F5" s="51"/>
      <c r="G5" s="51"/>
    </row>
    <row r="6" spans="1:7">
      <c r="A6" s="248" t="s">
        <v>1150</v>
      </c>
      <c r="B6" s="353" t="s">
        <v>867</v>
      </c>
      <c r="C6" s="51"/>
      <c r="E6" s="51"/>
      <c r="F6" s="51"/>
      <c r="G6" s="51"/>
    </row>
    <row r="7" spans="1:7">
      <c r="A7" s="248" t="s">
        <v>834</v>
      </c>
      <c r="B7" s="353" t="s">
        <v>868</v>
      </c>
      <c r="C7" s="51"/>
      <c r="E7" s="51"/>
      <c r="F7" s="51"/>
      <c r="G7" s="51"/>
    </row>
    <row r="8" spans="1:7">
      <c r="A8" s="248" t="s">
        <v>759</v>
      </c>
      <c r="B8" s="353" t="s">
        <v>869</v>
      </c>
      <c r="C8" s="54"/>
      <c r="E8" s="51"/>
      <c r="F8" s="51"/>
      <c r="G8" s="51"/>
    </row>
    <row r="9" spans="1:7">
      <c r="A9" s="248" t="s">
        <v>1903</v>
      </c>
      <c r="B9" s="353" t="s">
        <v>870</v>
      </c>
      <c r="C9" s="55"/>
      <c r="E9" s="51"/>
      <c r="F9" s="51"/>
      <c r="G9" s="51"/>
    </row>
    <row r="10" spans="1:7">
      <c r="A10" s="248" t="s">
        <v>289</v>
      </c>
      <c r="B10" s="353" t="s">
        <v>871</v>
      </c>
      <c r="C10" s="55"/>
      <c r="E10" s="51"/>
      <c r="F10" s="51"/>
      <c r="G10" s="51"/>
    </row>
    <row r="11" spans="1:7">
      <c r="A11" s="248" t="s">
        <v>1944</v>
      </c>
      <c r="B11" s="353" t="s">
        <v>2206</v>
      </c>
      <c r="C11" s="51"/>
      <c r="E11" s="51"/>
      <c r="F11" s="51"/>
      <c r="G11" s="51"/>
    </row>
    <row r="12" spans="1:7">
      <c r="A12" s="248" t="s">
        <v>2017</v>
      </c>
      <c r="B12" s="353" t="s">
        <v>1594</v>
      </c>
      <c r="C12" s="51"/>
      <c r="E12" s="51"/>
      <c r="F12" s="51"/>
      <c r="G12" s="51"/>
    </row>
    <row r="13" spans="1:7">
      <c r="A13" s="248" t="s">
        <v>1894</v>
      </c>
      <c r="B13" s="353" t="s">
        <v>1784</v>
      </c>
      <c r="C13" s="51"/>
      <c r="E13" s="51"/>
      <c r="F13" s="51"/>
      <c r="G13" s="51"/>
    </row>
    <row r="14" spans="1:7">
      <c r="A14" s="246" t="s">
        <v>1895</v>
      </c>
      <c r="B14" s="249">
        <f>SUM(B6:B13)</f>
        <v>0</v>
      </c>
      <c r="C14" s="51"/>
      <c r="E14" s="51"/>
      <c r="F14" s="51"/>
      <c r="G14" s="51"/>
    </row>
    <row r="15" spans="1:7">
      <c r="A15" s="250"/>
      <c r="B15" s="249"/>
      <c r="C15" s="51"/>
      <c r="E15" s="51"/>
      <c r="F15" s="51"/>
      <c r="G15" s="51"/>
    </row>
    <row r="16" spans="1:7">
      <c r="A16" s="246" t="s">
        <v>1133</v>
      </c>
      <c r="B16" s="251"/>
      <c r="C16" s="51"/>
      <c r="E16" s="51"/>
      <c r="F16" s="51"/>
      <c r="G16" s="51"/>
    </row>
    <row r="17" spans="1:7">
      <c r="A17" s="250" t="s">
        <v>1134</v>
      </c>
      <c r="B17" s="353" t="s">
        <v>62</v>
      </c>
      <c r="C17" s="51"/>
      <c r="E17" s="51"/>
      <c r="F17" s="51"/>
      <c r="G17" s="51"/>
    </row>
    <row r="18" spans="1:7">
      <c r="A18" s="250" t="s">
        <v>1135</v>
      </c>
      <c r="B18" s="353" t="s">
        <v>63</v>
      </c>
      <c r="C18" s="51"/>
      <c r="E18" s="51"/>
      <c r="F18" s="51"/>
      <c r="G18" s="51"/>
    </row>
    <row r="19" spans="1:7">
      <c r="A19" s="246" t="s">
        <v>760</v>
      </c>
      <c r="B19" s="249">
        <f>SUM(B17:B18)</f>
        <v>0</v>
      </c>
      <c r="C19" s="51"/>
      <c r="E19" s="51"/>
      <c r="F19" s="51"/>
      <c r="G19" s="51"/>
    </row>
    <row r="20" spans="1:7">
      <c r="A20" s="250"/>
      <c r="B20" s="249"/>
      <c r="C20" s="51"/>
      <c r="E20" s="51"/>
      <c r="F20" s="51"/>
      <c r="G20" s="51"/>
    </row>
    <row r="21" spans="1:7">
      <c r="A21" s="246" t="s">
        <v>927</v>
      </c>
      <c r="B21" s="251"/>
      <c r="C21" s="51"/>
      <c r="E21" s="51"/>
      <c r="F21" s="51"/>
      <c r="G21" s="51"/>
    </row>
    <row r="22" spans="1:7">
      <c r="A22" s="250" t="s">
        <v>2161</v>
      </c>
      <c r="B22" s="353" t="s">
        <v>163</v>
      </c>
      <c r="C22" s="51"/>
      <c r="E22" s="51"/>
      <c r="F22" s="51"/>
      <c r="G22" s="51"/>
    </row>
    <row r="23" spans="1:7">
      <c r="A23" s="250" t="s">
        <v>2162</v>
      </c>
      <c r="B23" s="353" t="s">
        <v>164</v>
      </c>
      <c r="C23" s="51"/>
      <c r="E23" s="51"/>
      <c r="F23" s="51"/>
      <c r="G23" s="51"/>
    </row>
    <row r="24" spans="1:7">
      <c r="A24" s="250" t="s">
        <v>875</v>
      </c>
      <c r="B24" s="353" t="s">
        <v>1010</v>
      </c>
      <c r="C24" s="51"/>
      <c r="E24" s="51"/>
      <c r="F24" s="51"/>
      <c r="G24" s="51"/>
    </row>
    <row r="25" spans="1:7">
      <c r="A25" s="250" t="s">
        <v>1419</v>
      </c>
      <c r="B25" s="353" t="s">
        <v>1011</v>
      </c>
      <c r="C25" s="51"/>
      <c r="E25" s="51"/>
      <c r="F25" s="51"/>
      <c r="G25" s="51"/>
    </row>
    <row r="26" spans="1:7">
      <c r="A26" s="250" t="s">
        <v>1420</v>
      </c>
      <c r="B26" s="353"/>
      <c r="C26" s="51"/>
      <c r="E26" s="51"/>
      <c r="F26" s="51"/>
      <c r="G26" s="51"/>
    </row>
    <row r="27" spans="1:7">
      <c r="A27" s="250" t="s">
        <v>1421</v>
      </c>
      <c r="B27" s="353" t="s">
        <v>1012</v>
      </c>
      <c r="C27" s="51"/>
      <c r="E27" s="51"/>
      <c r="F27" s="51"/>
      <c r="G27" s="51"/>
    </row>
    <row r="28" spans="1:7">
      <c r="A28" s="246" t="s">
        <v>77</v>
      </c>
      <c r="B28" s="249">
        <f>SUM(B22:B27)</f>
        <v>0</v>
      </c>
      <c r="C28" s="51"/>
      <c r="E28" s="51"/>
      <c r="F28" s="51"/>
      <c r="G28" s="51"/>
    </row>
    <row r="29" spans="1:7">
      <c r="A29" s="250"/>
      <c r="B29" s="249"/>
      <c r="C29" s="51"/>
      <c r="E29" s="51"/>
      <c r="F29" s="51"/>
      <c r="G29" s="51"/>
    </row>
    <row r="30" spans="1:7">
      <c r="A30" s="246" t="s">
        <v>78</v>
      </c>
      <c r="B30" s="251"/>
      <c r="C30" s="51"/>
      <c r="E30" s="51"/>
      <c r="F30" s="51"/>
      <c r="G30" s="51"/>
    </row>
    <row r="31" spans="1:7">
      <c r="A31" s="252" t="s">
        <v>79</v>
      </c>
      <c r="B31" s="353" t="s">
        <v>1137</v>
      </c>
      <c r="C31" s="51"/>
      <c r="E31" s="51"/>
      <c r="F31" s="51"/>
      <c r="G31" s="51"/>
    </row>
    <row r="32" spans="1:7">
      <c r="A32" s="248" t="s">
        <v>2162</v>
      </c>
      <c r="B32" s="353" t="s">
        <v>761</v>
      </c>
      <c r="C32" s="51"/>
      <c r="E32" s="51"/>
      <c r="F32" s="51"/>
      <c r="G32" s="51"/>
    </row>
    <row r="33" spans="1:7">
      <c r="A33" s="248" t="s">
        <v>80</v>
      </c>
      <c r="B33" s="353" t="s">
        <v>762</v>
      </c>
      <c r="C33" s="51"/>
      <c r="E33" s="51"/>
      <c r="F33" s="51"/>
      <c r="G33" s="51"/>
    </row>
    <row r="34" spans="1:7">
      <c r="A34" s="248" t="s">
        <v>247</v>
      </c>
      <c r="B34" s="353" t="s">
        <v>974</v>
      </c>
      <c r="C34" s="51"/>
      <c r="E34" s="51"/>
      <c r="F34" s="51"/>
      <c r="G34" s="51"/>
    </row>
    <row r="35" spans="1:7">
      <c r="A35" s="248" t="s">
        <v>1339</v>
      </c>
      <c r="B35" s="353" t="s">
        <v>975</v>
      </c>
      <c r="C35" s="51"/>
      <c r="E35" s="51"/>
      <c r="F35" s="51"/>
      <c r="G35" s="51"/>
    </row>
    <row r="36" spans="1:7">
      <c r="A36" s="246" t="s">
        <v>472</v>
      </c>
      <c r="B36" s="249">
        <f>SUM(B31:B35)</f>
        <v>0</v>
      </c>
      <c r="C36" s="51"/>
      <c r="E36" s="51"/>
      <c r="F36" s="51"/>
      <c r="G36" s="51"/>
    </row>
    <row r="37" spans="1:7">
      <c r="A37" s="250"/>
      <c r="B37" s="249"/>
      <c r="C37" s="51"/>
      <c r="E37" s="51"/>
      <c r="F37" s="51"/>
      <c r="G37" s="51"/>
    </row>
    <row r="38" spans="1:7">
      <c r="A38" s="246" t="s">
        <v>473</v>
      </c>
      <c r="B38" s="251"/>
      <c r="C38" s="51"/>
      <c r="E38" s="51"/>
      <c r="F38" s="51"/>
      <c r="G38" s="51"/>
    </row>
    <row r="39" spans="1:7">
      <c r="A39" s="253" t="s">
        <v>828</v>
      </c>
      <c r="B39" s="353" t="s">
        <v>385</v>
      </c>
      <c r="C39" s="51"/>
      <c r="E39" s="51"/>
      <c r="F39" s="51"/>
      <c r="G39" s="51"/>
    </row>
    <row r="40" spans="1:7">
      <c r="A40" s="254" t="s">
        <v>783</v>
      </c>
      <c r="B40" s="353" t="s">
        <v>360</v>
      </c>
      <c r="C40" s="51"/>
      <c r="E40" s="51"/>
      <c r="F40" s="51"/>
      <c r="G40" s="51"/>
    </row>
    <row r="41" spans="1:7">
      <c r="A41" s="250"/>
      <c r="B41" s="249"/>
      <c r="C41" s="51"/>
      <c r="E41" s="51"/>
      <c r="F41" s="51"/>
      <c r="G41" s="51"/>
    </row>
    <row r="42" spans="1:7">
      <c r="A42" s="246" t="s">
        <v>784</v>
      </c>
      <c r="B42" s="255" t="e">
        <f>B14+B19+B28+B36+B39+B40</f>
        <v>#VALUE!</v>
      </c>
      <c r="C42" s="51"/>
      <c r="E42" s="51"/>
      <c r="F42" s="51"/>
      <c r="G42" s="51"/>
    </row>
    <row r="43" spans="1:7">
      <c r="A43" s="250"/>
      <c r="B43" s="249"/>
      <c r="C43" s="51"/>
      <c r="E43" s="51"/>
      <c r="F43" s="51"/>
      <c r="G43" s="51"/>
    </row>
    <row r="44" spans="1:7">
      <c r="A44" s="246" t="s">
        <v>785</v>
      </c>
      <c r="B44" s="256"/>
      <c r="C44" s="51"/>
      <c r="E44" s="51"/>
      <c r="F44" s="51"/>
      <c r="G44" s="51"/>
    </row>
    <row r="45" spans="1:7">
      <c r="A45" s="246" t="s">
        <v>994</v>
      </c>
      <c r="B45" s="249"/>
      <c r="C45" s="51"/>
      <c r="E45" s="51"/>
      <c r="F45" s="51"/>
      <c r="G45" s="51"/>
    </row>
    <row r="46" spans="1:7">
      <c r="A46" s="250" t="s">
        <v>995</v>
      </c>
      <c r="B46" s="353" t="s">
        <v>2105</v>
      </c>
      <c r="C46" s="51"/>
      <c r="E46" s="51"/>
      <c r="F46" s="51"/>
      <c r="G46" s="51"/>
    </row>
    <row r="47" spans="1:7">
      <c r="A47" s="250" t="s">
        <v>996</v>
      </c>
      <c r="B47" s="353" t="s">
        <v>2192</v>
      </c>
      <c r="C47" s="51"/>
      <c r="E47" s="51"/>
      <c r="F47" s="51"/>
      <c r="G47" s="51"/>
    </row>
    <row r="48" spans="1:7">
      <c r="A48" s="250" t="s">
        <v>997</v>
      </c>
      <c r="B48" s="353" t="s">
        <v>1937</v>
      </c>
      <c r="C48" s="51"/>
      <c r="E48" s="51"/>
      <c r="F48" s="51"/>
      <c r="G48" s="51"/>
    </row>
    <row r="49" spans="1:7">
      <c r="A49" s="250" t="s">
        <v>998</v>
      </c>
      <c r="B49" s="353" t="s">
        <v>1938</v>
      </c>
      <c r="C49" s="51"/>
      <c r="E49" s="51"/>
      <c r="F49" s="51"/>
      <c r="G49" s="51"/>
    </row>
    <row r="50" spans="1:7">
      <c r="A50" s="250" t="s">
        <v>999</v>
      </c>
      <c r="B50" s="353" t="s">
        <v>1939</v>
      </c>
      <c r="C50" s="51"/>
      <c r="E50" s="51"/>
      <c r="F50" s="51"/>
      <c r="G50" s="51"/>
    </row>
    <row r="51" spans="1:7">
      <c r="A51" s="250" t="s">
        <v>687</v>
      </c>
      <c r="B51" s="353" t="s">
        <v>1940</v>
      </c>
      <c r="C51" s="51"/>
      <c r="E51" s="51"/>
      <c r="F51" s="51"/>
      <c r="G51" s="51"/>
    </row>
    <row r="52" spans="1:7">
      <c r="A52" s="250" t="s">
        <v>1344</v>
      </c>
      <c r="B52" s="249">
        <f>SUM(B46:B51)</f>
        <v>0</v>
      </c>
      <c r="C52" s="51"/>
      <c r="E52" s="51"/>
      <c r="F52" s="51"/>
      <c r="G52" s="51"/>
    </row>
    <row r="53" spans="1:7">
      <c r="A53" s="250"/>
      <c r="B53" s="249"/>
      <c r="C53" s="51"/>
      <c r="E53" s="51"/>
      <c r="F53" s="51"/>
      <c r="G53" s="51"/>
    </row>
    <row r="54" spans="1:7">
      <c r="A54" s="246" t="s">
        <v>275</v>
      </c>
      <c r="B54" s="256"/>
      <c r="C54" s="51"/>
      <c r="E54" s="51"/>
      <c r="F54" s="51"/>
      <c r="G54" s="51"/>
    </row>
    <row r="55" spans="1:7">
      <c r="A55" s="250" t="s">
        <v>995</v>
      </c>
      <c r="B55" s="353" t="s">
        <v>361</v>
      </c>
      <c r="C55" s="51"/>
      <c r="E55" s="51"/>
      <c r="F55" s="51"/>
      <c r="G55" s="51"/>
    </row>
    <row r="56" spans="1:7">
      <c r="A56" s="250" t="s">
        <v>996</v>
      </c>
      <c r="B56" s="353" t="s">
        <v>2191</v>
      </c>
      <c r="C56" s="51"/>
      <c r="E56" s="51"/>
      <c r="F56" s="51"/>
      <c r="G56" s="51"/>
    </row>
    <row r="57" spans="1:7">
      <c r="A57" s="250" t="s">
        <v>997</v>
      </c>
      <c r="B57" s="353" t="s">
        <v>2087</v>
      </c>
      <c r="C57" s="51"/>
      <c r="E57" s="51"/>
      <c r="F57" s="51"/>
      <c r="G57" s="51"/>
    </row>
    <row r="58" spans="1:7">
      <c r="A58" s="250" t="s">
        <v>998</v>
      </c>
      <c r="B58" s="353" t="s">
        <v>2088</v>
      </c>
      <c r="C58" s="51"/>
      <c r="E58" s="51"/>
      <c r="F58" s="51"/>
      <c r="G58" s="51"/>
    </row>
    <row r="59" spans="1:7">
      <c r="A59" s="250" t="s">
        <v>999</v>
      </c>
      <c r="B59" s="353" t="s">
        <v>1753</v>
      </c>
      <c r="C59" s="51"/>
      <c r="E59" s="51"/>
      <c r="F59" s="51"/>
      <c r="G59" s="51"/>
    </row>
    <row r="60" spans="1:7">
      <c r="A60" s="250" t="s">
        <v>687</v>
      </c>
      <c r="B60" s="353" t="s">
        <v>679</v>
      </c>
      <c r="C60" s="51"/>
      <c r="E60" s="51"/>
      <c r="F60" s="51"/>
      <c r="G60" s="51"/>
    </row>
    <row r="61" spans="1:7" ht="13.5" customHeight="1">
      <c r="A61" s="250" t="s">
        <v>276</v>
      </c>
      <c r="B61" s="249">
        <f>SUM(B55:B60)</f>
        <v>0</v>
      </c>
      <c r="C61" s="51"/>
      <c r="E61" s="51"/>
      <c r="F61" s="51"/>
      <c r="G61" s="51"/>
    </row>
    <row r="62" spans="1:7">
      <c r="A62" s="250"/>
      <c r="B62" s="249"/>
      <c r="C62" s="51"/>
      <c r="E62" s="51"/>
      <c r="F62" s="51"/>
      <c r="G62" s="51"/>
    </row>
    <row r="63" spans="1:7">
      <c r="A63" s="246" t="s">
        <v>277</v>
      </c>
      <c r="B63" s="256"/>
      <c r="C63" s="51"/>
      <c r="E63" s="51"/>
      <c r="F63" s="51"/>
      <c r="G63" s="51"/>
    </row>
    <row r="64" spans="1:7">
      <c r="A64" s="250" t="s">
        <v>995</v>
      </c>
      <c r="B64" s="353" t="s">
        <v>680</v>
      </c>
      <c r="C64" s="51"/>
      <c r="E64" s="51"/>
      <c r="F64" s="51"/>
      <c r="G64" s="51"/>
    </row>
    <row r="65" spans="1:7">
      <c r="A65" s="250" t="s">
        <v>996</v>
      </c>
      <c r="B65" s="353" t="s">
        <v>1754</v>
      </c>
      <c r="C65" s="51"/>
      <c r="E65" s="51"/>
      <c r="F65" s="51"/>
      <c r="G65" s="51"/>
    </row>
    <row r="66" spans="1:7">
      <c r="A66" s="250" t="s">
        <v>997</v>
      </c>
      <c r="B66" s="353" t="s">
        <v>1755</v>
      </c>
      <c r="C66" s="51"/>
      <c r="E66" s="51"/>
      <c r="F66" s="51"/>
      <c r="G66" s="51"/>
    </row>
    <row r="67" spans="1:7">
      <c r="A67" s="250" t="s">
        <v>998</v>
      </c>
      <c r="B67" s="353" t="s">
        <v>1756</v>
      </c>
      <c r="C67" s="51"/>
      <c r="E67" s="51"/>
      <c r="F67" s="51"/>
      <c r="G67" s="51"/>
    </row>
    <row r="68" spans="1:7">
      <c r="A68" s="250" t="s">
        <v>999</v>
      </c>
      <c r="B68" s="353" t="s">
        <v>2177</v>
      </c>
      <c r="C68" s="51"/>
      <c r="E68" s="51"/>
      <c r="F68" s="51"/>
      <c r="G68" s="51"/>
    </row>
    <row r="69" spans="1:7">
      <c r="A69" s="250" t="s">
        <v>687</v>
      </c>
      <c r="B69" s="353" t="s">
        <v>681</v>
      </c>
      <c r="C69" s="51"/>
      <c r="E69" s="51"/>
      <c r="F69" s="51"/>
      <c r="G69" s="51"/>
    </row>
    <row r="70" spans="1:7">
      <c r="A70" s="250" t="s">
        <v>373</v>
      </c>
      <c r="B70" s="249">
        <f>SUM(B64:B69)</f>
        <v>0</v>
      </c>
      <c r="C70" s="51"/>
      <c r="E70" s="51"/>
      <c r="F70" s="51"/>
      <c r="G70" s="51"/>
    </row>
    <row r="71" spans="1:7">
      <c r="A71" s="250"/>
      <c r="B71" s="249"/>
      <c r="C71" s="51"/>
      <c r="E71" s="51"/>
      <c r="F71" s="51"/>
      <c r="G71" s="51"/>
    </row>
    <row r="72" spans="1:7">
      <c r="A72" s="246" t="s">
        <v>902</v>
      </c>
      <c r="B72" s="249">
        <f>B52+B61+B70</f>
        <v>0</v>
      </c>
      <c r="C72" s="51"/>
      <c r="E72" s="51"/>
      <c r="F72" s="51"/>
      <c r="G72" s="51"/>
    </row>
    <row r="73" spans="1:7">
      <c r="A73" s="250"/>
      <c r="B73" s="249"/>
      <c r="C73" s="51"/>
      <c r="E73" s="51"/>
      <c r="F73" s="51"/>
      <c r="G73" s="51"/>
    </row>
    <row r="74" spans="1:7">
      <c r="A74" s="246" t="s">
        <v>1690</v>
      </c>
      <c r="B74" s="256"/>
      <c r="C74" s="51"/>
      <c r="E74" s="51"/>
      <c r="F74" s="51"/>
      <c r="G74" s="51"/>
    </row>
    <row r="75" spans="1:7">
      <c r="A75" s="250" t="s">
        <v>1691</v>
      </c>
      <c r="B75" s="353" t="s">
        <v>75</v>
      </c>
      <c r="C75" s="51"/>
      <c r="E75" s="51"/>
      <c r="F75" s="51"/>
      <c r="G75" s="51"/>
    </row>
    <row r="76" spans="1:7">
      <c r="A76" s="254" t="s">
        <v>1692</v>
      </c>
      <c r="B76" s="543" t="s">
        <v>1785</v>
      </c>
      <c r="C76" s="51"/>
      <c r="E76" s="51"/>
      <c r="F76" s="51"/>
      <c r="G76" s="51"/>
    </row>
    <row r="77" spans="1:7">
      <c r="A77" s="253" t="s">
        <v>1673</v>
      </c>
      <c r="B77" s="543" t="s">
        <v>1208</v>
      </c>
      <c r="C77" s="51"/>
      <c r="E77" s="51"/>
      <c r="F77" s="51"/>
      <c r="G77" s="51"/>
    </row>
    <row r="78" spans="1:7">
      <c r="A78" s="254" t="s">
        <v>1879</v>
      </c>
      <c r="B78" s="543" t="s">
        <v>1786</v>
      </c>
      <c r="C78" s="51"/>
      <c r="E78" s="51"/>
      <c r="F78" s="51"/>
      <c r="G78" s="51"/>
    </row>
    <row r="79" spans="1:7">
      <c r="A79" s="257" t="s">
        <v>1340</v>
      </c>
      <c r="B79" s="249">
        <f>SUM(B75:B78)</f>
        <v>0</v>
      </c>
      <c r="C79" s="51"/>
      <c r="E79" s="51"/>
      <c r="F79" s="51"/>
      <c r="G79" s="51"/>
    </row>
    <row r="80" spans="1:7">
      <c r="A80" s="250"/>
      <c r="B80" s="249"/>
      <c r="C80" s="51"/>
      <c r="E80" s="51"/>
      <c r="F80" s="51"/>
      <c r="G80" s="51"/>
    </row>
    <row r="81" spans="1:7" ht="15.75" thickBot="1">
      <c r="A81" s="258" t="s">
        <v>1341</v>
      </c>
      <c r="B81" s="259">
        <f>B72+B79</f>
        <v>0</v>
      </c>
      <c r="C81" s="51"/>
      <c r="E81" s="51"/>
      <c r="F81" s="51"/>
      <c r="G81" s="51"/>
    </row>
    <row r="82" spans="1:7">
      <c r="C82" s="51"/>
      <c r="E82" s="51"/>
      <c r="F82" s="51"/>
      <c r="G82" s="51"/>
    </row>
    <row r="83" spans="1:7">
      <c r="A83" s="56" t="s">
        <v>102</v>
      </c>
      <c r="C83" s="51"/>
      <c r="E83" s="51"/>
      <c r="F83" s="51"/>
      <c r="G83" s="51"/>
    </row>
    <row r="84" spans="1:7">
      <c r="A84" s="56" t="s">
        <v>1198</v>
      </c>
      <c r="C84" s="51"/>
      <c r="E84" s="51"/>
      <c r="F84" s="51"/>
      <c r="G84" s="51"/>
    </row>
    <row r="85" spans="1:7">
      <c r="C85" s="51"/>
      <c r="E85" s="51"/>
      <c r="F85" s="51"/>
      <c r="G85" s="51"/>
    </row>
    <row r="86" spans="1:7">
      <c r="C86" s="51"/>
      <c r="E86" s="51"/>
      <c r="F86" s="51"/>
      <c r="G86" s="51"/>
    </row>
    <row r="87" spans="1:7">
      <c r="C87" s="51"/>
      <c r="E87" s="51"/>
      <c r="F87" s="51"/>
      <c r="G87" s="51"/>
    </row>
    <row r="88" spans="1:7">
      <c r="C88" s="51"/>
      <c r="E88" s="51"/>
      <c r="F88" s="51"/>
      <c r="G88" s="51"/>
    </row>
    <row r="89" spans="1:7">
      <c r="C89" s="51"/>
      <c r="E89" s="51"/>
      <c r="F89" s="51"/>
      <c r="G89" s="51"/>
    </row>
    <row r="90" spans="1:7">
      <c r="C90" s="51"/>
      <c r="E90" s="51"/>
      <c r="F90" s="51"/>
      <c r="G90" s="51"/>
    </row>
    <row r="91" spans="1:7">
      <c r="C91" s="51"/>
      <c r="E91" s="51"/>
      <c r="F91" s="51"/>
      <c r="G91" s="51"/>
    </row>
    <row r="92" spans="1:7">
      <c r="C92" s="51"/>
      <c r="E92" s="51"/>
      <c r="F92" s="51"/>
      <c r="G92" s="51"/>
    </row>
    <row r="93" spans="1:7">
      <c r="C93" s="51"/>
      <c r="E93" s="51"/>
      <c r="F93" s="51"/>
      <c r="G93" s="51"/>
    </row>
    <row r="94" spans="1:7">
      <c r="C94" s="51"/>
      <c r="E94" s="51"/>
      <c r="F94" s="51"/>
      <c r="G94" s="51"/>
    </row>
    <row r="95" spans="1:7">
      <c r="C95" s="51"/>
      <c r="E95" s="51"/>
      <c r="F95" s="51"/>
      <c r="G95" s="51"/>
    </row>
    <row r="96" spans="1:7">
      <c r="C96" s="51"/>
      <c r="E96" s="51"/>
      <c r="F96" s="51"/>
      <c r="G96" s="51"/>
    </row>
    <row r="97" spans="3:7">
      <c r="C97" s="51"/>
      <c r="E97" s="51"/>
      <c r="F97" s="51"/>
      <c r="G97" s="51"/>
    </row>
  </sheetData>
  <phoneticPr fontId="0" type="noConversion"/>
  <pageMargins left="0.75" right="0.75" top="0.23" bottom="0.2" header="0.21" footer="0.18"/>
  <pageSetup paperSize="9" scale="65" orientation="portrait" r:id="rId1"/>
  <headerFooter alignWithMargins="0"/>
</worksheet>
</file>

<file path=xl/worksheets/sheet4.xml><?xml version="1.0" encoding="utf-8"?>
<worksheet xmlns="http://schemas.openxmlformats.org/spreadsheetml/2006/main" xmlns:r="http://schemas.openxmlformats.org/officeDocument/2006/relationships">
  <sheetPr codeName="Лист5"/>
  <dimension ref="A1:H61"/>
  <sheetViews>
    <sheetView workbookViewId="0">
      <selection activeCell="E56" sqref="E56"/>
    </sheetView>
  </sheetViews>
  <sheetFormatPr defaultRowHeight="15.75"/>
  <cols>
    <col min="1" max="1" width="4.42578125" style="25" customWidth="1"/>
    <col min="2" max="2" width="69.140625" style="25" customWidth="1"/>
    <col min="3" max="3" width="13.85546875" style="25" customWidth="1"/>
    <col min="4" max="4" width="21" style="25" customWidth="1"/>
    <col min="5" max="5" width="17.140625" style="25" customWidth="1"/>
    <col min="6" max="6" width="21" style="749" customWidth="1"/>
    <col min="7" max="16384" width="9.140625" style="25"/>
  </cols>
  <sheetData>
    <row r="1" spans="1:6" ht="15.75" customHeight="1">
      <c r="D1" s="957" t="s">
        <v>2277</v>
      </c>
      <c r="E1" s="958"/>
    </row>
    <row r="2" spans="1:6" ht="50.25" customHeight="1">
      <c r="A2" s="959" t="s">
        <v>2108</v>
      </c>
      <c r="B2" s="960"/>
      <c r="C2" s="960"/>
      <c r="D2" s="960"/>
      <c r="E2" s="702" t="s">
        <v>2666</v>
      </c>
    </row>
    <row r="3" spans="1:6">
      <c r="A3" s="961" t="s">
        <v>269</v>
      </c>
      <c r="B3" s="961"/>
      <c r="C3" s="961"/>
      <c r="D3" s="961"/>
      <c r="E3" s="961"/>
    </row>
    <row r="4" spans="1:6" ht="16.5" thickBot="1">
      <c r="A4" s="57"/>
      <c r="B4" s="57"/>
      <c r="C4" s="57"/>
      <c r="D4" s="371" t="s">
        <v>379</v>
      </c>
      <c r="E4" s="57"/>
    </row>
    <row r="5" spans="1:6" ht="17.25" customHeight="1">
      <c r="A5" s="962" t="s">
        <v>2109</v>
      </c>
      <c r="B5" s="964" t="s">
        <v>2044</v>
      </c>
      <c r="C5" s="966" t="s">
        <v>2110</v>
      </c>
      <c r="D5" s="966"/>
      <c r="E5" s="967"/>
    </row>
    <row r="6" spans="1:6" ht="43.5" customHeight="1">
      <c r="A6" s="963"/>
      <c r="B6" s="965"/>
      <c r="C6" s="755" t="s">
        <v>2255</v>
      </c>
      <c r="D6" s="755" t="s">
        <v>392</v>
      </c>
      <c r="E6" s="58" t="s">
        <v>2256</v>
      </c>
    </row>
    <row r="7" spans="1:6">
      <c r="A7" s="59"/>
      <c r="B7" s="60" t="s">
        <v>499</v>
      </c>
      <c r="C7" s="60" t="s">
        <v>1200</v>
      </c>
      <c r="D7" s="60" t="s">
        <v>787</v>
      </c>
      <c r="E7" s="61" t="s">
        <v>788</v>
      </c>
    </row>
    <row r="8" spans="1:6" ht="12.75" customHeight="1">
      <c r="A8" s="59" t="s">
        <v>2111</v>
      </c>
      <c r="B8" s="62" t="s">
        <v>2241</v>
      </c>
      <c r="C8" s="62"/>
      <c r="D8" s="62"/>
      <c r="E8" s="63"/>
      <c r="F8" s="770"/>
    </row>
    <row r="9" spans="1:6" ht="12.75" customHeight="1">
      <c r="A9" s="545">
        <v>1</v>
      </c>
      <c r="B9" s="544" t="s">
        <v>2112</v>
      </c>
      <c r="C9" s="64"/>
      <c r="D9" s="64"/>
      <c r="E9" s="65"/>
    </row>
    <row r="10" spans="1:6" ht="12.75" customHeight="1">
      <c r="A10" s="59" t="s">
        <v>663</v>
      </c>
      <c r="B10" s="760" t="s">
        <v>2113</v>
      </c>
      <c r="C10" s="356" t="s">
        <v>1067</v>
      </c>
      <c r="D10" s="28"/>
      <c r="E10" s="29"/>
    </row>
    <row r="11" spans="1:6" ht="12.75" customHeight="1">
      <c r="A11" s="59" t="s">
        <v>2231</v>
      </c>
      <c r="B11" s="760" t="s">
        <v>1023</v>
      </c>
      <c r="C11" s="356" t="s">
        <v>1068</v>
      </c>
      <c r="D11" s="28"/>
      <c r="E11" s="29"/>
    </row>
    <row r="12" spans="1:6" ht="12.75" customHeight="1">
      <c r="A12" s="59" t="s">
        <v>159</v>
      </c>
      <c r="B12" s="760" t="s">
        <v>928</v>
      </c>
      <c r="C12" s="64"/>
      <c r="D12" s="64"/>
      <c r="E12" s="67" t="e">
        <f>C10-C11</f>
        <v>#VALUE!</v>
      </c>
    </row>
    <row r="13" spans="1:6">
      <c r="A13" s="545">
        <v>2</v>
      </c>
      <c r="B13" s="544" t="s">
        <v>1022</v>
      </c>
      <c r="C13" s="64"/>
      <c r="D13" s="64"/>
      <c r="E13" s="65"/>
    </row>
    <row r="14" spans="1:6">
      <c r="A14" s="59" t="s">
        <v>1128</v>
      </c>
      <c r="B14" s="760" t="s">
        <v>946</v>
      </c>
      <c r="C14" s="64"/>
      <c r="D14" s="356" t="s">
        <v>1069</v>
      </c>
      <c r="E14" s="65"/>
    </row>
    <row r="15" spans="1:6">
      <c r="A15" s="59" t="s">
        <v>2231</v>
      </c>
      <c r="B15" s="760" t="s">
        <v>1023</v>
      </c>
      <c r="C15" s="64"/>
      <c r="D15" s="356" t="s">
        <v>1070</v>
      </c>
      <c r="E15" s="65"/>
    </row>
    <row r="16" spans="1:6">
      <c r="A16" s="59" t="s">
        <v>159</v>
      </c>
      <c r="B16" s="760" t="s">
        <v>2163</v>
      </c>
      <c r="C16" s="64"/>
      <c r="D16" s="28"/>
      <c r="E16" s="67" t="e">
        <f>D14-D15</f>
        <v>#VALUE!</v>
      </c>
    </row>
    <row r="17" spans="1:5">
      <c r="A17" s="545">
        <v>3</v>
      </c>
      <c r="B17" s="544" t="s">
        <v>2242</v>
      </c>
      <c r="C17" s="356" t="s">
        <v>1535</v>
      </c>
      <c r="D17" s="356"/>
      <c r="E17" s="204" t="str">
        <f>C17</f>
        <v>#FN1{30603}</v>
      </c>
    </row>
    <row r="18" spans="1:5">
      <c r="A18" s="545">
        <v>4</v>
      </c>
      <c r="B18" s="544" t="s">
        <v>2164</v>
      </c>
      <c r="C18" s="64"/>
      <c r="D18" s="28"/>
      <c r="E18" s="29"/>
    </row>
    <row r="19" spans="1:5">
      <c r="A19" s="59" t="s">
        <v>1128</v>
      </c>
      <c r="B19" s="760" t="s">
        <v>876</v>
      </c>
      <c r="C19" s="191" t="s">
        <v>2273</v>
      </c>
      <c r="D19" s="28"/>
      <c r="E19" s="29"/>
    </row>
    <row r="20" spans="1:5">
      <c r="A20" s="59" t="s">
        <v>2231</v>
      </c>
      <c r="B20" s="760" t="s">
        <v>749</v>
      </c>
      <c r="C20" s="356" t="s">
        <v>1071</v>
      </c>
      <c r="D20" s="28"/>
      <c r="E20" s="29"/>
    </row>
    <row r="21" spans="1:5">
      <c r="A21" s="59" t="s">
        <v>159</v>
      </c>
      <c r="B21" s="760" t="s">
        <v>464</v>
      </c>
      <c r="C21" s="191" t="s">
        <v>2046</v>
      </c>
      <c r="D21" s="28"/>
      <c r="E21" s="29"/>
    </row>
    <row r="22" spans="1:5">
      <c r="A22" s="59" t="s">
        <v>160</v>
      </c>
      <c r="B22" s="760" t="s">
        <v>465</v>
      </c>
      <c r="C22" s="64"/>
      <c r="D22" s="64"/>
      <c r="E22" s="67" t="e">
        <f>C19+C20+C21</f>
        <v>#VALUE!</v>
      </c>
    </row>
    <row r="23" spans="1:5" ht="31.5">
      <c r="A23" s="546">
        <v>5</v>
      </c>
      <c r="B23" s="544" t="s">
        <v>1959</v>
      </c>
      <c r="C23" s="768"/>
      <c r="D23" s="64"/>
      <c r="E23" s="67">
        <f>C23</f>
        <v>0</v>
      </c>
    </row>
    <row r="24" spans="1:5" ht="64.5" customHeight="1">
      <c r="A24" s="544">
        <v>6</v>
      </c>
      <c r="B24" s="544" t="s">
        <v>2243</v>
      </c>
      <c r="C24" s="64"/>
      <c r="D24" s="768"/>
      <c r="E24" s="67">
        <f>D24</f>
        <v>0</v>
      </c>
    </row>
    <row r="25" spans="1:5">
      <c r="A25" s="544">
        <v>7</v>
      </c>
      <c r="B25" s="544" t="s">
        <v>2244</v>
      </c>
      <c r="C25" s="356" t="s">
        <v>1418</v>
      </c>
      <c r="D25" s="64"/>
      <c r="E25" s="67" t="str">
        <f>C25</f>
        <v>#FN1{30906}</v>
      </c>
    </row>
    <row r="26" spans="1:5">
      <c r="A26" s="544">
        <v>8</v>
      </c>
      <c r="B26" s="544" t="s">
        <v>2245</v>
      </c>
      <c r="C26" s="46">
        <f>SUM(C10:C25)</f>
        <v>0</v>
      </c>
      <c r="D26" s="46">
        <f>SUM(D10:D25)</f>
        <v>0</v>
      </c>
      <c r="E26" s="67">
        <f>C26+D26</f>
        <v>0</v>
      </c>
    </row>
    <row r="27" spans="1:5">
      <c r="A27" s="59" t="s">
        <v>1016</v>
      </c>
      <c r="B27" s="62" t="s">
        <v>1017</v>
      </c>
      <c r="C27" s="64"/>
      <c r="D27" s="64"/>
      <c r="E27" s="65"/>
    </row>
    <row r="28" spans="1:5">
      <c r="A28" s="59">
        <v>1</v>
      </c>
      <c r="B28" s="760" t="s">
        <v>1035</v>
      </c>
      <c r="C28" s="356" t="s">
        <v>2047</v>
      </c>
      <c r="D28" s="64"/>
      <c r="E28" s="67" t="e">
        <f>-C28</f>
        <v>#VALUE!</v>
      </c>
    </row>
    <row r="29" spans="1:5" ht="63" customHeight="1">
      <c r="A29" s="760">
        <v>2</v>
      </c>
      <c r="B29" s="760" t="s">
        <v>2246</v>
      </c>
      <c r="C29" s="560" t="s">
        <v>2275</v>
      </c>
      <c r="D29" s="64"/>
      <c r="E29" s="67" t="e">
        <f>-C29</f>
        <v>#VALUE!</v>
      </c>
    </row>
    <row r="30" spans="1:5">
      <c r="A30" s="760">
        <v>3</v>
      </c>
      <c r="B30" s="760" t="s">
        <v>2247</v>
      </c>
      <c r="C30" s="356" t="s">
        <v>2274</v>
      </c>
      <c r="D30" s="64"/>
      <c r="E30" s="67" t="e">
        <f>-C30</f>
        <v>#VALUE!</v>
      </c>
    </row>
    <row r="31" spans="1:5">
      <c r="A31" s="760">
        <v>4</v>
      </c>
      <c r="B31" s="760" t="s">
        <v>2248</v>
      </c>
      <c r="C31" s="356">
        <f>SUM(C28:C30)</f>
        <v>0</v>
      </c>
      <c r="D31" s="356"/>
      <c r="E31" s="356" t="e">
        <f>SUM(E28:E30)</f>
        <v>#VALUE!</v>
      </c>
    </row>
    <row r="32" spans="1:5">
      <c r="A32" s="59" t="s">
        <v>1036</v>
      </c>
      <c r="B32" s="62" t="s">
        <v>1947</v>
      </c>
      <c r="C32" s="64"/>
      <c r="D32" s="64"/>
      <c r="E32" s="67" t="e">
        <f>E12+E16+E17+E22+E23+E24+E25+E31</f>
        <v>#VALUE!</v>
      </c>
    </row>
    <row r="33" spans="1:7">
      <c r="A33" s="59"/>
      <c r="B33" s="760"/>
      <c r="C33" s="64"/>
      <c r="D33" s="64"/>
      <c r="E33" s="65"/>
    </row>
    <row r="34" spans="1:7">
      <c r="A34" s="59" t="s">
        <v>1948</v>
      </c>
      <c r="B34" s="62" t="s">
        <v>1949</v>
      </c>
      <c r="C34" s="64"/>
      <c r="D34" s="64"/>
      <c r="E34" s="65"/>
    </row>
    <row r="35" spans="1:7">
      <c r="A35" s="59"/>
      <c r="B35" s="760"/>
      <c r="C35" s="64"/>
      <c r="D35" s="64"/>
      <c r="E35" s="65"/>
    </row>
    <row r="36" spans="1:7" ht="31.5">
      <c r="A36" s="760">
        <v>1</v>
      </c>
      <c r="B36" s="760" t="s">
        <v>2249</v>
      </c>
      <c r="C36" s="369" t="s">
        <v>178</v>
      </c>
      <c r="D36" s="64"/>
      <c r="E36" s="204" t="str">
        <f>C36</f>
        <v xml:space="preserve"> #FN1A{4,5,31206,30907,30909}</v>
      </c>
      <c r="G36" s="559"/>
    </row>
    <row r="37" spans="1:7" ht="47.25">
      <c r="A37" s="760">
        <v>2</v>
      </c>
      <c r="B37" s="760" t="s">
        <v>2250</v>
      </c>
      <c r="C37" s="439">
        <f>'Loan Classification'!G16</f>
        <v>0</v>
      </c>
      <c r="D37" s="64"/>
      <c r="E37" s="439">
        <f>C37</f>
        <v>0</v>
      </c>
    </row>
    <row r="38" spans="1:7">
      <c r="A38" s="760">
        <v>3</v>
      </c>
      <c r="B38" s="760" t="s">
        <v>2251</v>
      </c>
      <c r="C38" s="204"/>
      <c r="D38" s="64"/>
      <c r="E38" s="461">
        <f>C38</f>
        <v>0</v>
      </c>
    </row>
    <row r="39" spans="1:7" ht="31.5">
      <c r="A39" s="760">
        <v>4</v>
      </c>
      <c r="B39" s="760" t="s">
        <v>2252</v>
      </c>
      <c r="C39" s="356" t="e">
        <f>F39*D39</f>
        <v>#VALUE!</v>
      </c>
      <c r="D39" s="64">
        <v>0.45</v>
      </c>
      <c r="E39" s="356" t="e">
        <f>C39</f>
        <v>#VALUE!</v>
      </c>
      <c r="F39" s="769" t="s">
        <v>2276</v>
      </c>
    </row>
    <row r="40" spans="1:7" ht="47.25">
      <c r="A40" s="760">
        <v>5</v>
      </c>
      <c r="B40" s="760" t="s">
        <v>2253</v>
      </c>
      <c r="C40" s="46"/>
      <c r="D40" s="64"/>
      <c r="E40" s="204">
        <f>C40</f>
        <v>0</v>
      </c>
    </row>
    <row r="41" spans="1:7">
      <c r="A41" s="760">
        <v>6</v>
      </c>
      <c r="B41" s="760" t="s">
        <v>940</v>
      </c>
      <c r="C41" s="64"/>
      <c r="D41" s="64"/>
      <c r="E41" s="67">
        <v>0</v>
      </c>
      <c r="F41" s="771"/>
    </row>
    <row r="42" spans="1:7">
      <c r="A42" s="760">
        <v>7</v>
      </c>
      <c r="B42" s="760" t="s">
        <v>2254</v>
      </c>
      <c r="C42" s="46" t="e">
        <f>SUM(C36:C41)</f>
        <v>#VALUE!</v>
      </c>
      <c r="D42" s="64"/>
      <c r="E42" s="46" t="e">
        <f>SUM(E36:E40)</f>
        <v>#VALUE!</v>
      </c>
    </row>
    <row r="43" spans="1:7">
      <c r="A43" s="59" t="s">
        <v>941</v>
      </c>
      <c r="B43" s="62" t="s">
        <v>2257</v>
      </c>
      <c r="C43" s="64"/>
      <c r="D43" s="64"/>
      <c r="E43" s="46" t="e">
        <f>E42-E41</f>
        <v>#VALUE!</v>
      </c>
    </row>
    <row r="44" spans="1:7">
      <c r="A44" s="59" t="s">
        <v>942</v>
      </c>
      <c r="B44" s="62" t="s">
        <v>2258</v>
      </c>
      <c r="C44" s="64"/>
      <c r="D44" s="64"/>
      <c r="E44" s="439" t="e">
        <f>E32+E43</f>
        <v>#VALUE!</v>
      </c>
    </row>
    <row r="45" spans="1:7">
      <c r="A45" s="59" t="s">
        <v>42</v>
      </c>
      <c r="B45" s="62" t="s">
        <v>2259</v>
      </c>
      <c r="C45" s="64"/>
      <c r="D45" s="64"/>
      <c r="E45" s="46" t="e">
        <f>SUM(E46:E48)</f>
        <v>#VALUE!</v>
      </c>
    </row>
    <row r="46" spans="1:7" s="550" customFormat="1" ht="30" customHeight="1">
      <c r="A46" s="760">
        <v>1</v>
      </c>
      <c r="B46" s="760" t="s">
        <v>2260</v>
      </c>
      <c r="C46" s="549"/>
      <c r="D46" s="549"/>
      <c r="E46" s="46" t="e">
        <f>'Calculation of Risk Weighted As'!H74</f>
        <v>#VALUE!</v>
      </c>
      <c r="F46" s="772"/>
      <c r="G46" s="551"/>
    </row>
    <row r="47" spans="1:7" s="550" customFormat="1" ht="15.75" customHeight="1">
      <c r="A47" s="760">
        <v>2</v>
      </c>
      <c r="B47" s="760" t="s">
        <v>2261</v>
      </c>
      <c r="C47" s="549"/>
      <c r="D47" s="549"/>
      <c r="E47" s="46">
        <f>'Calculation of Risk'!C19</f>
        <v>0</v>
      </c>
      <c r="F47" s="772"/>
      <c r="G47" s="551"/>
    </row>
    <row r="48" spans="1:7" s="550" customFormat="1" ht="15.75" customHeight="1">
      <c r="A48" s="760">
        <v>3</v>
      </c>
      <c r="B48" s="760" t="s">
        <v>2262</v>
      </c>
      <c r="C48" s="549"/>
      <c r="D48" s="549"/>
      <c r="E48" s="46" t="e">
        <f>'Calculation of Risk'!C25</f>
        <v>#VALUE!</v>
      </c>
      <c r="F48" s="772"/>
      <c r="G48" s="551"/>
    </row>
    <row r="49" spans="1:8" s="550" customFormat="1" ht="28.5" customHeight="1">
      <c r="A49" s="59" t="s">
        <v>932</v>
      </c>
      <c r="B49" s="62" t="s">
        <v>2263</v>
      </c>
      <c r="C49" s="549"/>
      <c r="D49" s="549"/>
      <c r="E49" s="46" t="e">
        <f>E32/E45</f>
        <v>#VALUE!</v>
      </c>
      <c r="F49" s="772"/>
      <c r="G49" s="552"/>
    </row>
    <row r="50" spans="1:8" s="550" customFormat="1" ht="28.5" customHeight="1">
      <c r="A50" s="59" t="s">
        <v>929</v>
      </c>
      <c r="B50" s="62" t="s">
        <v>2264</v>
      </c>
      <c r="C50" s="549"/>
      <c r="D50" s="549"/>
      <c r="E50" s="46" t="e">
        <f>E44/E45</f>
        <v>#VALUE!</v>
      </c>
      <c r="F50" s="772"/>
      <c r="G50" s="551"/>
    </row>
    <row r="51" spans="1:8" s="550" customFormat="1" ht="21.75" customHeight="1">
      <c r="A51" s="59" t="s">
        <v>930</v>
      </c>
      <c r="B51" s="62" t="s">
        <v>2265</v>
      </c>
      <c r="C51" s="549"/>
      <c r="D51" s="549"/>
      <c r="E51" s="46" t="e">
        <f>E52+E53+E54-E55</f>
        <v>#VALUE!</v>
      </c>
      <c r="F51" s="772"/>
      <c r="G51" s="553"/>
      <c r="H51" s="554"/>
    </row>
    <row r="52" spans="1:8" s="555" customFormat="1" ht="21.75" customHeight="1">
      <c r="A52" s="760">
        <v>1</v>
      </c>
      <c r="B52" s="760" t="s">
        <v>2266</v>
      </c>
      <c r="C52" s="549"/>
      <c r="D52" s="549"/>
      <c r="E52" s="46" t="e">
        <f>Balance!C36</f>
        <v>#VALUE!</v>
      </c>
      <c r="F52" s="773"/>
      <c r="G52" s="556"/>
      <c r="H52" s="557"/>
    </row>
    <row r="53" spans="1:8" s="555" customFormat="1" ht="21.75" customHeight="1">
      <c r="A53" s="760">
        <v>2</v>
      </c>
      <c r="B53" s="760" t="s">
        <v>2267</v>
      </c>
      <c r="C53" s="549"/>
      <c r="D53" s="549"/>
      <c r="E53" s="46"/>
      <c r="F53" s="773"/>
      <c r="G53" s="556"/>
      <c r="H53" s="557"/>
    </row>
    <row r="54" spans="1:8" s="555" customFormat="1" ht="30" customHeight="1">
      <c r="A54" s="760">
        <v>3</v>
      </c>
      <c r="B54" s="760" t="s">
        <v>2268</v>
      </c>
      <c r="C54" s="549"/>
      <c r="D54" s="549"/>
      <c r="E54" s="46" t="s">
        <v>2724</v>
      </c>
      <c r="F54" s="817"/>
      <c r="G54" s="556"/>
      <c r="H54" s="557"/>
    </row>
    <row r="55" spans="1:8" s="555" customFormat="1" ht="32.25" customHeight="1">
      <c r="A55" s="760">
        <v>4</v>
      </c>
      <c r="B55" s="760" t="s">
        <v>2269</v>
      </c>
      <c r="C55" s="549"/>
      <c r="D55" s="549"/>
      <c r="E55" s="46" t="e">
        <f>+E28</f>
        <v>#VALUE!</v>
      </c>
      <c r="F55" s="773"/>
      <c r="G55" s="556"/>
      <c r="H55" s="557"/>
    </row>
    <row r="56" spans="1:8" s="550" customFormat="1" ht="21.75" customHeight="1">
      <c r="A56" s="59" t="s">
        <v>2270</v>
      </c>
      <c r="B56" s="62" t="s">
        <v>2271</v>
      </c>
      <c r="C56" s="549"/>
      <c r="D56" s="549"/>
      <c r="E56" s="46" t="e">
        <f>E32/E51</f>
        <v>#VALUE!</v>
      </c>
      <c r="F56" s="772"/>
      <c r="G56" s="551"/>
    </row>
    <row r="57" spans="1:8" s="547" customFormat="1">
      <c r="B57" s="57"/>
      <c r="F57" s="774"/>
      <c r="G57" s="548"/>
    </row>
    <row r="58" spans="1:8" s="547" customFormat="1">
      <c r="B58" s="322" t="s">
        <v>2272</v>
      </c>
      <c r="F58" s="774"/>
      <c r="G58" s="548"/>
    </row>
    <row r="59" spans="1:8" s="547" customFormat="1">
      <c r="B59" s="322"/>
      <c r="E59" s="558"/>
      <c r="F59" s="774"/>
      <c r="G59" s="548"/>
    </row>
    <row r="60" spans="1:8" s="547" customFormat="1">
      <c r="B60" s="322" t="s">
        <v>1198</v>
      </c>
      <c r="F60" s="774"/>
      <c r="G60" s="548"/>
    </row>
    <row r="61" spans="1:8">
      <c r="B61" s="57"/>
    </row>
  </sheetData>
  <mergeCells count="6">
    <mergeCell ref="D1:E1"/>
    <mergeCell ref="A2:D2"/>
    <mergeCell ref="A3:E3"/>
    <mergeCell ref="A5:A6"/>
    <mergeCell ref="B5:B6"/>
    <mergeCell ref="C5:E5"/>
  </mergeCells>
  <phoneticPr fontId="0" type="noConversion"/>
  <pageMargins left="0.37" right="0.19" top="0.37" bottom="0.3" header="0.24" footer="0.18"/>
  <pageSetup paperSize="9" scale="81" orientation="portrait" r:id="rId1"/>
  <headerFooter alignWithMargins="0"/>
</worksheet>
</file>

<file path=xl/worksheets/sheet5.xml><?xml version="1.0" encoding="utf-8"?>
<worksheet xmlns="http://schemas.openxmlformats.org/spreadsheetml/2006/main" xmlns:r="http://schemas.openxmlformats.org/officeDocument/2006/relationships">
  <sheetPr codeName="Лист4"/>
  <dimension ref="A1:BR80"/>
  <sheetViews>
    <sheetView topLeftCell="C64" zoomScale="120" zoomScaleNormal="120" workbookViewId="0">
      <selection activeCell="D10" sqref="D10"/>
    </sheetView>
  </sheetViews>
  <sheetFormatPr defaultRowHeight="12.75"/>
  <cols>
    <col min="1" max="1" width="4.42578125" style="14" customWidth="1"/>
    <col min="2" max="2" width="46.7109375" style="14" customWidth="1"/>
    <col min="3" max="3" width="16.85546875" style="14" customWidth="1"/>
    <col min="4" max="4" width="17.28515625" style="14" customWidth="1"/>
    <col min="5" max="5" width="17.85546875" style="14" customWidth="1"/>
    <col min="6" max="6" width="17.42578125" style="481" customWidth="1"/>
    <col min="7" max="7" width="17.28515625" style="69" customWidth="1"/>
    <col min="8" max="8" width="13" style="856" customWidth="1"/>
    <col min="9" max="9" width="12.7109375" style="856" customWidth="1"/>
    <col min="10" max="10" width="13" style="856" customWidth="1"/>
    <col min="11" max="11" width="9.140625" style="614"/>
    <col min="12" max="70" width="9.140625" style="71"/>
    <col min="71" max="16384" width="9.140625" style="14"/>
  </cols>
  <sheetData>
    <row r="1" spans="1:70" ht="47.25" customHeight="1">
      <c r="E1" s="975" t="s">
        <v>2277</v>
      </c>
      <c r="F1" s="975"/>
      <c r="G1" s="975"/>
    </row>
    <row r="2" spans="1:70" ht="15.75" customHeight="1">
      <c r="A2" s="977" t="s">
        <v>2042</v>
      </c>
      <c r="B2" s="978"/>
      <c r="C2" s="978"/>
      <c r="D2" s="978"/>
      <c r="E2" s="978"/>
      <c r="F2" s="976" t="s">
        <v>2667</v>
      </c>
      <c r="G2" s="976"/>
      <c r="H2" s="857"/>
      <c r="I2" s="858"/>
      <c r="J2" s="857"/>
    </row>
    <row r="3" spans="1:70" ht="15">
      <c r="A3" s="372" t="s">
        <v>379</v>
      </c>
      <c r="B3" s="15"/>
      <c r="C3" s="1"/>
      <c r="D3" s="1">
        <v>0</v>
      </c>
      <c r="E3" s="16"/>
      <c r="F3" s="476"/>
      <c r="G3" s="1"/>
      <c r="H3" s="857"/>
      <c r="I3" s="858"/>
      <c r="J3" s="857"/>
    </row>
    <row r="4" spans="1:70" ht="13.5" thickBot="1">
      <c r="A4" s="4"/>
      <c r="B4" s="1"/>
      <c r="C4" s="1"/>
      <c r="D4" s="1"/>
      <c r="E4" s="1"/>
      <c r="F4" s="477"/>
      <c r="G4" s="1"/>
      <c r="H4" s="857"/>
      <c r="I4" s="858"/>
      <c r="J4" s="857"/>
    </row>
    <row r="5" spans="1:70">
      <c r="A5" s="263" t="s">
        <v>2043</v>
      </c>
      <c r="B5" s="264" t="s">
        <v>2044</v>
      </c>
      <c r="C5" s="265">
        <v>0</v>
      </c>
      <c r="D5" s="265">
        <v>0.2</v>
      </c>
      <c r="E5" s="265">
        <v>0.5</v>
      </c>
      <c r="F5" s="265">
        <v>1</v>
      </c>
      <c r="G5" s="265">
        <v>1.5</v>
      </c>
      <c r="H5" s="857"/>
      <c r="I5" s="859" t="s">
        <v>1740</v>
      </c>
      <c r="J5" s="859" t="s">
        <v>2914</v>
      </c>
    </row>
    <row r="6" spans="1:70">
      <c r="A6" s="266"/>
      <c r="B6" s="758"/>
      <c r="C6" s="758" t="s">
        <v>2045</v>
      </c>
      <c r="D6" s="758" t="s">
        <v>2045</v>
      </c>
      <c r="E6" s="758" t="s">
        <v>2045</v>
      </c>
      <c r="F6" s="758" t="s">
        <v>2045</v>
      </c>
      <c r="G6" s="758" t="s">
        <v>2045</v>
      </c>
      <c r="H6" s="857"/>
      <c r="I6" s="859" t="s">
        <v>2910</v>
      </c>
      <c r="J6" s="859" t="s">
        <v>2915</v>
      </c>
    </row>
    <row r="7" spans="1:70">
      <c r="A7" s="267"/>
      <c r="B7" s="758" t="s">
        <v>2185</v>
      </c>
      <c r="C7" s="758" t="s">
        <v>2186</v>
      </c>
      <c r="D7" s="758" t="s">
        <v>2187</v>
      </c>
      <c r="E7" s="758" t="s">
        <v>2188</v>
      </c>
      <c r="F7" s="758" t="s">
        <v>2189</v>
      </c>
      <c r="G7" s="758" t="s">
        <v>459</v>
      </c>
      <c r="H7" s="857"/>
      <c r="I7" s="859" t="s">
        <v>2911</v>
      </c>
      <c r="J7" s="859" t="s">
        <v>2916</v>
      </c>
    </row>
    <row r="8" spans="1:70">
      <c r="A8" s="268"/>
      <c r="B8" s="260" t="s">
        <v>1799</v>
      </c>
      <c r="C8" s="261"/>
      <c r="D8" s="261"/>
      <c r="E8" s="261"/>
      <c r="F8" s="261"/>
      <c r="G8" s="594"/>
      <c r="H8" s="857"/>
      <c r="I8" s="859" t="s">
        <v>2912</v>
      </c>
      <c r="J8" s="859" t="s">
        <v>2917</v>
      </c>
    </row>
    <row r="9" spans="1:70" ht="24.75" customHeight="1">
      <c r="A9" s="269" t="s">
        <v>222</v>
      </c>
      <c r="B9" s="262" t="s">
        <v>1736</v>
      </c>
      <c r="C9" s="595" t="s">
        <v>763</v>
      </c>
      <c r="D9" s="2"/>
      <c r="E9" s="2"/>
      <c r="F9" s="2"/>
      <c r="G9" s="2"/>
      <c r="H9" s="857"/>
      <c r="I9" s="859" t="s">
        <v>2913</v>
      </c>
      <c r="J9" s="859" t="s">
        <v>2918</v>
      </c>
    </row>
    <row r="10" spans="1:70" ht="27" customHeight="1">
      <c r="A10" s="269">
        <v>2</v>
      </c>
      <c r="B10" s="577" t="s">
        <v>2296</v>
      </c>
      <c r="C10" s="2"/>
      <c r="D10" s="5" t="s">
        <v>1136</v>
      </c>
      <c r="E10" s="2"/>
      <c r="F10" s="2"/>
      <c r="G10" s="2"/>
      <c r="H10" s="857"/>
      <c r="I10" s="860"/>
      <c r="J10" s="857"/>
    </row>
    <row r="11" spans="1:70" ht="28.5" customHeight="1">
      <c r="A11" s="269">
        <v>3</v>
      </c>
      <c r="B11" s="262" t="s">
        <v>1145</v>
      </c>
      <c r="C11" s="354" t="s">
        <v>2908</v>
      </c>
      <c r="D11" s="2"/>
      <c r="E11" s="2"/>
      <c r="F11" s="2"/>
      <c r="G11" s="2"/>
      <c r="H11" s="857"/>
      <c r="I11" s="860"/>
      <c r="J11" s="857"/>
    </row>
    <row r="12" spans="1:70" ht="25.5">
      <c r="A12" s="269">
        <v>4</v>
      </c>
      <c r="B12" s="262" t="s">
        <v>1543</v>
      </c>
      <c r="C12" s="365" t="s">
        <v>165</v>
      </c>
      <c r="D12" s="365"/>
      <c r="E12" s="2"/>
      <c r="F12" s="2"/>
      <c r="G12" s="2"/>
      <c r="H12" s="857"/>
      <c r="I12" s="860"/>
      <c r="J12" s="857"/>
    </row>
    <row r="13" spans="1:70" s="579" customFormat="1" ht="24" customHeight="1">
      <c r="A13" s="578" t="s">
        <v>1128</v>
      </c>
      <c r="B13" s="577" t="s">
        <v>2297</v>
      </c>
      <c r="C13" s="596"/>
      <c r="D13" s="597"/>
      <c r="E13" s="596"/>
      <c r="F13" s="596"/>
      <c r="G13" s="598"/>
      <c r="H13" s="861"/>
      <c r="I13" s="862"/>
      <c r="J13" s="862"/>
      <c r="K13" s="863"/>
      <c r="L13" s="463"/>
      <c r="M13" s="463"/>
      <c r="N13" s="463"/>
      <c r="O13" s="463"/>
      <c r="P13" s="463"/>
      <c r="Q13" s="463"/>
      <c r="R13" s="582"/>
      <c r="S13" s="582"/>
      <c r="T13" s="582"/>
      <c r="U13" s="582"/>
      <c r="V13" s="582"/>
      <c r="W13" s="582"/>
      <c r="X13" s="582"/>
      <c r="Y13" s="582"/>
      <c r="Z13" s="582"/>
      <c r="AA13" s="582"/>
      <c r="AB13" s="582"/>
      <c r="AC13" s="582"/>
      <c r="AD13" s="582"/>
      <c r="AE13" s="582"/>
      <c r="AF13" s="582"/>
      <c r="AG13" s="582"/>
      <c r="AH13" s="582"/>
      <c r="AI13" s="582"/>
      <c r="AJ13" s="582"/>
      <c r="AK13" s="582"/>
      <c r="AL13" s="582"/>
      <c r="AM13" s="582"/>
      <c r="AN13" s="582"/>
      <c r="AO13" s="582"/>
      <c r="AP13" s="582"/>
      <c r="AQ13" s="582"/>
      <c r="AR13" s="582"/>
      <c r="AS13" s="582"/>
      <c r="AT13" s="582"/>
      <c r="AU13" s="582"/>
      <c r="AV13" s="582"/>
      <c r="AW13" s="582"/>
      <c r="AX13" s="582"/>
      <c r="AY13" s="582"/>
      <c r="AZ13" s="582"/>
      <c r="BA13" s="582"/>
      <c r="BB13" s="582"/>
      <c r="BC13" s="582"/>
      <c r="BD13" s="582"/>
      <c r="BE13" s="582"/>
      <c r="BF13" s="582"/>
      <c r="BG13" s="582"/>
      <c r="BH13" s="582"/>
      <c r="BI13" s="582"/>
      <c r="BJ13" s="582"/>
      <c r="BK13" s="582"/>
      <c r="BL13" s="582"/>
      <c r="BM13" s="582"/>
      <c r="BN13" s="582"/>
      <c r="BO13" s="582"/>
      <c r="BP13" s="582"/>
      <c r="BQ13" s="582"/>
      <c r="BR13" s="582"/>
    </row>
    <row r="14" spans="1:70" s="579" customFormat="1" ht="27" customHeight="1">
      <c r="A14" s="578" t="s">
        <v>2231</v>
      </c>
      <c r="B14" s="577" t="s">
        <v>2298</v>
      </c>
      <c r="C14" s="596"/>
      <c r="D14" s="596"/>
      <c r="E14" s="596"/>
      <c r="F14" s="604" t="e">
        <f>C12-D13</f>
        <v>#VALUE!</v>
      </c>
      <c r="G14" s="598"/>
      <c r="H14" s="861"/>
      <c r="I14" s="862"/>
      <c r="J14" s="862"/>
      <c r="K14" s="863"/>
      <c r="L14" s="463"/>
      <c r="M14" s="463"/>
      <c r="N14" s="463"/>
      <c r="O14" s="463"/>
      <c r="P14" s="463"/>
      <c r="Q14" s="463"/>
      <c r="R14" s="582"/>
      <c r="S14" s="582"/>
      <c r="T14" s="582"/>
      <c r="U14" s="582"/>
      <c r="V14" s="582"/>
      <c r="W14" s="582"/>
      <c r="X14" s="582"/>
      <c r="Y14" s="582"/>
      <c r="Z14" s="582"/>
      <c r="AA14" s="582"/>
      <c r="AB14" s="582"/>
      <c r="AC14" s="582"/>
      <c r="AD14" s="582"/>
      <c r="AE14" s="582"/>
      <c r="AF14" s="582"/>
      <c r="AG14" s="582"/>
      <c r="AH14" s="582"/>
      <c r="AI14" s="582"/>
      <c r="AJ14" s="582"/>
      <c r="AK14" s="582"/>
      <c r="AL14" s="582"/>
      <c r="AM14" s="582"/>
      <c r="AN14" s="582"/>
      <c r="AO14" s="582"/>
      <c r="AP14" s="582"/>
      <c r="AQ14" s="582"/>
      <c r="AR14" s="582"/>
      <c r="AS14" s="582"/>
      <c r="AT14" s="582"/>
      <c r="AU14" s="582"/>
      <c r="AV14" s="582"/>
      <c r="AW14" s="582"/>
      <c r="AX14" s="582"/>
      <c r="AY14" s="582"/>
      <c r="AZ14" s="582"/>
      <c r="BA14" s="582"/>
      <c r="BB14" s="582"/>
      <c r="BC14" s="582"/>
      <c r="BD14" s="582"/>
      <c r="BE14" s="582"/>
      <c r="BF14" s="582"/>
      <c r="BG14" s="582"/>
      <c r="BH14" s="582"/>
      <c r="BI14" s="582"/>
      <c r="BJ14" s="582"/>
      <c r="BK14" s="582"/>
      <c r="BL14" s="582"/>
      <c r="BM14" s="582"/>
      <c r="BN14" s="582"/>
      <c r="BO14" s="582"/>
      <c r="BP14" s="582"/>
      <c r="BQ14" s="582"/>
      <c r="BR14" s="582"/>
    </row>
    <row r="15" spans="1:70" ht="23.25" customHeight="1">
      <c r="A15" s="269">
        <v>5</v>
      </c>
      <c r="B15" s="262" t="s">
        <v>1800</v>
      </c>
      <c r="C15" s="365" t="s">
        <v>166</v>
      </c>
      <c r="D15" s="365"/>
      <c r="E15" s="2"/>
      <c r="F15" s="2"/>
      <c r="G15" s="598"/>
      <c r="H15" s="857"/>
      <c r="I15" s="860"/>
      <c r="J15" s="857"/>
    </row>
    <row r="16" spans="1:70" ht="25.5">
      <c r="A16" s="270" t="s">
        <v>1544</v>
      </c>
      <c r="B16" s="577" t="s">
        <v>1801</v>
      </c>
      <c r="C16" s="607" t="e">
        <f>C15-C17</f>
        <v>#VALUE!</v>
      </c>
      <c r="D16" s="2"/>
      <c r="E16" s="2"/>
      <c r="F16" s="2"/>
      <c r="G16" s="598"/>
      <c r="H16" s="857"/>
      <c r="I16" s="860"/>
      <c r="J16" s="857"/>
    </row>
    <row r="17" spans="1:70" ht="51">
      <c r="A17" s="270" t="s">
        <v>2231</v>
      </c>
      <c r="B17" s="580" t="s">
        <v>2299</v>
      </c>
      <c r="C17" s="68"/>
      <c r="D17" s="365"/>
      <c r="E17" s="365"/>
      <c r="F17" s="365"/>
      <c r="G17" s="598"/>
      <c r="H17" s="857"/>
      <c r="I17" s="860"/>
      <c r="J17" s="857"/>
    </row>
    <row r="18" spans="1:70" ht="27" customHeight="1">
      <c r="A18" s="270" t="s">
        <v>159</v>
      </c>
      <c r="B18" s="262" t="s">
        <v>740</v>
      </c>
      <c r="C18" s="2"/>
      <c r="D18" s="2"/>
      <c r="E18" s="2"/>
      <c r="F18" s="354" t="s">
        <v>236</v>
      </c>
      <c r="G18" s="598"/>
      <c r="H18" s="857"/>
      <c r="I18" s="860"/>
      <c r="J18" s="857"/>
    </row>
    <row r="19" spans="1:70" ht="37.5" customHeight="1">
      <c r="A19" s="269">
        <v>6</v>
      </c>
      <c r="B19" s="262" t="s">
        <v>897</v>
      </c>
      <c r="C19" s="354" t="e">
        <f>I19+H19</f>
        <v>#VALUE!</v>
      </c>
      <c r="D19" s="2"/>
      <c r="E19" s="2"/>
      <c r="F19" s="2"/>
      <c r="G19" s="598"/>
      <c r="H19" s="864" t="s">
        <v>585</v>
      </c>
      <c r="I19" s="864" t="s">
        <v>586</v>
      </c>
      <c r="J19" s="864"/>
    </row>
    <row r="20" spans="1:70" ht="49.5" customHeight="1">
      <c r="A20" s="269">
        <v>7</v>
      </c>
      <c r="B20" s="577" t="s">
        <v>2300</v>
      </c>
      <c r="C20" s="365"/>
      <c r="D20" s="366"/>
      <c r="E20" s="2"/>
      <c r="F20" s="2"/>
      <c r="G20" s="598"/>
      <c r="H20" s="857"/>
      <c r="I20" s="860"/>
      <c r="J20" s="857"/>
    </row>
    <row r="21" spans="1:70" ht="47.25" customHeight="1">
      <c r="A21" s="269">
        <v>8</v>
      </c>
      <c r="B21" s="580" t="s">
        <v>2301</v>
      </c>
      <c r="C21" s="365"/>
      <c r="D21" s="366"/>
      <c r="E21" s="2"/>
      <c r="F21" s="2"/>
      <c r="G21" s="598"/>
      <c r="H21" s="857"/>
      <c r="I21" s="860"/>
      <c r="J21" s="857"/>
    </row>
    <row r="22" spans="1:70" s="579" customFormat="1" ht="38.25">
      <c r="A22" s="578" t="s">
        <v>1682</v>
      </c>
      <c r="B22" s="580" t="s">
        <v>2302</v>
      </c>
      <c r="C22" s="596"/>
      <c r="D22" s="597"/>
      <c r="E22" s="596"/>
      <c r="F22" s="596"/>
      <c r="G22" s="598"/>
      <c r="H22" s="861"/>
      <c r="I22" s="862"/>
      <c r="J22" s="862"/>
      <c r="K22" s="863"/>
      <c r="L22" s="463"/>
      <c r="M22" s="463"/>
      <c r="N22" s="463"/>
      <c r="O22" s="463"/>
      <c r="P22" s="463"/>
      <c r="Q22" s="463"/>
      <c r="R22" s="582"/>
      <c r="S22" s="582"/>
      <c r="T22" s="582"/>
      <c r="U22" s="582"/>
      <c r="V22" s="582"/>
      <c r="W22" s="582"/>
      <c r="X22" s="582"/>
      <c r="Y22" s="582"/>
      <c r="Z22" s="582"/>
      <c r="AA22" s="582"/>
      <c r="AB22" s="582"/>
      <c r="AC22" s="582"/>
      <c r="AD22" s="582"/>
      <c r="AE22" s="582"/>
      <c r="AF22" s="582"/>
      <c r="AG22" s="582"/>
      <c r="AH22" s="582"/>
      <c r="AI22" s="582"/>
      <c r="AJ22" s="582"/>
      <c r="AK22" s="582"/>
      <c r="AL22" s="582"/>
      <c r="AM22" s="582"/>
      <c r="AN22" s="582"/>
      <c r="AO22" s="582"/>
      <c r="AP22" s="582"/>
      <c r="AQ22" s="582"/>
      <c r="AR22" s="582"/>
      <c r="AS22" s="582"/>
      <c r="AT22" s="582"/>
      <c r="AU22" s="582"/>
      <c r="AV22" s="582"/>
      <c r="AW22" s="582"/>
      <c r="AX22" s="582"/>
      <c r="AY22" s="582"/>
      <c r="AZ22" s="582"/>
      <c r="BA22" s="582"/>
      <c r="BB22" s="582"/>
      <c r="BC22" s="582"/>
      <c r="BD22" s="582"/>
      <c r="BE22" s="582"/>
      <c r="BF22" s="582"/>
      <c r="BG22" s="582"/>
      <c r="BH22" s="582"/>
      <c r="BI22" s="582"/>
      <c r="BJ22" s="582"/>
      <c r="BK22" s="582"/>
      <c r="BL22" s="582"/>
      <c r="BM22" s="582"/>
      <c r="BN22" s="582"/>
      <c r="BO22" s="582"/>
      <c r="BP22" s="582"/>
      <c r="BQ22" s="582"/>
      <c r="BR22" s="582"/>
    </row>
    <row r="23" spans="1:70" s="579" customFormat="1" ht="51">
      <c r="A23" s="578" t="s">
        <v>240</v>
      </c>
      <c r="B23" s="580" t="s">
        <v>2303</v>
      </c>
      <c r="C23" s="596"/>
      <c r="D23" s="597"/>
      <c r="E23" s="596"/>
      <c r="F23" s="596"/>
      <c r="G23" s="598"/>
      <c r="H23" s="861"/>
      <c r="I23" s="862"/>
      <c r="J23" s="862"/>
      <c r="K23" s="863"/>
      <c r="L23" s="463"/>
      <c r="M23" s="463"/>
      <c r="N23" s="463"/>
      <c r="O23" s="463"/>
      <c r="P23" s="463"/>
      <c r="Q23" s="463"/>
      <c r="R23" s="582"/>
      <c r="S23" s="582"/>
      <c r="T23" s="582"/>
      <c r="U23" s="582"/>
      <c r="V23" s="582"/>
      <c r="W23" s="582"/>
      <c r="X23" s="582"/>
      <c r="Y23" s="582"/>
      <c r="Z23" s="582"/>
      <c r="AA23" s="582"/>
      <c r="AB23" s="582"/>
      <c r="AC23" s="582"/>
      <c r="AD23" s="582"/>
      <c r="AE23" s="582"/>
      <c r="AF23" s="582"/>
      <c r="AG23" s="582"/>
      <c r="AH23" s="582"/>
      <c r="AI23" s="582"/>
      <c r="AJ23" s="582"/>
      <c r="AK23" s="582"/>
      <c r="AL23" s="582"/>
      <c r="AM23" s="582"/>
      <c r="AN23" s="582"/>
      <c r="AO23" s="582"/>
      <c r="AP23" s="582"/>
      <c r="AQ23" s="582"/>
      <c r="AR23" s="582"/>
      <c r="AS23" s="582"/>
      <c r="AT23" s="582"/>
      <c r="AU23" s="582"/>
      <c r="AV23" s="582"/>
      <c r="AW23" s="582"/>
      <c r="AX23" s="582"/>
      <c r="AY23" s="582"/>
      <c r="AZ23" s="582"/>
      <c r="BA23" s="582"/>
      <c r="BB23" s="582"/>
      <c r="BC23" s="582"/>
      <c r="BD23" s="582"/>
      <c r="BE23" s="582"/>
      <c r="BF23" s="582"/>
      <c r="BG23" s="582"/>
      <c r="BH23" s="582"/>
      <c r="BI23" s="582"/>
      <c r="BJ23" s="582"/>
      <c r="BK23" s="582"/>
      <c r="BL23" s="582"/>
      <c r="BM23" s="582"/>
      <c r="BN23" s="582"/>
      <c r="BO23" s="582"/>
      <c r="BP23" s="582"/>
      <c r="BQ23" s="582"/>
      <c r="BR23" s="582"/>
    </row>
    <row r="24" spans="1:70" s="482" customFormat="1">
      <c r="A24" s="578" t="s">
        <v>2103</v>
      </c>
      <c r="B24" s="581" t="s">
        <v>2304</v>
      </c>
      <c r="C24" s="598" t="s">
        <v>1905</v>
      </c>
      <c r="D24" s="598"/>
      <c r="E24" s="598"/>
      <c r="F24" s="598"/>
      <c r="G24" s="598"/>
      <c r="H24" s="865"/>
      <c r="I24" s="866"/>
      <c r="J24" s="865"/>
      <c r="K24" s="614"/>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row>
    <row r="25" spans="1:70" ht="47.25" customHeight="1">
      <c r="A25" s="578" t="s">
        <v>2305</v>
      </c>
      <c r="B25" s="577" t="s">
        <v>2326</v>
      </c>
      <c r="C25" s="605" t="s">
        <v>2909</v>
      </c>
      <c r="D25" s="596"/>
      <c r="E25" s="596"/>
      <c r="F25" s="596"/>
      <c r="G25" s="598"/>
      <c r="H25" s="864"/>
      <c r="I25" s="864"/>
      <c r="J25" s="864"/>
      <c r="K25" s="867"/>
    </row>
    <row r="26" spans="1:70" ht="40.5" customHeight="1">
      <c r="A26" s="578" t="s">
        <v>2306</v>
      </c>
      <c r="B26" s="580" t="s">
        <v>2307</v>
      </c>
      <c r="C26" s="596"/>
      <c r="D26" s="604" t="e">
        <f>H26+I26+J26+K26</f>
        <v>#VALUE!</v>
      </c>
      <c r="E26" s="596"/>
      <c r="F26" s="596"/>
      <c r="G26" s="598"/>
      <c r="H26" s="864" t="s">
        <v>587</v>
      </c>
      <c r="I26" s="864" t="s">
        <v>3</v>
      </c>
      <c r="J26" s="864" t="s">
        <v>4</v>
      </c>
      <c r="K26" s="867" t="s">
        <v>2</v>
      </c>
    </row>
    <row r="27" spans="1:70" ht="54.75" customHeight="1">
      <c r="A27" s="578" t="s">
        <v>2308</v>
      </c>
      <c r="B27" s="577" t="s">
        <v>2309</v>
      </c>
      <c r="C27" s="596"/>
      <c r="D27" s="596"/>
      <c r="E27" s="604" t="e">
        <f>H27+I27+J27+K27</f>
        <v>#VALUE!</v>
      </c>
      <c r="F27" s="596"/>
      <c r="G27" s="598"/>
      <c r="H27" s="864" t="s">
        <v>2327</v>
      </c>
      <c r="I27" s="864" t="s">
        <v>2328</v>
      </c>
      <c r="J27" s="864" t="s">
        <v>2329</v>
      </c>
      <c r="K27" s="867" t="s">
        <v>2330</v>
      </c>
    </row>
    <row r="28" spans="1:70" ht="25.5">
      <c r="A28" s="578" t="s">
        <v>2310</v>
      </c>
      <c r="B28" s="577" t="s">
        <v>2311</v>
      </c>
      <c r="C28" s="596"/>
      <c r="D28" s="596"/>
      <c r="E28" s="596"/>
      <c r="F28" s="597"/>
      <c r="G28" s="596"/>
      <c r="H28" s="857"/>
      <c r="I28" s="860"/>
      <c r="J28" s="857"/>
    </row>
    <row r="29" spans="1:70" ht="25.5">
      <c r="A29" s="578" t="s">
        <v>2312</v>
      </c>
      <c r="B29" s="577" t="s">
        <v>2313</v>
      </c>
      <c r="C29" s="596"/>
      <c r="D29" s="596"/>
      <c r="E29" s="596"/>
      <c r="F29" s="597"/>
      <c r="G29" s="596"/>
      <c r="H29" s="857"/>
      <c r="I29" s="860"/>
      <c r="J29" s="857"/>
    </row>
    <row r="30" spans="1:70" ht="52.5" customHeight="1">
      <c r="A30" s="578" t="s">
        <v>2314</v>
      </c>
      <c r="B30" s="580" t="s">
        <v>2315</v>
      </c>
      <c r="C30" s="601"/>
      <c r="D30" s="601"/>
      <c r="E30" s="601"/>
      <c r="F30" s="601"/>
      <c r="G30" s="595" t="s">
        <v>2331</v>
      </c>
      <c r="H30" s="857"/>
      <c r="I30" s="860"/>
      <c r="J30" s="857"/>
    </row>
    <row r="31" spans="1:70">
      <c r="A31" s="578" t="s">
        <v>2316</v>
      </c>
      <c r="B31" s="577" t="s">
        <v>2317</v>
      </c>
      <c r="C31" s="596"/>
      <c r="D31" s="596"/>
      <c r="E31" s="596"/>
      <c r="F31" s="600" t="e">
        <f>C24-C25-D26-E27-F28-F29</f>
        <v>#VALUE!</v>
      </c>
      <c r="G31" s="598"/>
      <c r="H31" s="857"/>
      <c r="I31" s="860"/>
      <c r="J31" s="857"/>
    </row>
    <row r="32" spans="1:70">
      <c r="A32" s="269" t="s">
        <v>375</v>
      </c>
      <c r="B32" s="581" t="s">
        <v>1616</v>
      </c>
      <c r="C32" s="2"/>
      <c r="D32" s="2"/>
      <c r="E32" s="2"/>
      <c r="F32" s="2"/>
      <c r="G32" s="595" t="s">
        <v>764</v>
      </c>
      <c r="H32" s="857"/>
      <c r="I32" s="860"/>
      <c r="J32" s="857"/>
    </row>
    <row r="33" spans="1:70" ht="28.5" customHeight="1">
      <c r="A33" s="269" t="s">
        <v>377</v>
      </c>
      <c r="B33" s="262" t="s">
        <v>3041</v>
      </c>
      <c r="C33" s="2"/>
      <c r="D33" s="2"/>
      <c r="E33" s="2"/>
      <c r="F33" s="2"/>
      <c r="G33" s="595" t="s">
        <v>765</v>
      </c>
      <c r="H33" s="857"/>
      <c r="I33" s="860"/>
      <c r="J33" s="857"/>
    </row>
    <row r="34" spans="1:70">
      <c r="A34" s="269">
        <v>14</v>
      </c>
      <c r="B34" s="262" t="s">
        <v>220</v>
      </c>
      <c r="C34" s="2"/>
      <c r="D34" s="2"/>
      <c r="E34" s="2"/>
      <c r="F34" s="410" t="s">
        <v>766</v>
      </c>
      <c r="G34" s="598"/>
      <c r="H34" s="857"/>
      <c r="I34" s="860"/>
      <c r="J34" s="857"/>
    </row>
    <row r="35" spans="1:70">
      <c r="A35" s="269">
        <v>15</v>
      </c>
      <c r="B35" s="262" t="s">
        <v>2318</v>
      </c>
      <c r="C35" s="2"/>
      <c r="D35" s="2"/>
      <c r="E35" s="2"/>
      <c r="F35" s="598"/>
      <c r="G35" s="598"/>
      <c r="H35" s="857"/>
      <c r="I35" s="860"/>
      <c r="J35" s="857"/>
    </row>
    <row r="36" spans="1:70" ht="25.5">
      <c r="A36" s="269" t="s">
        <v>2319</v>
      </c>
      <c r="B36" s="262" t="s">
        <v>221</v>
      </c>
      <c r="C36" s="2"/>
      <c r="D36" s="2"/>
      <c r="E36" s="2"/>
      <c r="F36" s="354" t="s">
        <v>237</v>
      </c>
      <c r="G36" s="598"/>
      <c r="H36" s="857"/>
      <c r="I36" s="860"/>
      <c r="J36" s="857"/>
    </row>
    <row r="37" spans="1:70" ht="38.25">
      <c r="A37" s="269" t="s">
        <v>2320</v>
      </c>
      <c r="B37" s="580" t="s">
        <v>2322</v>
      </c>
      <c r="C37" s="2"/>
      <c r="D37" s="2"/>
      <c r="E37" s="2"/>
      <c r="F37" s="2"/>
      <c r="G37" s="354" t="s">
        <v>2332</v>
      </c>
      <c r="H37" s="857"/>
      <c r="I37" s="860"/>
      <c r="J37" s="857"/>
    </row>
    <row r="38" spans="1:70" ht="25.5">
      <c r="A38" s="269" t="s">
        <v>2321</v>
      </c>
      <c r="B38" s="580" t="s">
        <v>2323</v>
      </c>
      <c r="C38" s="2"/>
      <c r="D38" s="2"/>
      <c r="E38" s="2"/>
      <c r="F38" s="2"/>
      <c r="G38" s="354" t="s">
        <v>2333</v>
      </c>
      <c r="H38" s="857"/>
      <c r="I38" s="860"/>
      <c r="J38" s="857"/>
    </row>
    <row r="39" spans="1:70" ht="48.75" customHeight="1">
      <c r="A39" s="269">
        <v>16</v>
      </c>
      <c r="B39" s="262" t="s">
        <v>829</v>
      </c>
      <c r="C39" s="5" t="s">
        <v>2661</v>
      </c>
      <c r="D39" s="2"/>
      <c r="E39" s="2"/>
      <c r="F39" s="2"/>
      <c r="G39" s="2"/>
      <c r="H39" s="857"/>
      <c r="I39" s="860"/>
      <c r="J39" s="857"/>
    </row>
    <row r="40" spans="1:70">
      <c r="A40" s="269">
        <v>17</v>
      </c>
      <c r="B40" s="262" t="s">
        <v>830</v>
      </c>
      <c r="C40" s="365"/>
      <c r="D40" s="365"/>
      <c r="E40" s="365"/>
      <c r="F40" s="775">
        <v>0</v>
      </c>
      <c r="G40" s="2"/>
      <c r="H40" s="857"/>
      <c r="I40" s="860"/>
      <c r="J40" s="857"/>
    </row>
    <row r="41" spans="1:70">
      <c r="A41" s="269">
        <v>18</v>
      </c>
      <c r="B41" s="262" t="s">
        <v>1741</v>
      </c>
      <c r="C41" s="5" t="s">
        <v>2047</v>
      </c>
      <c r="D41" s="2"/>
      <c r="E41" s="2"/>
      <c r="F41" s="2"/>
      <c r="G41" s="2"/>
      <c r="H41" s="857"/>
      <c r="I41" s="860"/>
      <c r="J41" s="857"/>
    </row>
    <row r="42" spans="1:70" s="482" customFormat="1" ht="25.5">
      <c r="A42" s="606">
        <v>19</v>
      </c>
      <c r="B42" s="581" t="s">
        <v>1617</v>
      </c>
      <c r="C42" s="2"/>
      <c r="D42" s="2"/>
      <c r="E42" s="2"/>
      <c r="F42" s="2"/>
      <c r="G42" s="354" t="s">
        <v>2704</v>
      </c>
      <c r="H42" s="865"/>
      <c r="I42" s="866"/>
      <c r="J42" s="865"/>
      <c r="K42" s="614"/>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row>
    <row r="43" spans="1:70">
      <c r="A43" s="269">
        <v>20</v>
      </c>
      <c r="B43" s="262" t="s">
        <v>27</v>
      </c>
      <c r="C43" s="602">
        <v>0</v>
      </c>
      <c r="D43" s="2"/>
      <c r="E43" s="2"/>
      <c r="F43" s="763" t="e">
        <f>Balance!C36-C44-D44-E44-F14-F18-F28-F29-F31-F34-F36-F40-G44</f>
        <v>#VALUE!</v>
      </c>
      <c r="G43" s="603"/>
      <c r="I43" s="860"/>
    </row>
    <row r="44" spans="1:70" ht="27">
      <c r="A44" s="269">
        <v>21</v>
      </c>
      <c r="B44" s="262" t="s">
        <v>28</v>
      </c>
      <c r="C44" s="18" t="e">
        <f>SUM(C9:C43)-C12-C15-C24</f>
        <v>#VALUE!</v>
      </c>
      <c r="D44" s="5" t="e">
        <f>SUM(D9:D43)</f>
        <v>#VALUE!</v>
      </c>
      <c r="E44" s="5" t="e">
        <f>SUM(E9:E43)</f>
        <v>#VALUE!</v>
      </c>
      <c r="F44" s="18" t="e">
        <f>SUM(F9:F43)</f>
        <v>#VALUE!</v>
      </c>
      <c r="G44" s="18">
        <f>SUM(G9:G43)</f>
        <v>0</v>
      </c>
      <c r="H44" s="860" t="e">
        <f>SUM(C44:G44)</f>
        <v>#VALUE!</v>
      </c>
      <c r="I44" s="868"/>
      <c r="J44" s="860"/>
    </row>
    <row r="45" spans="1:70" ht="25.5">
      <c r="A45" s="269">
        <v>22</v>
      </c>
      <c r="B45" s="262" t="s">
        <v>555</v>
      </c>
      <c r="C45" s="2"/>
      <c r="D45" s="5" t="e">
        <f>D44*D5</f>
        <v>#VALUE!</v>
      </c>
      <c r="E45" s="5" t="e">
        <f>E44*E5</f>
        <v>#VALUE!</v>
      </c>
      <c r="F45" s="18" t="e">
        <f>F44*F5</f>
        <v>#VALUE!</v>
      </c>
      <c r="G45" s="18">
        <f>G44*G5</f>
        <v>0</v>
      </c>
      <c r="H45" s="857"/>
      <c r="I45" s="860"/>
      <c r="J45" s="857"/>
    </row>
    <row r="46" spans="1:70" ht="13.5" thickBot="1">
      <c r="A46" s="272">
        <v>23</v>
      </c>
      <c r="B46" s="273" t="s">
        <v>457</v>
      </c>
      <c r="C46" s="3"/>
      <c r="D46" s="3"/>
      <c r="E46" s="3"/>
      <c r="F46" s="2"/>
      <c r="G46" s="478" t="e">
        <f>SUM(D45:G45)</f>
        <v>#VALUE!</v>
      </c>
      <c r="H46" s="857"/>
      <c r="I46" s="860"/>
      <c r="J46" s="857"/>
    </row>
    <row r="47" spans="1:70">
      <c r="A47" s="19"/>
      <c r="B47" s="20"/>
      <c r="C47" s="21"/>
      <c r="D47" s="21"/>
      <c r="E47" s="21"/>
      <c r="F47" s="479"/>
      <c r="G47" s="21"/>
      <c r="H47" s="857"/>
      <c r="I47" s="857"/>
      <c r="J47" s="857"/>
    </row>
    <row r="48" spans="1:70" ht="13.5" thickBot="1">
      <c r="A48" s="19"/>
      <c r="B48" s="22"/>
      <c r="C48" s="22"/>
      <c r="D48" s="22"/>
      <c r="E48" s="22"/>
      <c r="F48" s="480"/>
      <c r="G48" s="21"/>
      <c r="H48" s="857"/>
      <c r="I48" s="857"/>
      <c r="J48" s="857"/>
    </row>
    <row r="49" spans="1:10">
      <c r="A49" s="263" t="s">
        <v>2043</v>
      </c>
      <c r="B49" s="264" t="s">
        <v>2044</v>
      </c>
      <c r="C49" s="979" t="s">
        <v>458</v>
      </c>
      <c r="D49" s="278">
        <v>0</v>
      </c>
      <c r="E49" s="278">
        <v>0.2</v>
      </c>
      <c r="F49" s="583">
        <v>0.5</v>
      </c>
      <c r="G49" s="592">
        <v>1</v>
      </c>
      <c r="H49" s="982" t="s">
        <v>374</v>
      </c>
      <c r="I49" s="869"/>
      <c r="J49" s="968"/>
    </row>
    <row r="50" spans="1:10">
      <c r="A50" s="266"/>
      <c r="B50" s="758"/>
      <c r="C50" s="980"/>
      <c r="D50" s="969" t="s">
        <v>2045</v>
      </c>
      <c r="E50" s="969" t="s">
        <v>2045</v>
      </c>
      <c r="F50" s="971" t="s">
        <v>2045</v>
      </c>
      <c r="G50" s="969" t="s">
        <v>2045</v>
      </c>
      <c r="H50" s="982"/>
      <c r="I50" s="973"/>
      <c r="J50" s="968"/>
    </row>
    <row r="51" spans="1:10">
      <c r="A51" s="266"/>
      <c r="B51" s="758"/>
      <c r="C51" s="981"/>
      <c r="D51" s="970"/>
      <c r="E51" s="970"/>
      <c r="F51" s="972"/>
      <c r="G51" s="970"/>
      <c r="H51" s="982"/>
      <c r="I51" s="974"/>
      <c r="J51" s="968"/>
    </row>
    <row r="52" spans="1:10" ht="12.75" customHeight="1">
      <c r="A52" s="267"/>
      <c r="B52" s="758" t="s">
        <v>2185</v>
      </c>
      <c r="C52" s="758" t="s">
        <v>2186</v>
      </c>
      <c r="D52" s="758" t="s">
        <v>2187</v>
      </c>
      <c r="E52" s="758" t="s">
        <v>2188</v>
      </c>
      <c r="F52" s="759" t="s">
        <v>2189</v>
      </c>
      <c r="G52" s="758" t="s">
        <v>459</v>
      </c>
      <c r="H52" s="870" t="s">
        <v>460</v>
      </c>
      <c r="I52" s="871"/>
      <c r="J52" s="871"/>
    </row>
    <row r="53" spans="1:10" ht="12.75" customHeight="1">
      <c r="A53" s="267"/>
      <c r="B53" s="758" t="s">
        <v>2023</v>
      </c>
      <c r="C53" s="261"/>
      <c r="D53" s="274"/>
      <c r="E53" s="274"/>
      <c r="F53" s="584"/>
      <c r="G53" s="274"/>
      <c r="H53" s="872"/>
      <c r="I53" s="873"/>
      <c r="J53" s="865"/>
    </row>
    <row r="54" spans="1:10" ht="27" customHeight="1">
      <c r="A54" s="279">
        <v>1</v>
      </c>
      <c r="B54" s="262" t="s">
        <v>662</v>
      </c>
      <c r="C54" s="365"/>
      <c r="D54" s="365"/>
      <c r="E54" s="2"/>
      <c r="F54" s="588" t="s">
        <v>1073</v>
      </c>
      <c r="G54" s="365"/>
      <c r="H54" s="874"/>
      <c r="I54" s="875"/>
      <c r="J54" s="876"/>
    </row>
    <row r="55" spans="1:10">
      <c r="A55" s="280" t="s">
        <v>663</v>
      </c>
      <c r="B55" s="262" t="s">
        <v>1003</v>
      </c>
      <c r="C55" s="367">
        <v>0.5</v>
      </c>
      <c r="D55" s="70"/>
      <c r="E55" s="70"/>
      <c r="F55" s="585"/>
      <c r="G55" s="70"/>
      <c r="H55" s="877">
        <f>C55*D$49*D55+C55*E$49*E55+C55*F$49*F55+C55*G$49*G55</f>
        <v>0</v>
      </c>
      <c r="I55" s="878"/>
      <c r="J55" s="879"/>
    </row>
    <row r="56" spans="1:10">
      <c r="A56" s="280" t="s">
        <v>2231</v>
      </c>
      <c r="B56" s="262" t="s">
        <v>1004</v>
      </c>
      <c r="C56" s="275">
        <v>0.2</v>
      </c>
      <c r="D56" s="70"/>
      <c r="E56" s="436" t="e">
        <f>F54-F55</f>
        <v>#VALUE!</v>
      </c>
      <c r="F56" s="586"/>
      <c r="G56" s="70"/>
      <c r="H56" s="877" t="e">
        <f t="shared" ref="H56:H62" si="0">C56*D$49*D56+C56*E$49*E56+C56*F$49*F56+C56*G$49*G56</f>
        <v>#VALUE!</v>
      </c>
      <c r="I56" s="878"/>
      <c r="J56" s="879"/>
    </row>
    <row r="57" spans="1:10" ht="38.25">
      <c r="A57" s="279">
        <v>2</v>
      </c>
      <c r="B57" s="262" t="s">
        <v>2145</v>
      </c>
      <c r="C57" s="275">
        <v>1</v>
      </c>
      <c r="D57" s="5"/>
      <c r="E57" s="70"/>
      <c r="F57" s="586" t="s">
        <v>264</v>
      </c>
      <c r="G57" s="70"/>
      <c r="H57" s="877" t="e">
        <f t="shared" si="0"/>
        <v>#VALUE!</v>
      </c>
      <c r="I57" s="878"/>
      <c r="J57" s="879"/>
    </row>
    <row r="58" spans="1:10">
      <c r="A58" s="279">
        <v>3</v>
      </c>
      <c r="B58" s="593" t="s">
        <v>2324</v>
      </c>
      <c r="C58" s="275">
        <v>1</v>
      </c>
      <c r="D58" s="70"/>
      <c r="E58" s="365"/>
      <c r="F58" s="588"/>
      <c r="G58" s="5" t="s">
        <v>238</v>
      </c>
      <c r="H58" s="877" t="e">
        <f t="shared" si="0"/>
        <v>#VALUE!</v>
      </c>
      <c r="I58" s="880"/>
      <c r="J58" s="879"/>
    </row>
    <row r="59" spans="1:10">
      <c r="A59" s="279">
        <v>4</v>
      </c>
      <c r="B59" s="262" t="s">
        <v>2325</v>
      </c>
      <c r="C59" s="368"/>
      <c r="D59" s="365"/>
      <c r="E59" s="365"/>
      <c r="F59" s="588"/>
      <c r="G59" s="365" t="s">
        <v>547</v>
      </c>
      <c r="H59" s="881"/>
      <c r="I59" s="875"/>
      <c r="J59" s="875"/>
    </row>
    <row r="60" spans="1:10">
      <c r="A60" s="280" t="s">
        <v>663</v>
      </c>
      <c r="B60" s="262" t="s">
        <v>219</v>
      </c>
      <c r="C60" s="275">
        <v>1</v>
      </c>
      <c r="D60" s="70"/>
      <c r="E60" s="70"/>
      <c r="F60" s="587"/>
      <c r="G60" s="5" t="e">
        <f>G59-G61</f>
        <v>#VALUE!</v>
      </c>
      <c r="H60" s="877" t="e">
        <f t="shared" si="0"/>
        <v>#VALUE!</v>
      </c>
      <c r="I60" s="880"/>
      <c r="J60" s="879"/>
    </row>
    <row r="61" spans="1:10">
      <c r="A61" s="280" t="s">
        <v>2231</v>
      </c>
      <c r="B61" s="262" t="s">
        <v>711</v>
      </c>
      <c r="C61" s="275">
        <v>0.5</v>
      </c>
      <c r="D61" s="70"/>
      <c r="E61" s="70"/>
      <c r="F61" s="586"/>
      <c r="G61" s="366"/>
      <c r="H61" s="877">
        <f t="shared" si="0"/>
        <v>0</v>
      </c>
      <c r="I61" s="880"/>
      <c r="J61" s="879"/>
    </row>
    <row r="62" spans="1:10" ht="25.5">
      <c r="A62" s="280" t="s">
        <v>159</v>
      </c>
      <c r="B62" s="262" t="s">
        <v>1752</v>
      </c>
      <c r="C62" s="275">
        <v>0.2</v>
      </c>
      <c r="D62" s="70"/>
      <c r="E62" s="70"/>
      <c r="F62" s="586"/>
      <c r="G62" s="410" t="s">
        <v>1593</v>
      </c>
      <c r="H62" s="877" t="e">
        <f t="shared" si="0"/>
        <v>#VALUE!</v>
      </c>
      <c r="I62" s="880"/>
      <c r="J62" s="879"/>
    </row>
    <row r="63" spans="1:10" ht="25.5">
      <c r="A63" s="279">
        <v>5</v>
      </c>
      <c r="B63" s="262" t="s">
        <v>2334</v>
      </c>
      <c r="C63" s="276"/>
      <c r="D63" s="2"/>
      <c r="E63" s="2"/>
      <c r="F63" s="588"/>
      <c r="G63" s="365"/>
      <c r="H63" s="874"/>
      <c r="I63" s="875"/>
      <c r="J63" s="876"/>
    </row>
    <row r="64" spans="1:10">
      <c r="A64" s="280" t="s">
        <v>663</v>
      </c>
      <c r="B64" s="262" t="s">
        <v>1664</v>
      </c>
      <c r="C64" s="276"/>
      <c r="D64" s="2"/>
      <c r="E64" s="2"/>
      <c r="F64" s="588"/>
      <c r="G64" s="365" t="s">
        <v>548</v>
      </c>
      <c r="H64" s="874"/>
      <c r="I64" s="875"/>
      <c r="J64" s="876"/>
    </row>
    <row r="65" spans="1:10">
      <c r="A65" s="280" t="s">
        <v>1665</v>
      </c>
      <c r="B65" s="262" t="s">
        <v>1371</v>
      </c>
      <c r="C65" s="277">
        <v>5.0000000000000001E-3</v>
      </c>
      <c r="D65" s="70"/>
      <c r="E65" s="70"/>
      <c r="F65" s="587"/>
      <c r="G65" s="23" t="e">
        <f>G64-G66-G67-G69-G70-G71</f>
        <v>#VALUE!</v>
      </c>
      <c r="H65" s="877" t="e">
        <f t="shared" ref="H65:H71" si="1">C65*D$49*D65+C65*E$49*E65+C65*F$49*F65+C65*G$49*G65</f>
        <v>#VALUE!</v>
      </c>
      <c r="I65" s="879"/>
      <c r="J65" s="879"/>
    </row>
    <row r="66" spans="1:10" ht="25.5" customHeight="1">
      <c r="A66" s="280" t="s">
        <v>1372</v>
      </c>
      <c r="B66" s="262" t="s">
        <v>1373</v>
      </c>
      <c r="C66" s="275">
        <v>0.01</v>
      </c>
      <c r="D66" s="70"/>
      <c r="E66" s="70"/>
      <c r="F66" s="586"/>
      <c r="G66" s="366"/>
      <c r="H66" s="877">
        <f t="shared" si="1"/>
        <v>0</v>
      </c>
      <c r="I66" s="880"/>
      <c r="J66" s="879"/>
    </row>
    <row r="67" spans="1:10" ht="25.5">
      <c r="A67" s="280" t="s">
        <v>1374</v>
      </c>
      <c r="B67" s="262" t="s">
        <v>234</v>
      </c>
      <c r="C67" s="275">
        <v>0.02</v>
      </c>
      <c r="D67" s="70"/>
      <c r="E67" s="70"/>
      <c r="F67" s="586"/>
      <c r="G67" s="366"/>
      <c r="H67" s="877">
        <f t="shared" si="1"/>
        <v>0</v>
      </c>
      <c r="I67" s="880"/>
      <c r="J67" s="879"/>
    </row>
    <row r="68" spans="1:10">
      <c r="A68" s="280" t="s">
        <v>2231</v>
      </c>
      <c r="B68" s="262" t="s">
        <v>235</v>
      </c>
      <c r="C68" s="276"/>
      <c r="D68" s="2"/>
      <c r="E68" s="2"/>
      <c r="F68" s="588"/>
      <c r="G68" s="365"/>
      <c r="H68" s="874"/>
      <c r="I68" s="875"/>
      <c r="J68" s="876"/>
    </row>
    <row r="69" spans="1:10">
      <c r="A69" s="280" t="s">
        <v>1746</v>
      </c>
      <c r="B69" s="262" t="s">
        <v>1747</v>
      </c>
      <c r="C69" s="275">
        <v>0.02</v>
      </c>
      <c r="D69" s="70"/>
      <c r="E69" s="70"/>
      <c r="F69" s="586"/>
      <c r="G69" s="366"/>
      <c r="H69" s="877">
        <f t="shared" si="1"/>
        <v>0</v>
      </c>
      <c r="I69" s="880"/>
      <c r="J69" s="879"/>
    </row>
    <row r="70" spans="1:10" ht="25.5">
      <c r="A70" s="280" t="s">
        <v>1748</v>
      </c>
      <c r="B70" s="262" t="s">
        <v>1013</v>
      </c>
      <c r="C70" s="275">
        <v>0.05</v>
      </c>
      <c r="D70" s="70"/>
      <c r="E70" s="70"/>
      <c r="F70" s="586"/>
      <c r="G70" s="366"/>
      <c r="H70" s="877">
        <f t="shared" si="1"/>
        <v>0</v>
      </c>
      <c r="I70" s="880"/>
      <c r="J70" s="879"/>
    </row>
    <row r="71" spans="1:10" ht="25.5">
      <c r="A71" s="280" t="s">
        <v>1014</v>
      </c>
      <c r="B71" s="262" t="s">
        <v>1015</v>
      </c>
      <c r="C71" s="275">
        <v>0.08</v>
      </c>
      <c r="D71" s="70"/>
      <c r="E71" s="70"/>
      <c r="F71" s="586"/>
      <c r="G71" s="366"/>
      <c r="H71" s="877">
        <f t="shared" si="1"/>
        <v>0</v>
      </c>
      <c r="I71" s="880"/>
      <c r="J71" s="879"/>
    </row>
    <row r="72" spans="1:10">
      <c r="A72" s="279">
        <v>6</v>
      </c>
      <c r="B72" s="262" t="s">
        <v>268</v>
      </c>
      <c r="C72" s="276"/>
      <c r="D72" s="23">
        <f>SUM(D55:D71)</f>
        <v>0</v>
      </c>
      <c r="E72" s="23" t="e">
        <f>SUM(E55:E71)</f>
        <v>#VALUE!</v>
      </c>
      <c r="F72" s="589">
        <f>SUM(F55:F71)</f>
        <v>0</v>
      </c>
      <c r="G72" s="23" t="e">
        <f>SUM(G55:G71)-G64-G59</f>
        <v>#VALUE!</v>
      </c>
      <c r="H72" s="874"/>
      <c r="I72" s="879"/>
      <c r="J72" s="876"/>
    </row>
    <row r="73" spans="1:10" ht="25.5" customHeight="1">
      <c r="A73" s="279">
        <v>7</v>
      </c>
      <c r="B73" s="262" t="s">
        <v>2106</v>
      </c>
      <c r="C73" s="276"/>
      <c r="D73" s="2"/>
      <c r="E73" s="2"/>
      <c r="F73" s="590"/>
      <c r="G73" s="2"/>
      <c r="H73" s="877" t="e">
        <f>SUM(H55:H71)</f>
        <v>#VALUE!</v>
      </c>
      <c r="I73" s="876"/>
      <c r="J73" s="879"/>
    </row>
    <row r="74" spans="1:10" ht="13.5" thickBot="1">
      <c r="A74" s="281">
        <v>8</v>
      </c>
      <c r="B74" s="273" t="s">
        <v>2107</v>
      </c>
      <c r="C74" s="282"/>
      <c r="D74" s="3"/>
      <c r="E74" s="3"/>
      <c r="F74" s="591"/>
      <c r="G74" s="2"/>
      <c r="H74" s="877" t="e">
        <f>G46+H73</f>
        <v>#VALUE!</v>
      </c>
      <c r="I74" s="876"/>
      <c r="J74" s="879"/>
    </row>
    <row r="75" spans="1:10">
      <c r="I75" s="882"/>
      <c r="J75" s="882"/>
    </row>
    <row r="76" spans="1:10">
      <c r="B76" s="24" t="s">
        <v>102</v>
      </c>
      <c r="I76" s="882"/>
      <c r="J76" s="882"/>
    </row>
    <row r="77" spans="1:10">
      <c r="B77" s="24" t="s">
        <v>1198</v>
      </c>
      <c r="I77" s="882"/>
      <c r="J77" s="882"/>
    </row>
    <row r="78" spans="1:10">
      <c r="I78" s="882"/>
      <c r="J78" s="882"/>
    </row>
    <row r="79" spans="1:10">
      <c r="I79" s="882"/>
      <c r="J79" s="882"/>
    </row>
    <row r="80" spans="1:10">
      <c r="A80" s="17"/>
      <c r="B80" s="14" t="s">
        <v>246</v>
      </c>
      <c r="I80" s="882"/>
      <c r="J80" s="882"/>
    </row>
  </sheetData>
  <mergeCells count="11">
    <mergeCell ref="E1:G1"/>
    <mergeCell ref="F2:G2"/>
    <mergeCell ref="A2:E2"/>
    <mergeCell ref="C49:C51"/>
    <mergeCell ref="H49:H51"/>
    <mergeCell ref="J49:J51"/>
    <mergeCell ref="D50:D51"/>
    <mergeCell ref="E50:E51"/>
    <mergeCell ref="F50:F51"/>
    <mergeCell ref="G50:G51"/>
    <mergeCell ref="I50:I51"/>
  </mergeCells>
  <phoneticPr fontId="0" type="noConversion"/>
  <conditionalFormatting sqref="H44 J44">
    <cfRule type="cellIs" dxfId="35" priority="1" stopIfTrue="1" operator="notEqual">
      <formula>#REF!</formula>
    </cfRule>
  </conditionalFormatting>
  <dataValidations count="2">
    <dataValidation type="whole" operator="greaterThanOrEqual" allowBlank="1" showInputMessage="1" showErrorMessage="1" sqref="D59:F59 IZ59:JB59 SV59:SX59 ACR59:ACT59 AMN59:AMP59 AWJ59:AWL59 BGF59:BGH59 BQB59:BQD59 BZX59:BZZ59 CJT59:CJV59 CTP59:CTR59 DDL59:DDN59 DNH59:DNJ59 DXD59:DXF59 EGZ59:EHB59 EQV59:EQX59 FAR59:FAT59 FKN59:FKP59 FUJ59:FUL59 GEF59:GEH59 GOB59:GOD59 GXX59:GXZ59 HHT59:HHV59 HRP59:HRR59 IBL59:IBN59 ILH59:ILJ59 IVD59:IVF59 JEZ59:JFB59 JOV59:JOX59 JYR59:JYT59 KIN59:KIP59 KSJ59:KSL59 LCF59:LCH59 LMB59:LMD59 LVX59:LVZ59 MFT59:MFV59 MPP59:MPR59 MZL59:MZN59 NJH59:NJJ59 NTD59:NTF59 OCZ59:ODB59 OMV59:OMX59 OWR59:OWT59 PGN59:PGP59 PQJ59:PQL59 QAF59:QAH59 QKB59:QKD59 QTX59:QTZ59 RDT59:RDV59 RNP59:RNR59 RXL59:RXN59 SHH59:SHJ59 SRD59:SRF59 TAZ59:TBB59 TKV59:TKX59 TUR59:TUT59 UEN59:UEP59 UOJ59:UOL59 UYF59:UYH59 VIB59:VID59 VRX59:VRZ59 WBT59:WBV59 WLP59:WLR59 WVL59:WVN59 D65595:F65595 IZ65595:JB65595 SV65595:SX65595 ACR65595:ACT65595 AMN65595:AMP65595 AWJ65595:AWL65595 BGF65595:BGH65595 BQB65595:BQD65595 BZX65595:BZZ65595 CJT65595:CJV65595 CTP65595:CTR65595 DDL65595:DDN65595 DNH65595:DNJ65595 DXD65595:DXF65595 EGZ65595:EHB65595 EQV65595:EQX65595 FAR65595:FAT65595 FKN65595:FKP65595 FUJ65595:FUL65595 GEF65595:GEH65595 GOB65595:GOD65595 GXX65595:GXZ65595 HHT65595:HHV65595 HRP65595:HRR65595 IBL65595:IBN65595 ILH65595:ILJ65595 IVD65595:IVF65595 JEZ65595:JFB65595 JOV65595:JOX65595 JYR65595:JYT65595 KIN65595:KIP65595 KSJ65595:KSL65595 LCF65595:LCH65595 LMB65595:LMD65595 LVX65595:LVZ65595 MFT65595:MFV65595 MPP65595:MPR65595 MZL65595:MZN65595 NJH65595:NJJ65595 NTD65595:NTF65595 OCZ65595:ODB65595 OMV65595:OMX65595 OWR65595:OWT65595 PGN65595:PGP65595 PQJ65595:PQL65595 QAF65595:QAH65595 QKB65595:QKD65595 QTX65595:QTZ65595 RDT65595:RDV65595 RNP65595:RNR65595 RXL65595:RXN65595 SHH65595:SHJ65595 SRD65595:SRF65595 TAZ65595:TBB65595 TKV65595:TKX65595 TUR65595:TUT65595 UEN65595:UEP65595 UOJ65595:UOL65595 UYF65595:UYH65595 VIB65595:VID65595 VRX65595:VRZ65595 WBT65595:WBV65595 WLP65595:WLR65595 WVL65595:WVN65595 D131131:F131131 IZ131131:JB131131 SV131131:SX131131 ACR131131:ACT131131 AMN131131:AMP131131 AWJ131131:AWL131131 BGF131131:BGH131131 BQB131131:BQD131131 BZX131131:BZZ131131 CJT131131:CJV131131 CTP131131:CTR131131 DDL131131:DDN131131 DNH131131:DNJ131131 DXD131131:DXF131131 EGZ131131:EHB131131 EQV131131:EQX131131 FAR131131:FAT131131 FKN131131:FKP131131 FUJ131131:FUL131131 GEF131131:GEH131131 GOB131131:GOD131131 GXX131131:GXZ131131 HHT131131:HHV131131 HRP131131:HRR131131 IBL131131:IBN131131 ILH131131:ILJ131131 IVD131131:IVF131131 JEZ131131:JFB131131 JOV131131:JOX131131 JYR131131:JYT131131 KIN131131:KIP131131 KSJ131131:KSL131131 LCF131131:LCH131131 LMB131131:LMD131131 LVX131131:LVZ131131 MFT131131:MFV131131 MPP131131:MPR131131 MZL131131:MZN131131 NJH131131:NJJ131131 NTD131131:NTF131131 OCZ131131:ODB131131 OMV131131:OMX131131 OWR131131:OWT131131 PGN131131:PGP131131 PQJ131131:PQL131131 QAF131131:QAH131131 QKB131131:QKD131131 QTX131131:QTZ131131 RDT131131:RDV131131 RNP131131:RNR131131 RXL131131:RXN131131 SHH131131:SHJ131131 SRD131131:SRF131131 TAZ131131:TBB131131 TKV131131:TKX131131 TUR131131:TUT131131 UEN131131:UEP131131 UOJ131131:UOL131131 UYF131131:UYH131131 VIB131131:VID131131 VRX131131:VRZ131131 WBT131131:WBV131131 WLP131131:WLR131131 WVL131131:WVN131131 D196667:F196667 IZ196667:JB196667 SV196667:SX196667 ACR196667:ACT196667 AMN196667:AMP196667 AWJ196667:AWL196667 BGF196667:BGH196667 BQB196667:BQD196667 BZX196667:BZZ196667 CJT196667:CJV196667 CTP196667:CTR196667 DDL196667:DDN196667 DNH196667:DNJ196667 DXD196667:DXF196667 EGZ196667:EHB196667 EQV196667:EQX196667 FAR196667:FAT196667 FKN196667:FKP196667 FUJ196667:FUL196667 GEF196667:GEH196667 GOB196667:GOD196667 GXX196667:GXZ196667 HHT196667:HHV196667 HRP196667:HRR196667 IBL196667:IBN196667 ILH196667:ILJ196667 IVD196667:IVF196667 JEZ196667:JFB196667 JOV196667:JOX196667 JYR196667:JYT196667 KIN196667:KIP196667 KSJ196667:KSL196667 LCF196667:LCH196667 LMB196667:LMD196667 LVX196667:LVZ196667 MFT196667:MFV196667 MPP196667:MPR196667 MZL196667:MZN196667 NJH196667:NJJ196667 NTD196667:NTF196667 OCZ196667:ODB196667 OMV196667:OMX196667 OWR196667:OWT196667 PGN196667:PGP196667 PQJ196667:PQL196667 QAF196667:QAH196667 QKB196667:QKD196667 QTX196667:QTZ196667 RDT196667:RDV196667 RNP196667:RNR196667 RXL196667:RXN196667 SHH196667:SHJ196667 SRD196667:SRF196667 TAZ196667:TBB196667 TKV196667:TKX196667 TUR196667:TUT196667 UEN196667:UEP196667 UOJ196667:UOL196667 UYF196667:UYH196667 VIB196667:VID196667 VRX196667:VRZ196667 WBT196667:WBV196667 WLP196667:WLR196667 WVL196667:WVN196667 D262203:F262203 IZ262203:JB262203 SV262203:SX262203 ACR262203:ACT262203 AMN262203:AMP262203 AWJ262203:AWL262203 BGF262203:BGH262203 BQB262203:BQD262203 BZX262203:BZZ262203 CJT262203:CJV262203 CTP262203:CTR262203 DDL262203:DDN262203 DNH262203:DNJ262203 DXD262203:DXF262203 EGZ262203:EHB262203 EQV262203:EQX262203 FAR262203:FAT262203 FKN262203:FKP262203 FUJ262203:FUL262203 GEF262203:GEH262203 GOB262203:GOD262203 GXX262203:GXZ262203 HHT262203:HHV262203 HRP262203:HRR262203 IBL262203:IBN262203 ILH262203:ILJ262203 IVD262203:IVF262203 JEZ262203:JFB262203 JOV262203:JOX262203 JYR262203:JYT262203 KIN262203:KIP262203 KSJ262203:KSL262203 LCF262203:LCH262203 LMB262203:LMD262203 LVX262203:LVZ262203 MFT262203:MFV262203 MPP262203:MPR262203 MZL262203:MZN262203 NJH262203:NJJ262203 NTD262203:NTF262203 OCZ262203:ODB262203 OMV262203:OMX262203 OWR262203:OWT262203 PGN262203:PGP262203 PQJ262203:PQL262203 QAF262203:QAH262203 QKB262203:QKD262203 QTX262203:QTZ262203 RDT262203:RDV262203 RNP262203:RNR262203 RXL262203:RXN262203 SHH262203:SHJ262203 SRD262203:SRF262203 TAZ262203:TBB262203 TKV262203:TKX262203 TUR262203:TUT262203 UEN262203:UEP262203 UOJ262203:UOL262203 UYF262203:UYH262203 VIB262203:VID262203 VRX262203:VRZ262203 WBT262203:WBV262203 WLP262203:WLR262203 WVL262203:WVN262203 D327739:F327739 IZ327739:JB327739 SV327739:SX327739 ACR327739:ACT327739 AMN327739:AMP327739 AWJ327739:AWL327739 BGF327739:BGH327739 BQB327739:BQD327739 BZX327739:BZZ327739 CJT327739:CJV327739 CTP327739:CTR327739 DDL327739:DDN327739 DNH327739:DNJ327739 DXD327739:DXF327739 EGZ327739:EHB327739 EQV327739:EQX327739 FAR327739:FAT327739 FKN327739:FKP327739 FUJ327739:FUL327739 GEF327739:GEH327739 GOB327739:GOD327739 GXX327739:GXZ327739 HHT327739:HHV327739 HRP327739:HRR327739 IBL327739:IBN327739 ILH327739:ILJ327739 IVD327739:IVF327739 JEZ327739:JFB327739 JOV327739:JOX327739 JYR327739:JYT327739 KIN327739:KIP327739 KSJ327739:KSL327739 LCF327739:LCH327739 LMB327739:LMD327739 LVX327739:LVZ327739 MFT327739:MFV327739 MPP327739:MPR327739 MZL327739:MZN327739 NJH327739:NJJ327739 NTD327739:NTF327739 OCZ327739:ODB327739 OMV327739:OMX327739 OWR327739:OWT327739 PGN327739:PGP327739 PQJ327739:PQL327739 QAF327739:QAH327739 QKB327739:QKD327739 QTX327739:QTZ327739 RDT327739:RDV327739 RNP327739:RNR327739 RXL327739:RXN327739 SHH327739:SHJ327739 SRD327739:SRF327739 TAZ327739:TBB327739 TKV327739:TKX327739 TUR327739:TUT327739 UEN327739:UEP327739 UOJ327739:UOL327739 UYF327739:UYH327739 VIB327739:VID327739 VRX327739:VRZ327739 WBT327739:WBV327739 WLP327739:WLR327739 WVL327739:WVN327739 D393275:F393275 IZ393275:JB393275 SV393275:SX393275 ACR393275:ACT393275 AMN393275:AMP393275 AWJ393275:AWL393275 BGF393275:BGH393275 BQB393275:BQD393275 BZX393275:BZZ393275 CJT393275:CJV393275 CTP393275:CTR393275 DDL393275:DDN393275 DNH393275:DNJ393275 DXD393275:DXF393275 EGZ393275:EHB393275 EQV393275:EQX393275 FAR393275:FAT393275 FKN393275:FKP393275 FUJ393275:FUL393275 GEF393275:GEH393275 GOB393275:GOD393275 GXX393275:GXZ393275 HHT393275:HHV393275 HRP393275:HRR393275 IBL393275:IBN393275 ILH393275:ILJ393275 IVD393275:IVF393275 JEZ393275:JFB393275 JOV393275:JOX393275 JYR393275:JYT393275 KIN393275:KIP393275 KSJ393275:KSL393275 LCF393275:LCH393275 LMB393275:LMD393275 LVX393275:LVZ393275 MFT393275:MFV393275 MPP393275:MPR393275 MZL393275:MZN393275 NJH393275:NJJ393275 NTD393275:NTF393275 OCZ393275:ODB393275 OMV393275:OMX393275 OWR393275:OWT393275 PGN393275:PGP393275 PQJ393275:PQL393275 QAF393275:QAH393275 QKB393275:QKD393275 QTX393275:QTZ393275 RDT393275:RDV393275 RNP393275:RNR393275 RXL393275:RXN393275 SHH393275:SHJ393275 SRD393275:SRF393275 TAZ393275:TBB393275 TKV393275:TKX393275 TUR393275:TUT393275 UEN393275:UEP393275 UOJ393275:UOL393275 UYF393275:UYH393275 VIB393275:VID393275 VRX393275:VRZ393275 WBT393275:WBV393275 WLP393275:WLR393275 WVL393275:WVN393275 D458811:F458811 IZ458811:JB458811 SV458811:SX458811 ACR458811:ACT458811 AMN458811:AMP458811 AWJ458811:AWL458811 BGF458811:BGH458811 BQB458811:BQD458811 BZX458811:BZZ458811 CJT458811:CJV458811 CTP458811:CTR458811 DDL458811:DDN458811 DNH458811:DNJ458811 DXD458811:DXF458811 EGZ458811:EHB458811 EQV458811:EQX458811 FAR458811:FAT458811 FKN458811:FKP458811 FUJ458811:FUL458811 GEF458811:GEH458811 GOB458811:GOD458811 GXX458811:GXZ458811 HHT458811:HHV458811 HRP458811:HRR458811 IBL458811:IBN458811 ILH458811:ILJ458811 IVD458811:IVF458811 JEZ458811:JFB458811 JOV458811:JOX458811 JYR458811:JYT458811 KIN458811:KIP458811 KSJ458811:KSL458811 LCF458811:LCH458811 LMB458811:LMD458811 LVX458811:LVZ458811 MFT458811:MFV458811 MPP458811:MPR458811 MZL458811:MZN458811 NJH458811:NJJ458811 NTD458811:NTF458811 OCZ458811:ODB458811 OMV458811:OMX458811 OWR458811:OWT458811 PGN458811:PGP458811 PQJ458811:PQL458811 QAF458811:QAH458811 QKB458811:QKD458811 QTX458811:QTZ458811 RDT458811:RDV458811 RNP458811:RNR458811 RXL458811:RXN458811 SHH458811:SHJ458811 SRD458811:SRF458811 TAZ458811:TBB458811 TKV458811:TKX458811 TUR458811:TUT458811 UEN458811:UEP458811 UOJ458811:UOL458811 UYF458811:UYH458811 VIB458811:VID458811 VRX458811:VRZ458811 WBT458811:WBV458811 WLP458811:WLR458811 WVL458811:WVN458811 D524347:F524347 IZ524347:JB524347 SV524347:SX524347 ACR524347:ACT524347 AMN524347:AMP524347 AWJ524347:AWL524347 BGF524347:BGH524347 BQB524347:BQD524347 BZX524347:BZZ524347 CJT524347:CJV524347 CTP524347:CTR524347 DDL524347:DDN524347 DNH524347:DNJ524347 DXD524347:DXF524347 EGZ524347:EHB524347 EQV524347:EQX524347 FAR524347:FAT524347 FKN524347:FKP524347 FUJ524347:FUL524347 GEF524347:GEH524347 GOB524347:GOD524347 GXX524347:GXZ524347 HHT524347:HHV524347 HRP524347:HRR524347 IBL524347:IBN524347 ILH524347:ILJ524347 IVD524347:IVF524347 JEZ524347:JFB524347 JOV524347:JOX524347 JYR524347:JYT524347 KIN524347:KIP524347 KSJ524347:KSL524347 LCF524347:LCH524347 LMB524347:LMD524347 LVX524347:LVZ524347 MFT524347:MFV524347 MPP524347:MPR524347 MZL524347:MZN524347 NJH524347:NJJ524347 NTD524347:NTF524347 OCZ524347:ODB524347 OMV524347:OMX524347 OWR524347:OWT524347 PGN524347:PGP524347 PQJ524347:PQL524347 QAF524347:QAH524347 QKB524347:QKD524347 QTX524347:QTZ524347 RDT524347:RDV524347 RNP524347:RNR524347 RXL524347:RXN524347 SHH524347:SHJ524347 SRD524347:SRF524347 TAZ524347:TBB524347 TKV524347:TKX524347 TUR524347:TUT524347 UEN524347:UEP524347 UOJ524347:UOL524347 UYF524347:UYH524347 VIB524347:VID524347 VRX524347:VRZ524347 WBT524347:WBV524347 WLP524347:WLR524347 WVL524347:WVN524347 D589883:F589883 IZ589883:JB589883 SV589883:SX589883 ACR589883:ACT589883 AMN589883:AMP589883 AWJ589883:AWL589883 BGF589883:BGH589883 BQB589883:BQD589883 BZX589883:BZZ589883 CJT589883:CJV589883 CTP589883:CTR589883 DDL589883:DDN589883 DNH589883:DNJ589883 DXD589883:DXF589883 EGZ589883:EHB589883 EQV589883:EQX589883 FAR589883:FAT589883 FKN589883:FKP589883 FUJ589883:FUL589883 GEF589883:GEH589883 GOB589883:GOD589883 GXX589883:GXZ589883 HHT589883:HHV589883 HRP589883:HRR589883 IBL589883:IBN589883 ILH589883:ILJ589883 IVD589883:IVF589883 JEZ589883:JFB589883 JOV589883:JOX589883 JYR589883:JYT589883 KIN589883:KIP589883 KSJ589883:KSL589883 LCF589883:LCH589883 LMB589883:LMD589883 LVX589883:LVZ589883 MFT589883:MFV589883 MPP589883:MPR589883 MZL589883:MZN589883 NJH589883:NJJ589883 NTD589883:NTF589883 OCZ589883:ODB589883 OMV589883:OMX589883 OWR589883:OWT589883 PGN589883:PGP589883 PQJ589883:PQL589883 QAF589883:QAH589883 QKB589883:QKD589883 QTX589883:QTZ589883 RDT589883:RDV589883 RNP589883:RNR589883 RXL589883:RXN589883 SHH589883:SHJ589883 SRD589883:SRF589883 TAZ589883:TBB589883 TKV589883:TKX589883 TUR589883:TUT589883 UEN589883:UEP589883 UOJ589883:UOL589883 UYF589883:UYH589883 VIB589883:VID589883 VRX589883:VRZ589883 WBT589883:WBV589883 WLP589883:WLR589883 WVL589883:WVN589883 D655419:F655419 IZ655419:JB655419 SV655419:SX655419 ACR655419:ACT655419 AMN655419:AMP655419 AWJ655419:AWL655419 BGF655419:BGH655419 BQB655419:BQD655419 BZX655419:BZZ655419 CJT655419:CJV655419 CTP655419:CTR655419 DDL655419:DDN655419 DNH655419:DNJ655419 DXD655419:DXF655419 EGZ655419:EHB655419 EQV655419:EQX655419 FAR655419:FAT655419 FKN655419:FKP655419 FUJ655419:FUL655419 GEF655419:GEH655419 GOB655419:GOD655419 GXX655419:GXZ655419 HHT655419:HHV655419 HRP655419:HRR655419 IBL655419:IBN655419 ILH655419:ILJ655419 IVD655419:IVF655419 JEZ655419:JFB655419 JOV655419:JOX655419 JYR655419:JYT655419 KIN655419:KIP655419 KSJ655419:KSL655419 LCF655419:LCH655419 LMB655419:LMD655419 LVX655419:LVZ655419 MFT655419:MFV655419 MPP655419:MPR655419 MZL655419:MZN655419 NJH655419:NJJ655419 NTD655419:NTF655419 OCZ655419:ODB655419 OMV655419:OMX655419 OWR655419:OWT655419 PGN655419:PGP655419 PQJ655419:PQL655419 QAF655419:QAH655419 QKB655419:QKD655419 QTX655419:QTZ655419 RDT655419:RDV655419 RNP655419:RNR655419 RXL655419:RXN655419 SHH655419:SHJ655419 SRD655419:SRF655419 TAZ655419:TBB655419 TKV655419:TKX655419 TUR655419:TUT655419 UEN655419:UEP655419 UOJ655419:UOL655419 UYF655419:UYH655419 VIB655419:VID655419 VRX655419:VRZ655419 WBT655419:WBV655419 WLP655419:WLR655419 WVL655419:WVN655419 D720955:F720955 IZ720955:JB720955 SV720955:SX720955 ACR720955:ACT720955 AMN720955:AMP720955 AWJ720955:AWL720955 BGF720955:BGH720955 BQB720955:BQD720955 BZX720955:BZZ720955 CJT720955:CJV720955 CTP720955:CTR720955 DDL720955:DDN720955 DNH720955:DNJ720955 DXD720955:DXF720955 EGZ720955:EHB720955 EQV720955:EQX720955 FAR720955:FAT720955 FKN720955:FKP720955 FUJ720955:FUL720955 GEF720955:GEH720955 GOB720955:GOD720955 GXX720955:GXZ720955 HHT720955:HHV720955 HRP720955:HRR720955 IBL720955:IBN720955 ILH720955:ILJ720955 IVD720955:IVF720955 JEZ720955:JFB720955 JOV720955:JOX720955 JYR720955:JYT720955 KIN720955:KIP720955 KSJ720955:KSL720955 LCF720955:LCH720955 LMB720955:LMD720955 LVX720955:LVZ720955 MFT720955:MFV720955 MPP720955:MPR720955 MZL720955:MZN720955 NJH720955:NJJ720955 NTD720955:NTF720955 OCZ720955:ODB720955 OMV720955:OMX720955 OWR720955:OWT720955 PGN720955:PGP720955 PQJ720955:PQL720955 QAF720955:QAH720955 QKB720955:QKD720955 QTX720955:QTZ720955 RDT720955:RDV720955 RNP720955:RNR720955 RXL720955:RXN720955 SHH720955:SHJ720955 SRD720955:SRF720955 TAZ720955:TBB720955 TKV720955:TKX720955 TUR720955:TUT720955 UEN720955:UEP720955 UOJ720955:UOL720955 UYF720955:UYH720955 VIB720955:VID720955 VRX720955:VRZ720955 WBT720955:WBV720955 WLP720955:WLR720955 WVL720955:WVN720955 D786491:F786491 IZ786491:JB786491 SV786491:SX786491 ACR786491:ACT786491 AMN786491:AMP786491 AWJ786491:AWL786491 BGF786491:BGH786491 BQB786491:BQD786491 BZX786491:BZZ786491 CJT786491:CJV786491 CTP786491:CTR786491 DDL786491:DDN786491 DNH786491:DNJ786491 DXD786491:DXF786491 EGZ786491:EHB786491 EQV786491:EQX786491 FAR786491:FAT786491 FKN786491:FKP786491 FUJ786491:FUL786491 GEF786491:GEH786491 GOB786491:GOD786491 GXX786491:GXZ786491 HHT786491:HHV786491 HRP786491:HRR786491 IBL786491:IBN786491 ILH786491:ILJ786491 IVD786491:IVF786491 JEZ786491:JFB786491 JOV786491:JOX786491 JYR786491:JYT786491 KIN786491:KIP786491 KSJ786491:KSL786491 LCF786491:LCH786491 LMB786491:LMD786491 LVX786491:LVZ786491 MFT786491:MFV786491 MPP786491:MPR786491 MZL786491:MZN786491 NJH786491:NJJ786491 NTD786491:NTF786491 OCZ786491:ODB786491 OMV786491:OMX786491 OWR786491:OWT786491 PGN786491:PGP786491 PQJ786491:PQL786491 QAF786491:QAH786491 QKB786491:QKD786491 QTX786491:QTZ786491 RDT786491:RDV786491 RNP786491:RNR786491 RXL786491:RXN786491 SHH786491:SHJ786491 SRD786491:SRF786491 TAZ786491:TBB786491 TKV786491:TKX786491 TUR786491:TUT786491 UEN786491:UEP786491 UOJ786491:UOL786491 UYF786491:UYH786491 VIB786491:VID786491 VRX786491:VRZ786491 WBT786491:WBV786491 WLP786491:WLR786491 WVL786491:WVN786491 D852027:F852027 IZ852027:JB852027 SV852027:SX852027 ACR852027:ACT852027 AMN852027:AMP852027 AWJ852027:AWL852027 BGF852027:BGH852027 BQB852027:BQD852027 BZX852027:BZZ852027 CJT852027:CJV852027 CTP852027:CTR852027 DDL852027:DDN852027 DNH852027:DNJ852027 DXD852027:DXF852027 EGZ852027:EHB852027 EQV852027:EQX852027 FAR852027:FAT852027 FKN852027:FKP852027 FUJ852027:FUL852027 GEF852027:GEH852027 GOB852027:GOD852027 GXX852027:GXZ852027 HHT852027:HHV852027 HRP852027:HRR852027 IBL852027:IBN852027 ILH852027:ILJ852027 IVD852027:IVF852027 JEZ852027:JFB852027 JOV852027:JOX852027 JYR852027:JYT852027 KIN852027:KIP852027 KSJ852027:KSL852027 LCF852027:LCH852027 LMB852027:LMD852027 LVX852027:LVZ852027 MFT852027:MFV852027 MPP852027:MPR852027 MZL852027:MZN852027 NJH852027:NJJ852027 NTD852027:NTF852027 OCZ852027:ODB852027 OMV852027:OMX852027 OWR852027:OWT852027 PGN852027:PGP852027 PQJ852027:PQL852027 QAF852027:QAH852027 QKB852027:QKD852027 QTX852027:QTZ852027 RDT852027:RDV852027 RNP852027:RNR852027 RXL852027:RXN852027 SHH852027:SHJ852027 SRD852027:SRF852027 TAZ852027:TBB852027 TKV852027:TKX852027 TUR852027:TUT852027 UEN852027:UEP852027 UOJ852027:UOL852027 UYF852027:UYH852027 VIB852027:VID852027 VRX852027:VRZ852027 WBT852027:WBV852027 WLP852027:WLR852027 WVL852027:WVN852027 D917563:F917563 IZ917563:JB917563 SV917563:SX917563 ACR917563:ACT917563 AMN917563:AMP917563 AWJ917563:AWL917563 BGF917563:BGH917563 BQB917563:BQD917563 BZX917563:BZZ917563 CJT917563:CJV917563 CTP917563:CTR917563 DDL917563:DDN917563 DNH917563:DNJ917563 DXD917563:DXF917563 EGZ917563:EHB917563 EQV917563:EQX917563 FAR917563:FAT917563 FKN917563:FKP917563 FUJ917563:FUL917563 GEF917563:GEH917563 GOB917563:GOD917563 GXX917563:GXZ917563 HHT917563:HHV917563 HRP917563:HRR917563 IBL917563:IBN917563 ILH917563:ILJ917563 IVD917563:IVF917563 JEZ917563:JFB917563 JOV917563:JOX917563 JYR917563:JYT917563 KIN917563:KIP917563 KSJ917563:KSL917563 LCF917563:LCH917563 LMB917563:LMD917563 LVX917563:LVZ917563 MFT917563:MFV917563 MPP917563:MPR917563 MZL917563:MZN917563 NJH917563:NJJ917563 NTD917563:NTF917563 OCZ917563:ODB917563 OMV917563:OMX917563 OWR917563:OWT917563 PGN917563:PGP917563 PQJ917563:PQL917563 QAF917563:QAH917563 QKB917563:QKD917563 QTX917563:QTZ917563 RDT917563:RDV917563 RNP917563:RNR917563 RXL917563:RXN917563 SHH917563:SHJ917563 SRD917563:SRF917563 TAZ917563:TBB917563 TKV917563:TKX917563 TUR917563:TUT917563 UEN917563:UEP917563 UOJ917563:UOL917563 UYF917563:UYH917563 VIB917563:VID917563 VRX917563:VRZ917563 WBT917563:WBV917563 WLP917563:WLR917563 WVL917563:WVN917563 D983099:F983099 IZ983099:JB983099 SV983099:SX983099 ACR983099:ACT983099 AMN983099:AMP983099 AWJ983099:AWL983099 BGF983099:BGH983099 BQB983099:BQD983099 BZX983099:BZZ983099 CJT983099:CJV983099 CTP983099:CTR983099 DDL983099:DDN983099 DNH983099:DNJ983099 DXD983099:DXF983099 EGZ983099:EHB983099 EQV983099:EQX983099 FAR983099:FAT983099 FKN983099:FKP983099 FUJ983099:FUL983099 GEF983099:GEH983099 GOB983099:GOD983099 GXX983099:GXZ983099 HHT983099:HHV983099 HRP983099:HRR983099 IBL983099:IBN983099 ILH983099:ILJ983099 IVD983099:IVF983099 JEZ983099:JFB983099 JOV983099:JOX983099 JYR983099:JYT983099 KIN983099:KIP983099 KSJ983099:KSL983099 LCF983099:LCH983099 LMB983099:LMD983099 LVX983099:LVZ983099 MFT983099:MFV983099 MPP983099:MPR983099 MZL983099:MZN983099 NJH983099:NJJ983099 NTD983099:NTF983099 OCZ983099:ODB983099 OMV983099:OMX983099 OWR983099:OWT983099 PGN983099:PGP983099 PQJ983099:PQL983099 QAF983099:QAH983099 QKB983099:QKD983099 QTX983099:QTZ983099 RDT983099:RDV983099 RNP983099:RNR983099 RXL983099:RXN983099 SHH983099:SHJ983099 SRD983099:SRF983099 TAZ983099:TBB983099 TKV983099:TKX983099 TUR983099:TUT983099 UEN983099:UEP983099 UOJ983099:UOL983099 UYF983099:UYH983099 VIB983099:VID983099 VRX983099:VRZ983099 WBT983099:WBV983099 WLP983099:WLR983099 WVL983099:WVN983099 G63 JC63 SY63 ACU63 AMQ63 AWM63 BGI63 BQE63 CAA63 CJW63 CTS63 DDO63 DNK63 DXG63 EHC63 EQY63 FAU63 FKQ63 FUM63 GEI63 GOE63 GYA63 HHW63 HRS63 IBO63 ILK63 IVG63 JFC63 JOY63 JYU63 KIQ63 KSM63 LCI63 LME63 LWA63 MFW63 MPS63 MZO63 NJK63 NTG63 ODC63 OMY63 OWU63 PGQ63 PQM63 QAI63 QKE63 QUA63 RDW63 RNS63 RXO63 SHK63 SRG63 TBC63 TKY63 TUU63 UEQ63 UOM63 UYI63 VIE63 VSA63 WBW63 WLS63 WVO63 G65599 JC65599 SY65599 ACU65599 AMQ65599 AWM65599 BGI65599 BQE65599 CAA65599 CJW65599 CTS65599 DDO65599 DNK65599 DXG65599 EHC65599 EQY65599 FAU65599 FKQ65599 FUM65599 GEI65599 GOE65599 GYA65599 HHW65599 HRS65599 IBO65599 ILK65599 IVG65599 JFC65599 JOY65599 JYU65599 KIQ65599 KSM65599 LCI65599 LME65599 LWA65599 MFW65599 MPS65599 MZO65599 NJK65599 NTG65599 ODC65599 OMY65599 OWU65599 PGQ65599 PQM65599 QAI65599 QKE65599 QUA65599 RDW65599 RNS65599 RXO65599 SHK65599 SRG65599 TBC65599 TKY65599 TUU65599 UEQ65599 UOM65599 UYI65599 VIE65599 VSA65599 WBW65599 WLS65599 WVO65599 G131135 JC131135 SY131135 ACU131135 AMQ131135 AWM131135 BGI131135 BQE131135 CAA131135 CJW131135 CTS131135 DDO131135 DNK131135 DXG131135 EHC131135 EQY131135 FAU131135 FKQ131135 FUM131135 GEI131135 GOE131135 GYA131135 HHW131135 HRS131135 IBO131135 ILK131135 IVG131135 JFC131135 JOY131135 JYU131135 KIQ131135 KSM131135 LCI131135 LME131135 LWA131135 MFW131135 MPS131135 MZO131135 NJK131135 NTG131135 ODC131135 OMY131135 OWU131135 PGQ131135 PQM131135 QAI131135 QKE131135 QUA131135 RDW131135 RNS131135 RXO131135 SHK131135 SRG131135 TBC131135 TKY131135 TUU131135 UEQ131135 UOM131135 UYI131135 VIE131135 VSA131135 WBW131135 WLS131135 WVO131135 G196671 JC196671 SY196671 ACU196671 AMQ196671 AWM196671 BGI196671 BQE196671 CAA196671 CJW196671 CTS196671 DDO196671 DNK196671 DXG196671 EHC196671 EQY196671 FAU196671 FKQ196671 FUM196671 GEI196671 GOE196671 GYA196671 HHW196671 HRS196671 IBO196671 ILK196671 IVG196671 JFC196671 JOY196671 JYU196671 KIQ196671 KSM196671 LCI196671 LME196671 LWA196671 MFW196671 MPS196671 MZO196671 NJK196671 NTG196671 ODC196671 OMY196671 OWU196671 PGQ196671 PQM196671 QAI196671 QKE196671 QUA196671 RDW196671 RNS196671 RXO196671 SHK196671 SRG196671 TBC196671 TKY196671 TUU196671 UEQ196671 UOM196671 UYI196671 VIE196671 VSA196671 WBW196671 WLS196671 WVO196671 G262207 JC262207 SY262207 ACU262207 AMQ262207 AWM262207 BGI262207 BQE262207 CAA262207 CJW262207 CTS262207 DDO262207 DNK262207 DXG262207 EHC262207 EQY262207 FAU262207 FKQ262207 FUM262207 GEI262207 GOE262207 GYA262207 HHW262207 HRS262207 IBO262207 ILK262207 IVG262207 JFC262207 JOY262207 JYU262207 KIQ262207 KSM262207 LCI262207 LME262207 LWA262207 MFW262207 MPS262207 MZO262207 NJK262207 NTG262207 ODC262207 OMY262207 OWU262207 PGQ262207 PQM262207 QAI262207 QKE262207 QUA262207 RDW262207 RNS262207 RXO262207 SHK262207 SRG262207 TBC262207 TKY262207 TUU262207 UEQ262207 UOM262207 UYI262207 VIE262207 VSA262207 WBW262207 WLS262207 WVO262207 G327743 JC327743 SY327743 ACU327743 AMQ327743 AWM327743 BGI327743 BQE327743 CAA327743 CJW327743 CTS327743 DDO327743 DNK327743 DXG327743 EHC327743 EQY327743 FAU327743 FKQ327743 FUM327743 GEI327743 GOE327743 GYA327743 HHW327743 HRS327743 IBO327743 ILK327743 IVG327743 JFC327743 JOY327743 JYU327743 KIQ327743 KSM327743 LCI327743 LME327743 LWA327743 MFW327743 MPS327743 MZO327743 NJK327743 NTG327743 ODC327743 OMY327743 OWU327743 PGQ327743 PQM327743 QAI327743 QKE327743 QUA327743 RDW327743 RNS327743 RXO327743 SHK327743 SRG327743 TBC327743 TKY327743 TUU327743 UEQ327743 UOM327743 UYI327743 VIE327743 VSA327743 WBW327743 WLS327743 WVO327743 G393279 JC393279 SY393279 ACU393279 AMQ393279 AWM393279 BGI393279 BQE393279 CAA393279 CJW393279 CTS393279 DDO393279 DNK393279 DXG393279 EHC393279 EQY393279 FAU393279 FKQ393279 FUM393279 GEI393279 GOE393279 GYA393279 HHW393279 HRS393279 IBO393279 ILK393279 IVG393279 JFC393279 JOY393279 JYU393279 KIQ393279 KSM393279 LCI393279 LME393279 LWA393279 MFW393279 MPS393279 MZO393279 NJK393279 NTG393279 ODC393279 OMY393279 OWU393279 PGQ393279 PQM393279 QAI393279 QKE393279 QUA393279 RDW393279 RNS393279 RXO393279 SHK393279 SRG393279 TBC393279 TKY393279 TUU393279 UEQ393279 UOM393279 UYI393279 VIE393279 VSA393279 WBW393279 WLS393279 WVO393279 G458815 JC458815 SY458815 ACU458815 AMQ458815 AWM458815 BGI458815 BQE458815 CAA458815 CJW458815 CTS458815 DDO458815 DNK458815 DXG458815 EHC458815 EQY458815 FAU458815 FKQ458815 FUM458815 GEI458815 GOE458815 GYA458815 HHW458815 HRS458815 IBO458815 ILK458815 IVG458815 JFC458815 JOY458815 JYU458815 KIQ458815 KSM458815 LCI458815 LME458815 LWA458815 MFW458815 MPS458815 MZO458815 NJK458815 NTG458815 ODC458815 OMY458815 OWU458815 PGQ458815 PQM458815 QAI458815 QKE458815 QUA458815 RDW458815 RNS458815 RXO458815 SHK458815 SRG458815 TBC458815 TKY458815 TUU458815 UEQ458815 UOM458815 UYI458815 VIE458815 VSA458815 WBW458815 WLS458815 WVO458815 G524351 JC524351 SY524351 ACU524351 AMQ524351 AWM524351 BGI524351 BQE524351 CAA524351 CJW524351 CTS524351 DDO524351 DNK524351 DXG524351 EHC524351 EQY524351 FAU524351 FKQ524351 FUM524351 GEI524351 GOE524351 GYA524351 HHW524351 HRS524351 IBO524351 ILK524351 IVG524351 JFC524351 JOY524351 JYU524351 KIQ524351 KSM524351 LCI524351 LME524351 LWA524351 MFW524351 MPS524351 MZO524351 NJK524351 NTG524351 ODC524351 OMY524351 OWU524351 PGQ524351 PQM524351 QAI524351 QKE524351 QUA524351 RDW524351 RNS524351 RXO524351 SHK524351 SRG524351 TBC524351 TKY524351 TUU524351 UEQ524351 UOM524351 UYI524351 VIE524351 VSA524351 WBW524351 WLS524351 WVO524351 G589887 JC589887 SY589887 ACU589887 AMQ589887 AWM589887 BGI589887 BQE589887 CAA589887 CJW589887 CTS589887 DDO589887 DNK589887 DXG589887 EHC589887 EQY589887 FAU589887 FKQ589887 FUM589887 GEI589887 GOE589887 GYA589887 HHW589887 HRS589887 IBO589887 ILK589887 IVG589887 JFC589887 JOY589887 JYU589887 KIQ589887 KSM589887 LCI589887 LME589887 LWA589887 MFW589887 MPS589887 MZO589887 NJK589887 NTG589887 ODC589887 OMY589887 OWU589887 PGQ589887 PQM589887 QAI589887 QKE589887 QUA589887 RDW589887 RNS589887 RXO589887 SHK589887 SRG589887 TBC589887 TKY589887 TUU589887 UEQ589887 UOM589887 UYI589887 VIE589887 VSA589887 WBW589887 WLS589887 WVO589887 G655423 JC655423 SY655423 ACU655423 AMQ655423 AWM655423 BGI655423 BQE655423 CAA655423 CJW655423 CTS655423 DDO655423 DNK655423 DXG655423 EHC655423 EQY655423 FAU655423 FKQ655423 FUM655423 GEI655423 GOE655423 GYA655423 HHW655423 HRS655423 IBO655423 ILK655423 IVG655423 JFC655423 JOY655423 JYU655423 KIQ655423 KSM655423 LCI655423 LME655423 LWA655423 MFW655423 MPS655423 MZO655423 NJK655423 NTG655423 ODC655423 OMY655423 OWU655423 PGQ655423 PQM655423 QAI655423 QKE655423 QUA655423 RDW655423 RNS655423 RXO655423 SHK655423 SRG655423 TBC655423 TKY655423 TUU655423 UEQ655423 UOM655423 UYI655423 VIE655423 VSA655423 WBW655423 WLS655423 WVO655423 G720959 JC720959 SY720959 ACU720959 AMQ720959 AWM720959 BGI720959 BQE720959 CAA720959 CJW720959 CTS720959 DDO720959 DNK720959 DXG720959 EHC720959 EQY720959 FAU720959 FKQ720959 FUM720959 GEI720959 GOE720959 GYA720959 HHW720959 HRS720959 IBO720959 ILK720959 IVG720959 JFC720959 JOY720959 JYU720959 KIQ720959 KSM720959 LCI720959 LME720959 LWA720959 MFW720959 MPS720959 MZO720959 NJK720959 NTG720959 ODC720959 OMY720959 OWU720959 PGQ720959 PQM720959 QAI720959 QKE720959 QUA720959 RDW720959 RNS720959 RXO720959 SHK720959 SRG720959 TBC720959 TKY720959 TUU720959 UEQ720959 UOM720959 UYI720959 VIE720959 VSA720959 WBW720959 WLS720959 WVO720959 G786495 JC786495 SY786495 ACU786495 AMQ786495 AWM786495 BGI786495 BQE786495 CAA786495 CJW786495 CTS786495 DDO786495 DNK786495 DXG786495 EHC786495 EQY786495 FAU786495 FKQ786495 FUM786495 GEI786495 GOE786495 GYA786495 HHW786495 HRS786495 IBO786495 ILK786495 IVG786495 JFC786495 JOY786495 JYU786495 KIQ786495 KSM786495 LCI786495 LME786495 LWA786495 MFW786495 MPS786495 MZO786495 NJK786495 NTG786495 ODC786495 OMY786495 OWU786495 PGQ786495 PQM786495 QAI786495 QKE786495 QUA786495 RDW786495 RNS786495 RXO786495 SHK786495 SRG786495 TBC786495 TKY786495 TUU786495 UEQ786495 UOM786495 UYI786495 VIE786495 VSA786495 WBW786495 WLS786495 WVO786495 G852031 JC852031 SY852031 ACU852031 AMQ852031 AWM852031 BGI852031 BQE852031 CAA852031 CJW852031 CTS852031 DDO852031 DNK852031 DXG852031 EHC852031 EQY852031 FAU852031 FKQ852031 FUM852031 GEI852031 GOE852031 GYA852031 HHW852031 HRS852031 IBO852031 ILK852031 IVG852031 JFC852031 JOY852031 JYU852031 KIQ852031 KSM852031 LCI852031 LME852031 LWA852031 MFW852031 MPS852031 MZO852031 NJK852031 NTG852031 ODC852031 OMY852031 OWU852031 PGQ852031 PQM852031 QAI852031 QKE852031 QUA852031 RDW852031 RNS852031 RXO852031 SHK852031 SRG852031 TBC852031 TKY852031 TUU852031 UEQ852031 UOM852031 UYI852031 VIE852031 VSA852031 WBW852031 WLS852031 WVO852031 G917567 JC917567 SY917567 ACU917567 AMQ917567 AWM917567 BGI917567 BQE917567 CAA917567 CJW917567 CTS917567 DDO917567 DNK917567 DXG917567 EHC917567 EQY917567 FAU917567 FKQ917567 FUM917567 GEI917567 GOE917567 GYA917567 HHW917567 HRS917567 IBO917567 ILK917567 IVG917567 JFC917567 JOY917567 JYU917567 KIQ917567 KSM917567 LCI917567 LME917567 LWA917567 MFW917567 MPS917567 MZO917567 NJK917567 NTG917567 ODC917567 OMY917567 OWU917567 PGQ917567 PQM917567 QAI917567 QKE917567 QUA917567 RDW917567 RNS917567 RXO917567 SHK917567 SRG917567 TBC917567 TKY917567 TUU917567 UEQ917567 UOM917567 UYI917567 VIE917567 VSA917567 WBW917567 WLS917567 WVO917567 G983103 JC983103 SY983103 ACU983103 AMQ983103 AWM983103 BGI983103 BQE983103 CAA983103 CJW983103 CTS983103 DDO983103 DNK983103 DXG983103 EHC983103 EQY983103 FAU983103 FKQ983103 FUM983103 GEI983103 GOE983103 GYA983103 HHW983103 HRS983103 IBO983103 ILK983103 IVG983103 JFC983103 JOY983103 JYU983103 KIQ983103 KSM983103 LCI983103 LME983103 LWA983103 MFW983103 MPS983103 MZO983103 NJK983103 NTG983103 ODC983103 OMY983103 OWU983103 PGQ983103 PQM983103 QAI983103 QKE983103 QUA983103 RDW983103 RNS983103 RXO983103 SHK983103 SRG983103 TBC983103 TKY983103 TUU983103 UEQ983103 UOM983103 UYI983103 VIE983103 VSA983103 WBW983103 WLS983103 WVO983103 D68:G68 IZ68:JC68 SV68:SY68 ACR68:ACU68 AMN68:AMQ68 AWJ68:AWM68 BGF68:BGI68 BQB68:BQE68 BZX68:CAA68 CJT68:CJW68 CTP68:CTS68 DDL68:DDO68 DNH68:DNK68 DXD68:DXG68 EGZ68:EHC68 EQV68:EQY68 FAR68:FAU68 FKN68:FKQ68 FUJ68:FUM68 GEF68:GEI68 GOB68:GOE68 GXX68:GYA68 HHT68:HHW68 HRP68:HRS68 IBL68:IBO68 ILH68:ILK68 IVD68:IVG68 JEZ68:JFC68 JOV68:JOY68 JYR68:JYU68 KIN68:KIQ68 KSJ68:KSM68 LCF68:LCI68 LMB68:LME68 LVX68:LWA68 MFT68:MFW68 MPP68:MPS68 MZL68:MZO68 NJH68:NJK68 NTD68:NTG68 OCZ68:ODC68 OMV68:OMY68 OWR68:OWU68 PGN68:PGQ68 PQJ68:PQM68 QAF68:QAI68 QKB68:QKE68 QTX68:QUA68 RDT68:RDW68 RNP68:RNS68 RXL68:RXO68 SHH68:SHK68 SRD68:SRG68 TAZ68:TBC68 TKV68:TKY68 TUR68:TUU68 UEN68:UEQ68 UOJ68:UOM68 UYF68:UYI68 VIB68:VIE68 VRX68:VSA68 WBT68:WBW68 WLP68:WLS68 WVL68:WVO68 D65604:G65604 IZ65604:JC65604 SV65604:SY65604 ACR65604:ACU65604 AMN65604:AMQ65604 AWJ65604:AWM65604 BGF65604:BGI65604 BQB65604:BQE65604 BZX65604:CAA65604 CJT65604:CJW65604 CTP65604:CTS65604 DDL65604:DDO65604 DNH65604:DNK65604 DXD65604:DXG65604 EGZ65604:EHC65604 EQV65604:EQY65604 FAR65604:FAU65604 FKN65604:FKQ65604 FUJ65604:FUM65604 GEF65604:GEI65604 GOB65604:GOE65604 GXX65604:GYA65604 HHT65604:HHW65604 HRP65604:HRS65604 IBL65604:IBO65604 ILH65604:ILK65604 IVD65604:IVG65604 JEZ65604:JFC65604 JOV65604:JOY65604 JYR65604:JYU65604 KIN65604:KIQ65604 KSJ65604:KSM65604 LCF65604:LCI65604 LMB65604:LME65604 LVX65604:LWA65604 MFT65604:MFW65604 MPP65604:MPS65604 MZL65604:MZO65604 NJH65604:NJK65604 NTD65604:NTG65604 OCZ65604:ODC65604 OMV65604:OMY65604 OWR65604:OWU65604 PGN65604:PGQ65604 PQJ65604:PQM65604 QAF65604:QAI65604 QKB65604:QKE65604 QTX65604:QUA65604 RDT65604:RDW65604 RNP65604:RNS65604 RXL65604:RXO65604 SHH65604:SHK65604 SRD65604:SRG65604 TAZ65604:TBC65604 TKV65604:TKY65604 TUR65604:TUU65604 UEN65604:UEQ65604 UOJ65604:UOM65604 UYF65604:UYI65604 VIB65604:VIE65604 VRX65604:VSA65604 WBT65604:WBW65604 WLP65604:WLS65604 WVL65604:WVO65604 D131140:G131140 IZ131140:JC131140 SV131140:SY131140 ACR131140:ACU131140 AMN131140:AMQ131140 AWJ131140:AWM131140 BGF131140:BGI131140 BQB131140:BQE131140 BZX131140:CAA131140 CJT131140:CJW131140 CTP131140:CTS131140 DDL131140:DDO131140 DNH131140:DNK131140 DXD131140:DXG131140 EGZ131140:EHC131140 EQV131140:EQY131140 FAR131140:FAU131140 FKN131140:FKQ131140 FUJ131140:FUM131140 GEF131140:GEI131140 GOB131140:GOE131140 GXX131140:GYA131140 HHT131140:HHW131140 HRP131140:HRS131140 IBL131140:IBO131140 ILH131140:ILK131140 IVD131140:IVG131140 JEZ131140:JFC131140 JOV131140:JOY131140 JYR131140:JYU131140 KIN131140:KIQ131140 KSJ131140:KSM131140 LCF131140:LCI131140 LMB131140:LME131140 LVX131140:LWA131140 MFT131140:MFW131140 MPP131140:MPS131140 MZL131140:MZO131140 NJH131140:NJK131140 NTD131140:NTG131140 OCZ131140:ODC131140 OMV131140:OMY131140 OWR131140:OWU131140 PGN131140:PGQ131140 PQJ131140:PQM131140 QAF131140:QAI131140 QKB131140:QKE131140 QTX131140:QUA131140 RDT131140:RDW131140 RNP131140:RNS131140 RXL131140:RXO131140 SHH131140:SHK131140 SRD131140:SRG131140 TAZ131140:TBC131140 TKV131140:TKY131140 TUR131140:TUU131140 UEN131140:UEQ131140 UOJ131140:UOM131140 UYF131140:UYI131140 VIB131140:VIE131140 VRX131140:VSA131140 WBT131140:WBW131140 WLP131140:WLS131140 WVL131140:WVO131140 D196676:G196676 IZ196676:JC196676 SV196676:SY196676 ACR196676:ACU196676 AMN196676:AMQ196676 AWJ196676:AWM196676 BGF196676:BGI196676 BQB196676:BQE196676 BZX196676:CAA196676 CJT196676:CJW196676 CTP196676:CTS196676 DDL196676:DDO196676 DNH196676:DNK196676 DXD196676:DXG196676 EGZ196676:EHC196676 EQV196676:EQY196676 FAR196676:FAU196676 FKN196676:FKQ196676 FUJ196676:FUM196676 GEF196676:GEI196676 GOB196676:GOE196676 GXX196676:GYA196676 HHT196676:HHW196676 HRP196676:HRS196676 IBL196676:IBO196676 ILH196676:ILK196676 IVD196676:IVG196676 JEZ196676:JFC196676 JOV196676:JOY196676 JYR196676:JYU196676 KIN196676:KIQ196676 KSJ196676:KSM196676 LCF196676:LCI196676 LMB196676:LME196676 LVX196676:LWA196676 MFT196676:MFW196676 MPP196676:MPS196676 MZL196676:MZO196676 NJH196676:NJK196676 NTD196676:NTG196676 OCZ196676:ODC196676 OMV196676:OMY196676 OWR196676:OWU196676 PGN196676:PGQ196676 PQJ196676:PQM196676 QAF196676:QAI196676 QKB196676:QKE196676 QTX196676:QUA196676 RDT196676:RDW196676 RNP196676:RNS196676 RXL196676:RXO196676 SHH196676:SHK196676 SRD196676:SRG196676 TAZ196676:TBC196676 TKV196676:TKY196676 TUR196676:TUU196676 UEN196676:UEQ196676 UOJ196676:UOM196676 UYF196676:UYI196676 VIB196676:VIE196676 VRX196676:VSA196676 WBT196676:WBW196676 WLP196676:WLS196676 WVL196676:WVO196676 D262212:G262212 IZ262212:JC262212 SV262212:SY262212 ACR262212:ACU262212 AMN262212:AMQ262212 AWJ262212:AWM262212 BGF262212:BGI262212 BQB262212:BQE262212 BZX262212:CAA262212 CJT262212:CJW262212 CTP262212:CTS262212 DDL262212:DDO262212 DNH262212:DNK262212 DXD262212:DXG262212 EGZ262212:EHC262212 EQV262212:EQY262212 FAR262212:FAU262212 FKN262212:FKQ262212 FUJ262212:FUM262212 GEF262212:GEI262212 GOB262212:GOE262212 GXX262212:GYA262212 HHT262212:HHW262212 HRP262212:HRS262212 IBL262212:IBO262212 ILH262212:ILK262212 IVD262212:IVG262212 JEZ262212:JFC262212 JOV262212:JOY262212 JYR262212:JYU262212 KIN262212:KIQ262212 KSJ262212:KSM262212 LCF262212:LCI262212 LMB262212:LME262212 LVX262212:LWA262212 MFT262212:MFW262212 MPP262212:MPS262212 MZL262212:MZO262212 NJH262212:NJK262212 NTD262212:NTG262212 OCZ262212:ODC262212 OMV262212:OMY262212 OWR262212:OWU262212 PGN262212:PGQ262212 PQJ262212:PQM262212 QAF262212:QAI262212 QKB262212:QKE262212 QTX262212:QUA262212 RDT262212:RDW262212 RNP262212:RNS262212 RXL262212:RXO262212 SHH262212:SHK262212 SRD262212:SRG262212 TAZ262212:TBC262212 TKV262212:TKY262212 TUR262212:TUU262212 UEN262212:UEQ262212 UOJ262212:UOM262212 UYF262212:UYI262212 VIB262212:VIE262212 VRX262212:VSA262212 WBT262212:WBW262212 WLP262212:WLS262212 WVL262212:WVO262212 D327748:G327748 IZ327748:JC327748 SV327748:SY327748 ACR327748:ACU327748 AMN327748:AMQ327748 AWJ327748:AWM327748 BGF327748:BGI327748 BQB327748:BQE327748 BZX327748:CAA327748 CJT327748:CJW327748 CTP327748:CTS327748 DDL327748:DDO327748 DNH327748:DNK327748 DXD327748:DXG327748 EGZ327748:EHC327748 EQV327748:EQY327748 FAR327748:FAU327748 FKN327748:FKQ327748 FUJ327748:FUM327748 GEF327748:GEI327748 GOB327748:GOE327748 GXX327748:GYA327748 HHT327748:HHW327748 HRP327748:HRS327748 IBL327748:IBO327748 ILH327748:ILK327748 IVD327748:IVG327748 JEZ327748:JFC327748 JOV327748:JOY327748 JYR327748:JYU327748 KIN327748:KIQ327748 KSJ327748:KSM327748 LCF327748:LCI327748 LMB327748:LME327748 LVX327748:LWA327748 MFT327748:MFW327748 MPP327748:MPS327748 MZL327748:MZO327748 NJH327748:NJK327748 NTD327748:NTG327748 OCZ327748:ODC327748 OMV327748:OMY327748 OWR327748:OWU327748 PGN327748:PGQ327748 PQJ327748:PQM327748 QAF327748:QAI327748 QKB327748:QKE327748 QTX327748:QUA327748 RDT327748:RDW327748 RNP327748:RNS327748 RXL327748:RXO327748 SHH327748:SHK327748 SRD327748:SRG327748 TAZ327748:TBC327748 TKV327748:TKY327748 TUR327748:TUU327748 UEN327748:UEQ327748 UOJ327748:UOM327748 UYF327748:UYI327748 VIB327748:VIE327748 VRX327748:VSA327748 WBT327748:WBW327748 WLP327748:WLS327748 WVL327748:WVO327748 D393284:G393284 IZ393284:JC393284 SV393284:SY393284 ACR393284:ACU393284 AMN393284:AMQ393284 AWJ393284:AWM393284 BGF393284:BGI393284 BQB393284:BQE393284 BZX393284:CAA393284 CJT393284:CJW393284 CTP393284:CTS393284 DDL393284:DDO393284 DNH393284:DNK393284 DXD393284:DXG393284 EGZ393284:EHC393284 EQV393284:EQY393284 FAR393284:FAU393284 FKN393284:FKQ393284 FUJ393284:FUM393284 GEF393284:GEI393284 GOB393284:GOE393284 GXX393284:GYA393284 HHT393284:HHW393284 HRP393284:HRS393284 IBL393284:IBO393284 ILH393284:ILK393284 IVD393284:IVG393284 JEZ393284:JFC393284 JOV393284:JOY393284 JYR393284:JYU393284 KIN393284:KIQ393284 KSJ393284:KSM393284 LCF393284:LCI393284 LMB393284:LME393284 LVX393284:LWA393284 MFT393284:MFW393284 MPP393284:MPS393284 MZL393284:MZO393284 NJH393284:NJK393284 NTD393284:NTG393284 OCZ393284:ODC393284 OMV393284:OMY393284 OWR393284:OWU393284 PGN393284:PGQ393284 PQJ393284:PQM393284 QAF393284:QAI393284 QKB393284:QKE393284 QTX393284:QUA393284 RDT393284:RDW393284 RNP393284:RNS393284 RXL393284:RXO393284 SHH393284:SHK393284 SRD393284:SRG393284 TAZ393284:TBC393284 TKV393284:TKY393284 TUR393284:TUU393284 UEN393284:UEQ393284 UOJ393284:UOM393284 UYF393284:UYI393284 VIB393284:VIE393284 VRX393284:VSA393284 WBT393284:WBW393284 WLP393284:WLS393284 WVL393284:WVO393284 D458820:G458820 IZ458820:JC458820 SV458820:SY458820 ACR458820:ACU458820 AMN458820:AMQ458820 AWJ458820:AWM458820 BGF458820:BGI458820 BQB458820:BQE458820 BZX458820:CAA458820 CJT458820:CJW458820 CTP458820:CTS458820 DDL458820:DDO458820 DNH458820:DNK458820 DXD458820:DXG458820 EGZ458820:EHC458820 EQV458820:EQY458820 FAR458820:FAU458820 FKN458820:FKQ458820 FUJ458820:FUM458820 GEF458820:GEI458820 GOB458820:GOE458820 GXX458820:GYA458820 HHT458820:HHW458820 HRP458820:HRS458820 IBL458820:IBO458820 ILH458820:ILK458820 IVD458820:IVG458820 JEZ458820:JFC458820 JOV458820:JOY458820 JYR458820:JYU458820 KIN458820:KIQ458820 KSJ458820:KSM458820 LCF458820:LCI458820 LMB458820:LME458820 LVX458820:LWA458820 MFT458820:MFW458820 MPP458820:MPS458820 MZL458820:MZO458820 NJH458820:NJK458820 NTD458820:NTG458820 OCZ458820:ODC458820 OMV458820:OMY458820 OWR458820:OWU458820 PGN458820:PGQ458820 PQJ458820:PQM458820 QAF458820:QAI458820 QKB458820:QKE458820 QTX458820:QUA458820 RDT458820:RDW458820 RNP458820:RNS458820 RXL458820:RXO458820 SHH458820:SHK458820 SRD458820:SRG458820 TAZ458820:TBC458820 TKV458820:TKY458820 TUR458820:TUU458820 UEN458820:UEQ458820 UOJ458820:UOM458820 UYF458820:UYI458820 VIB458820:VIE458820 VRX458820:VSA458820 WBT458820:WBW458820 WLP458820:WLS458820 WVL458820:WVO458820 D524356:G524356 IZ524356:JC524356 SV524356:SY524356 ACR524356:ACU524356 AMN524356:AMQ524356 AWJ524356:AWM524356 BGF524356:BGI524356 BQB524356:BQE524356 BZX524356:CAA524356 CJT524356:CJW524356 CTP524356:CTS524356 DDL524356:DDO524356 DNH524356:DNK524356 DXD524356:DXG524356 EGZ524356:EHC524356 EQV524356:EQY524356 FAR524356:FAU524356 FKN524356:FKQ524356 FUJ524356:FUM524356 GEF524356:GEI524356 GOB524356:GOE524356 GXX524356:GYA524356 HHT524356:HHW524356 HRP524356:HRS524356 IBL524356:IBO524356 ILH524356:ILK524356 IVD524356:IVG524356 JEZ524356:JFC524356 JOV524356:JOY524356 JYR524356:JYU524356 KIN524356:KIQ524356 KSJ524356:KSM524356 LCF524356:LCI524356 LMB524356:LME524356 LVX524356:LWA524356 MFT524356:MFW524356 MPP524356:MPS524356 MZL524356:MZO524356 NJH524356:NJK524356 NTD524356:NTG524356 OCZ524356:ODC524356 OMV524356:OMY524356 OWR524356:OWU524356 PGN524356:PGQ524356 PQJ524356:PQM524356 QAF524356:QAI524356 QKB524356:QKE524356 QTX524356:QUA524356 RDT524356:RDW524356 RNP524356:RNS524356 RXL524356:RXO524356 SHH524356:SHK524356 SRD524356:SRG524356 TAZ524356:TBC524356 TKV524356:TKY524356 TUR524356:TUU524356 UEN524356:UEQ524356 UOJ524356:UOM524356 UYF524356:UYI524356 VIB524356:VIE524356 VRX524356:VSA524356 WBT524356:WBW524356 WLP524356:WLS524356 WVL524356:WVO524356 D589892:G589892 IZ589892:JC589892 SV589892:SY589892 ACR589892:ACU589892 AMN589892:AMQ589892 AWJ589892:AWM589892 BGF589892:BGI589892 BQB589892:BQE589892 BZX589892:CAA589892 CJT589892:CJW589892 CTP589892:CTS589892 DDL589892:DDO589892 DNH589892:DNK589892 DXD589892:DXG589892 EGZ589892:EHC589892 EQV589892:EQY589892 FAR589892:FAU589892 FKN589892:FKQ589892 FUJ589892:FUM589892 GEF589892:GEI589892 GOB589892:GOE589892 GXX589892:GYA589892 HHT589892:HHW589892 HRP589892:HRS589892 IBL589892:IBO589892 ILH589892:ILK589892 IVD589892:IVG589892 JEZ589892:JFC589892 JOV589892:JOY589892 JYR589892:JYU589892 KIN589892:KIQ589892 KSJ589892:KSM589892 LCF589892:LCI589892 LMB589892:LME589892 LVX589892:LWA589892 MFT589892:MFW589892 MPP589892:MPS589892 MZL589892:MZO589892 NJH589892:NJK589892 NTD589892:NTG589892 OCZ589892:ODC589892 OMV589892:OMY589892 OWR589892:OWU589892 PGN589892:PGQ589892 PQJ589892:PQM589892 QAF589892:QAI589892 QKB589892:QKE589892 QTX589892:QUA589892 RDT589892:RDW589892 RNP589892:RNS589892 RXL589892:RXO589892 SHH589892:SHK589892 SRD589892:SRG589892 TAZ589892:TBC589892 TKV589892:TKY589892 TUR589892:TUU589892 UEN589892:UEQ589892 UOJ589892:UOM589892 UYF589892:UYI589892 VIB589892:VIE589892 VRX589892:VSA589892 WBT589892:WBW589892 WLP589892:WLS589892 WVL589892:WVO589892 D655428:G655428 IZ655428:JC655428 SV655428:SY655428 ACR655428:ACU655428 AMN655428:AMQ655428 AWJ655428:AWM655428 BGF655428:BGI655428 BQB655428:BQE655428 BZX655428:CAA655428 CJT655428:CJW655428 CTP655428:CTS655428 DDL655428:DDO655428 DNH655428:DNK655428 DXD655428:DXG655428 EGZ655428:EHC655428 EQV655428:EQY655428 FAR655428:FAU655428 FKN655428:FKQ655428 FUJ655428:FUM655428 GEF655428:GEI655428 GOB655428:GOE655428 GXX655428:GYA655428 HHT655428:HHW655428 HRP655428:HRS655428 IBL655428:IBO655428 ILH655428:ILK655428 IVD655428:IVG655428 JEZ655428:JFC655428 JOV655428:JOY655428 JYR655428:JYU655428 KIN655428:KIQ655428 KSJ655428:KSM655428 LCF655428:LCI655428 LMB655428:LME655428 LVX655428:LWA655428 MFT655428:MFW655428 MPP655428:MPS655428 MZL655428:MZO655428 NJH655428:NJK655428 NTD655428:NTG655428 OCZ655428:ODC655428 OMV655428:OMY655428 OWR655428:OWU655428 PGN655428:PGQ655428 PQJ655428:PQM655428 QAF655428:QAI655428 QKB655428:QKE655428 QTX655428:QUA655428 RDT655428:RDW655428 RNP655428:RNS655428 RXL655428:RXO655428 SHH655428:SHK655428 SRD655428:SRG655428 TAZ655428:TBC655428 TKV655428:TKY655428 TUR655428:TUU655428 UEN655428:UEQ655428 UOJ655428:UOM655428 UYF655428:UYI655428 VIB655428:VIE655428 VRX655428:VSA655428 WBT655428:WBW655428 WLP655428:WLS655428 WVL655428:WVO655428 D720964:G720964 IZ720964:JC720964 SV720964:SY720964 ACR720964:ACU720964 AMN720964:AMQ720964 AWJ720964:AWM720964 BGF720964:BGI720964 BQB720964:BQE720964 BZX720964:CAA720964 CJT720964:CJW720964 CTP720964:CTS720964 DDL720964:DDO720964 DNH720964:DNK720964 DXD720964:DXG720964 EGZ720964:EHC720964 EQV720964:EQY720964 FAR720964:FAU720964 FKN720964:FKQ720964 FUJ720964:FUM720964 GEF720964:GEI720964 GOB720964:GOE720964 GXX720964:GYA720964 HHT720964:HHW720964 HRP720964:HRS720964 IBL720964:IBO720964 ILH720964:ILK720964 IVD720964:IVG720964 JEZ720964:JFC720964 JOV720964:JOY720964 JYR720964:JYU720964 KIN720964:KIQ720964 KSJ720964:KSM720964 LCF720964:LCI720964 LMB720964:LME720964 LVX720964:LWA720964 MFT720964:MFW720964 MPP720964:MPS720964 MZL720964:MZO720964 NJH720964:NJK720964 NTD720964:NTG720964 OCZ720964:ODC720964 OMV720964:OMY720964 OWR720964:OWU720964 PGN720964:PGQ720964 PQJ720964:PQM720964 QAF720964:QAI720964 QKB720964:QKE720964 QTX720964:QUA720964 RDT720964:RDW720964 RNP720964:RNS720964 RXL720964:RXO720964 SHH720964:SHK720964 SRD720964:SRG720964 TAZ720964:TBC720964 TKV720964:TKY720964 TUR720964:TUU720964 UEN720964:UEQ720964 UOJ720964:UOM720964 UYF720964:UYI720964 VIB720964:VIE720964 VRX720964:VSA720964 WBT720964:WBW720964 WLP720964:WLS720964 WVL720964:WVO720964 D786500:G786500 IZ786500:JC786500 SV786500:SY786500 ACR786500:ACU786500 AMN786500:AMQ786500 AWJ786500:AWM786500 BGF786500:BGI786500 BQB786500:BQE786500 BZX786500:CAA786500 CJT786500:CJW786500 CTP786500:CTS786500 DDL786500:DDO786500 DNH786500:DNK786500 DXD786500:DXG786500 EGZ786500:EHC786500 EQV786500:EQY786500 FAR786500:FAU786500 FKN786500:FKQ786500 FUJ786500:FUM786500 GEF786500:GEI786500 GOB786500:GOE786500 GXX786500:GYA786500 HHT786500:HHW786500 HRP786500:HRS786500 IBL786500:IBO786500 ILH786500:ILK786500 IVD786500:IVG786500 JEZ786500:JFC786500 JOV786500:JOY786500 JYR786500:JYU786500 KIN786500:KIQ786500 KSJ786500:KSM786500 LCF786500:LCI786500 LMB786500:LME786500 LVX786500:LWA786500 MFT786500:MFW786500 MPP786500:MPS786500 MZL786500:MZO786500 NJH786500:NJK786500 NTD786500:NTG786500 OCZ786500:ODC786500 OMV786500:OMY786500 OWR786500:OWU786500 PGN786500:PGQ786500 PQJ786500:PQM786500 QAF786500:QAI786500 QKB786500:QKE786500 QTX786500:QUA786500 RDT786500:RDW786500 RNP786500:RNS786500 RXL786500:RXO786500 SHH786500:SHK786500 SRD786500:SRG786500 TAZ786500:TBC786500 TKV786500:TKY786500 TUR786500:TUU786500 UEN786500:UEQ786500 UOJ786500:UOM786500 UYF786500:UYI786500 VIB786500:VIE786500 VRX786500:VSA786500 WBT786500:WBW786500 WLP786500:WLS786500 WVL786500:WVO786500 D852036:G852036 IZ852036:JC852036 SV852036:SY852036 ACR852036:ACU852036 AMN852036:AMQ852036 AWJ852036:AWM852036 BGF852036:BGI852036 BQB852036:BQE852036 BZX852036:CAA852036 CJT852036:CJW852036 CTP852036:CTS852036 DDL852036:DDO852036 DNH852036:DNK852036 DXD852036:DXG852036 EGZ852036:EHC852036 EQV852036:EQY852036 FAR852036:FAU852036 FKN852036:FKQ852036 FUJ852036:FUM852036 GEF852036:GEI852036 GOB852036:GOE852036 GXX852036:GYA852036 HHT852036:HHW852036 HRP852036:HRS852036 IBL852036:IBO852036 ILH852036:ILK852036 IVD852036:IVG852036 JEZ852036:JFC852036 JOV852036:JOY852036 JYR852036:JYU852036 KIN852036:KIQ852036 KSJ852036:KSM852036 LCF852036:LCI852036 LMB852036:LME852036 LVX852036:LWA852036 MFT852036:MFW852036 MPP852036:MPS852036 MZL852036:MZO852036 NJH852036:NJK852036 NTD852036:NTG852036 OCZ852036:ODC852036 OMV852036:OMY852036 OWR852036:OWU852036 PGN852036:PGQ852036 PQJ852036:PQM852036 QAF852036:QAI852036 QKB852036:QKE852036 QTX852036:QUA852036 RDT852036:RDW852036 RNP852036:RNS852036 RXL852036:RXO852036 SHH852036:SHK852036 SRD852036:SRG852036 TAZ852036:TBC852036 TKV852036:TKY852036 TUR852036:TUU852036 UEN852036:UEQ852036 UOJ852036:UOM852036 UYF852036:UYI852036 VIB852036:VIE852036 VRX852036:VSA852036 WBT852036:WBW852036 WLP852036:WLS852036 WVL852036:WVO852036 D917572:G917572 IZ917572:JC917572 SV917572:SY917572 ACR917572:ACU917572 AMN917572:AMQ917572 AWJ917572:AWM917572 BGF917572:BGI917572 BQB917572:BQE917572 BZX917572:CAA917572 CJT917572:CJW917572 CTP917572:CTS917572 DDL917572:DDO917572 DNH917572:DNK917572 DXD917572:DXG917572 EGZ917572:EHC917572 EQV917572:EQY917572 FAR917572:FAU917572 FKN917572:FKQ917572 FUJ917572:FUM917572 GEF917572:GEI917572 GOB917572:GOE917572 GXX917572:GYA917572 HHT917572:HHW917572 HRP917572:HRS917572 IBL917572:IBO917572 ILH917572:ILK917572 IVD917572:IVG917572 JEZ917572:JFC917572 JOV917572:JOY917572 JYR917572:JYU917572 KIN917572:KIQ917572 KSJ917572:KSM917572 LCF917572:LCI917572 LMB917572:LME917572 LVX917572:LWA917572 MFT917572:MFW917572 MPP917572:MPS917572 MZL917572:MZO917572 NJH917572:NJK917572 NTD917572:NTG917572 OCZ917572:ODC917572 OMV917572:OMY917572 OWR917572:OWU917572 PGN917572:PGQ917572 PQJ917572:PQM917572 QAF917572:QAI917572 QKB917572:QKE917572 QTX917572:QUA917572 RDT917572:RDW917572 RNP917572:RNS917572 RXL917572:RXO917572 SHH917572:SHK917572 SRD917572:SRG917572 TAZ917572:TBC917572 TKV917572:TKY917572 TUR917572:TUU917572 UEN917572:UEQ917572 UOJ917572:UOM917572 UYF917572:UYI917572 VIB917572:VIE917572 VRX917572:VSA917572 WBT917572:WBW917572 WLP917572:WLS917572 WVL917572:WVO917572 D983108:G983108 IZ983108:JC983108 SV983108:SY983108 ACR983108:ACU983108 AMN983108:AMQ983108 AWJ983108:AWM983108 BGF983108:BGI983108 BQB983108:BQE983108 BZX983108:CAA983108 CJT983108:CJW983108 CTP983108:CTS983108 DDL983108:DDO983108 DNH983108:DNK983108 DXD983108:DXG983108 EGZ983108:EHC983108 EQV983108:EQY983108 FAR983108:FAU983108 FKN983108:FKQ983108 FUJ983108:FUM983108 GEF983108:GEI983108 GOB983108:GOE983108 GXX983108:GYA983108 HHT983108:HHW983108 HRP983108:HRS983108 IBL983108:IBO983108 ILH983108:ILK983108 IVD983108:IVG983108 JEZ983108:JFC983108 JOV983108:JOY983108 JYR983108:JYU983108 KIN983108:KIQ983108 KSJ983108:KSM983108 LCF983108:LCI983108 LMB983108:LME983108 LVX983108:LWA983108 MFT983108:MFW983108 MPP983108:MPS983108 MZL983108:MZO983108 NJH983108:NJK983108 NTD983108:NTG983108 OCZ983108:ODC983108 OMV983108:OMY983108 OWR983108:OWU983108 PGN983108:PGQ983108 PQJ983108:PQM983108 QAF983108:QAI983108 QKB983108:QKE983108 QTX983108:QUA983108 RDT983108:RDW983108 RNP983108:RNS983108 RXL983108:RXO983108 SHH983108:SHK983108 SRD983108:SRG983108 TAZ983108:TBC983108 TKV983108:TKY983108 TUR983108:TUU983108 UEN983108:UEQ983108 UOJ983108:UOM983108 UYF983108:UYI983108 VIB983108:VIE983108 VRX983108:VSA983108 WBT983108:WBW983108 WLP983108:WLS983108 WVL983108:WVO983108 D63:F64 IZ63:JB64 SV63:SX64 ACR63:ACT64 AMN63:AMP64 AWJ63:AWL64 BGF63:BGH64 BQB63:BQD64 BZX63:BZZ64 CJT63:CJV64 CTP63:CTR64 DDL63:DDN64 DNH63:DNJ64 DXD63:DXF64 EGZ63:EHB64 EQV63:EQX64 FAR63:FAT64 FKN63:FKP64 FUJ63:FUL64 GEF63:GEH64 GOB63:GOD64 GXX63:GXZ64 HHT63:HHV64 HRP63:HRR64 IBL63:IBN64 ILH63:ILJ64 IVD63:IVF64 JEZ63:JFB64 JOV63:JOX64 JYR63:JYT64 KIN63:KIP64 KSJ63:KSL64 LCF63:LCH64 LMB63:LMD64 LVX63:LVZ64 MFT63:MFV64 MPP63:MPR64 MZL63:MZN64 NJH63:NJJ64 NTD63:NTF64 OCZ63:ODB64 OMV63:OMX64 OWR63:OWT64 PGN63:PGP64 PQJ63:PQL64 QAF63:QAH64 QKB63:QKD64 QTX63:QTZ64 RDT63:RDV64 RNP63:RNR64 RXL63:RXN64 SHH63:SHJ64 SRD63:SRF64 TAZ63:TBB64 TKV63:TKX64 TUR63:TUT64 UEN63:UEP64 UOJ63:UOL64 UYF63:UYH64 VIB63:VID64 VRX63:VRZ64 WBT63:WBV64 WLP63:WLR64 WVL63:WVN64 D65599:F65600 IZ65599:JB65600 SV65599:SX65600 ACR65599:ACT65600 AMN65599:AMP65600 AWJ65599:AWL65600 BGF65599:BGH65600 BQB65599:BQD65600 BZX65599:BZZ65600 CJT65599:CJV65600 CTP65599:CTR65600 DDL65599:DDN65600 DNH65599:DNJ65600 DXD65599:DXF65600 EGZ65599:EHB65600 EQV65599:EQX65600 FAR65599:FAT65600 FKN65599:FKP65600 FUJ65599:FUL65600 GEF65599:GEH65600 GOB65599:GOD65600 GXX65599:GXZ65600 HHT65599:HHV65600 HRP65599:HRR65600 IBL65599:IBN65600 ILH65599:ILJ65600 IVD65599:IVF65600 JEZ65599:JFB65600 JOV65599:JOX65600 JYR65599:JYT65600 KIN65599:KIP65600 KSJ65599:KSL65600 LCF65599:LCH65600 LMB65599:LMD65600 LVX65599:LVZ65600 MFT65599:MFV65600 MPP65599:MPR65600 MZL65599:MZN65600 NJH65599:NJJ65600 NTD65599:NTF65600 OCZ65599:ODB65600 OMV65599:OMX65600 OWR65599:OWT65600 PGN65599:PGP65600 PQJ65599:PQL65600 QAF65599:QAH65600 QKB65599:QKD65600 QTX65599:QTZ65600 RDT65599:RDV65600 RNP65599:RNR65600 RXL65599:RXN65600 SHH65599:SHJ65600 SRD65599:SRF65600 TAZ65599:TBB65600 TKV65599:TKX65600 TUR65599:TUT65600 UEN65599:UEP65600 UOJ65599:UOL65600 UYF65599:UYH65600 VIB65599:VID65600 VRX65599:VRZ65600 WBT65599:WBV65600 WLP65599:WLR65600 WVL65599:WVN65600 D131135:F131136 IZ131135:JB131136 SV131135:SX131136 ACR131135:ACT131136 AMN131135:AMP131136 AWJ131135:AWL131136 BGF131135:BGH131136 BQB131135:BQD131136 BZX131135:BZZ131136 CJT131135:CJV131136 CTP131135:CTR131136 DDL131135:DDN131136 DNH131135:DNJ131136 DXD131135:DXF131136 EGZ131135:EHB131136 EQV131135:EQX131136 FAR131135:FAT131136 FKN131135:FKP131136 FUJ131135:FUL131136 GEF131135:GEH131136 GOB131135:GOD131136 GXX131135:GXZ131136 HHT131135:HHV131136 HRP131135:HRR131136 IBL131135:IBN131136 ILH131135:ILJ131136 IVD131135:IVF131136 JEZ131135:JFB131136 JOV131135:JOX131136 JYR131135:JYT131136 KIN131135:KIP131136 KSJ131135:KSL131136 LCF131135:LCH131136 LMB131135:LMD131136 LVX131135:LVZ131136 MFT131135:MFV131136 MPP131135:MPR131136 MZL131135:MZN131136 NJH131135:NJJ131136 NTD131135:NTF131136 OCZ131135:ODB131136 OMV131135:OMX131136 OWR131135:OWT131136 PGN131135:PGP131136 PQJ131135:PQL131136 QAF131135:QAH131136 QKB131135:QKD131136 QTX131135:QTZ131136 RDT131135:RDV131136 RNP131135:RNR131136 RXL131135:RXN131136 SHH131135:SHJ131136 SRD131135:SRF131136 TAZ131135:TBB131136 TKV131135:TKX131136 TUR131135:TUT131136 UEN131135:UEP131136 UOJ131135:UOL131136 UYF131135:UYH131136 VIB131135:VID131136 VRX131135:VRZ131136 WBT131135:WBV131136 WLP131135:WLR131136 WVL131135:WVN131136 D196671:F196672 IZ196671:JB196672 SV196671:SX196672 ACR196671:ACT196672 AMN196671:AMP196672 AWJ196671:AWL196672 BGF196671:BGH196672 BQB196671:BQD196672 BZX196671:BZZ196672 CJT196671:CJV196672 CTP196671:CTR196672 DDL196671:DDN196672 DNH196671:DNJ196672 DXD196671:DXF196672 EGZ196671:EHB196672 EQV196671:EQX196672 FAR196671:FAT196672 FKN196671:FKP196672 FUJ196671:FUL196672 GEF196671:GEH196672 GOB196671:GOD196672 GXX196671:GXZ196672 HHT196671:HHV196672 HRP196671:HRR196672 IBL196671:IBN196672 ILH196671:ILJ196672 IVD196671:IVF196672 JEZ196671:JFB196672 JOV196671:JOX196672 JYR196671:JYT196672 KIN196671:KIP196672 KSJ196671:KSL196672 LCF196671:LCH196672 LMB196671:LMD196672 LVX196671:LVZ196672 MFT196671:MFV196672 MPP196671:MPR196672 MZL196671:MZN196672 NJH196671:NJJ196672 NTD196671:NTF196672 OCZ196671:ODB196672 OMV196671:OMX196672 OWR196671:OWT196672 PGN196671:PGP196672 PQJ196671:PQL196672 QAF196671:QAH196672 QKB196671:QKD196672 QTX196671:QTZ196672 RDT196671:RDV196672 RNP196671:RNR196672 RXL196671:RXN196672 SHH196671:SHJ196672 SRD196671:SRF196672 TAZ196671:TBB196672 TKV196671:TKX196672 TUR196671:TUT196672 UEN196671:UEP196672 UOJ196671:UOL196672 UYF196671:UYH196672 VIB196671:VID196672 VRX196671:VRZ196672 WBT196671:WBV196672 WLP196671:WLR196672 WVL196671:WVN196672 D262207:F262208 IZ262207:JB262208 SV262207:SX262208 ACR262207:ACT262208 AMN262207:AMP262208 AWJ262207:AWL262208 BGF262207:BGH262208 BQB262207:BQD262208 BZX262207:BZZ262208 CJT262207:CJV262208 CTP262207:CTR262208 DDL262207:DDN262208 DNH262207:DNJ262208 DXD262207:DXF262208 EGZ262207:EHB262208 EQV262207:EQX262208 FAR262207:FAT262208 FKN262207:FKP262208 FUJ262207:FUL262208 GEF262207:GEH262208 GOB262207:GOD262208 GXX262207:GXZ262208 HHT262207:HHV262208 HRP262207:HRR262208 IBL262207:IBN262208 ILH262207:ILJ262208 IVD262207:IVF262208 JEZ262207:JFB262208 JOV262207:JOX262208 JYR262207:JYT262208 KIN262207:KIP262208 KSJ262207:KSL262208 LCF262207:LCH262208 LMB262207:LMD262208 LVX262207:LVZ262208 MFT262207:MFV262208 MPP262207:MPR262208 MZL262207:MZN262208 NJH262207:NJJ262208 NTD262207:NTF262208 OCZ262207:ODB262208 OMV262207:OMX262208 OWR262207:OWT262208 PGN262207:PGP262208 PQJ262207:PQL262208 QAF262207:QAH262208 QKB262207:QKD262208 QTX262207:QTZ262208 RDT262207:RDV262208 RNP262207:RNR262208 RXL262207:RXN262208 SHH262207:SHJ262208 SRD262207:SRF262208 TAZ262207:TBB262208 TKV262207:TKX262208 TUR262207:TUT262208 UEN262207:UEP262208 UOJ262207:UOL262208 UYF262207:UYH262208 VIB262207:VID262208 VRX262207:VRZ262208 WBT262207:WBV262208 WLP262207:WLR262208 WVL262207:WVN262208 D327743:F327744 IZ327743:JB327744 SV327743:SX327744 ACR327743:ACT327744 AMN327743:AMP327744 AWJ327743:AWL327744 BGF327743:BGH327744 BQB327743:BQD327744 BZX327743:BZZ327744 CJT327743:CJV327744 CTP327743:CTR327744 DDL327743:DDN327744 DNH327743:DNJ327744 DXD327743:DXF327744 EGZ327743:EHB327744 EQV327743:EQX327744 FAR327743:FAT327744 FKN327743:FKP327744 FUJ327743:FUL327744 GEF327743:GEH327744 GOB327743:GOD327744 GXX327743:GXZ327744 HHT327743:HHV327744 HRP327743:HRR327744 IBL327743:IBN327744 ILH327743:ILJ327744 IVD327743:IVF327744 JEZ327743:JFB327744 JOV327743:JOX327744 JYR327743:JYT327744 KIN327743:KIP327744 KSJ327743:KSL327744 LCF327743:LCH327744 LMB327743:LMD327744 LVX327743:LVZ327744 MFT327743:MFV327744 MPP327743:MPR327744 MZL327743:MZN327744 NJH327743:NJJ327744 NTD327743:NTF327744 OCZ327743:ODB327744 OMV327743:OMX327744 OWR327743:OWT327744 PGN327743:PGP327744 PQJ327743:PQL327744 QAF327743:QAH327744 QKB327743:QKD327744 QTX327743:QTZ327744 RDT327743:RDV327744 RNP327743:RNR327744 RXL327743:RXN327744 SHH327743:SHJ327744 SRD327743:SRF327744 TAZ327743:TBB327744 TKV327743:TKX327744 TUR327743:TUT327744 UEN327743:UEP327744 UOJ327743:UOL327744 UYF327743:UYH327744 VIB327743:VID327744 VRX327743:VRZ327744 WBT327743:WBV327744 WLP327743:WLR327744 WVL327743:WVN327744 D393279:F393280 IZ393279:JB393280 SV393279:SX393280 ACR393279:ACT393280 AMN393279:AMP393280 AWJ393279:AWL393280 BGF393279:BGH393280 BQB393279:BQD393280 BZX393279:BZZ393280 CJT393279:CJV393280 CTP393279:CTR393280 DDL393279:DDN393280 DNH393279:DNJ393280 DXD393279:DXF393280 EGZ393279:EHB393280 EQV393279:EQX393280 FAR393279:FAT393280 FKN393279:FKP393280 FUJ393279:FUL393280 GEF393279:GEH393280 GOB393279:GOD393280 GXX393279:GXZ393280 HHT393279:HHV393280 HRP393279:HRR393280 IBL393279:IBN393280 ILH393279:ILJ393280 IVD393279:IVF393280 JEZ393279:JFB393280 JOV393279:JOX393280 JYR393279:JYT393280 KIN393279:KIP393280 KSJ393279:KSL393280 LCF393279:LCH393280 LMB393279:LMD393280 LVX393279:LVZ393280 MFT393279:MFV393280 MPP393279:MPR393280 MZL393279:MZN393280 NJH393279:NJJ393280 NTD393279:NTF393280 OCZ393279:ODB393280 OMV393279:OMX393280 OWR393279:OWT393280 PGN393279:PGP393280 PQJ393279:PQL393280 QAF393279:QAH393280 QKB393279:QKD393280 QTX393279:QTZ393280 RDT393279:RDV393280 RNP393279:RNR393280 RXL393279:RXN393280 SHH393279:SHJ393280 SRD393279:SRF393280 TAZ393279:TBB393280 TKV393279:TKX393280 TUR393279:TUT393280 UEN393279:UEP393280 UOJ393279:UOL393280 UYF393279:UYH393280 VIB393279:VID393280 VRX393279:VRZ393280 WBT393279:WBV393280 WLP393279:WLR393280 WVL393279:WVN393280 D458815:F458816 IZ458815:JB458816 SV458815:SX458816 ACR458815:ACT458816 AMN458815:AMP458816 AWJ458815:AWL458816 BGF458815:BGH458816 BQB458815:BQD458816 BZX458815:BZZ458816 CJT458815:CJV458816 CTP458815:CTR458816 DDL458815:DDN458816 DNH458815:DNJ458816 DXD458815:DXF458816 EGZ458815:EHB458816 EQV458815:EQX458816 FAR458815:FAT458816 FKN458815:FKP458816 FUJ458815:FUL458816 GEF458815:GEH458816 GOB458815:GOD458816 GXX458815:GXZ458816 HHT458815:HHV458816 HRP458815:HRR458816 IBL458815:IBN458816 ILH458815:ILJ458816 IVD458815:IVF458816 JEZ458815:JFB458816 JOV458815:JOX458816 JYR458815:JYT458816 KIN458815:KIP458816 KSJ458815:KSL458816 LCF458815:LCH458816 LMB458815:LMD458816 LVX458815:LVZ458816 MFT458815:MFV458816 MPP458815:MPR458816 MZL458815:MZN458816 NJH458815:NJJ458816 NTD458815:NTF458816 OCZ458815:ODB458816 OMV458815:OMX458816 OWR458815:OWT458816 PGN458815:PGP458816 PQJ458815:PQL458816 QAF458815:QAH458816 QKB458815:QKD458816 QTX458815:QTZ458816 RDT458815:RDV458816 RNP458815:RNR458816 RXL458815:RXN458816 SHH458815:SHJ458816 SRD458815:SRF458816 TAZ458815:TBB458816 TKV458815:TKX458816 TUR458815:TUT458816 UEN458815:UEP458816 UOJ458815:UOL458816 UYF458815:UYH458816 VIB458815:VID458816 VRX458815:VRZ458816 WBT458815:WBV458816 WLP458815:WLR458816 WVL458815:WVN458816 D524351:F524352 IZ524351:JB524352 SV524351:SX524352 ACR524351:ACT524352 AMN524351:AMP524352 AWJ524351:AWL524352 BGF524351:BGH524352 BQB524351:BQD524352 BZX524351:BZZ524352 CJT524351:CJV524352 CTP524351:CTR524352 DDL524351:DDN524352 DNH524351:DNJ524352 DXD524351:DXF524352 EGZ524351:EHB524352 EQV524351:EQX524352 FAR524351:FAT524352 FKN524351:FKP524352 FUJ524351:FUL524352 GEF524351:GEH524352 GOB524351:GOD524352 GXX524351:GXZ524352 HHT524351:HHV524352 HRP524351:HRR524352 IBL524351:IBN524352 ILH524351:ILJ524352 IVD524351:IVF524352 JEZ524351:JFB524352 JOV524351:JOX524352 JYR524351:JYT524352 KIN524351:KIP524352 KSJ524351:KSL524352 LCF524351:LCH524352 LMB524351:LMD524352 LVX524351:LVZ524352 MFT524351:MFV524352 MPP524351:MPR524352 MZL524351:MZN524352 NJH524351:NJJ524352 NTD524351:NTF524352 OCZ524351:ODB524352 OMV524351:OMX524352 OWR524351:OWT524352 PGN524351:PGP524352 PQJ524351:PQL524352 QAF524351:QAH524352 QKB524351:QKD524352 QTX524351:QTZ524352 RDT524351:RDV524352 RNP524351:RNR524352 RXL524351:RXN524352 SHH524351:SHJ524352 SRD524351:SRF524352 TAZ524351:TBB524352 TKV524351:TKX524352 TUR524351:TUT524352 UEN524351:UEP524352 UOJ524351:UOL524352 UYF524351:UYH524352 VIB524351:VID524352 VRX524351:VRZ524352 WBT524351:WBV524352 WLP524351:WLR524352 WVL524351:WVN524352 D589887:F589888 IZ589887:JB589888 SV589887:SX589888 ACR589887:ACT589888 AMN589887:AMP589888 AWJ589887:AWL589888 BGF589887:BGH589888 BQB589887:BQD589888 BZX589887:BZZ589888 CJT589887:CJV589888 CTP589887:CTR589888 DDL589887:DDN589888 DNH589887:DNJ589888 DXD589887:DXF589888 EGZ589887:EHB589888 EQV589887:EQX589888 FAR589887:FAT589888 FKN589887:FKP589888 FUJ589887:FUL589888 GEF589887:GEH589888 GOB589887:GOD589888 GXX589887:GXZ589888 HHT589887:HHV589888 HRP589887:HRR589888 IBL589887:IBN589888 ILH589887:ILJ589888 IVD589887:IVF589888 JEZ589887:JFB589888 JOV589887:JOX589888 JYR589887:JYT589888 KIN589887:KIP589888 KSJ589887:KSL589888 LCF589887:LCH589888 LMB589887:LMD589888 LVX589887:LVZ589888 MFT589887:MFV589888 MPP589887:MPR589888 MZL589887:MZN589888 NJH589887:NJJ589888 NTD589887:NTF589888 OCZ589887:ODB589888 OMV589887:OMX589888 OWR589887:OWT589888 PGN589887:PGP589888 PQJ589887:PQL589888 QAF589887:QAH589888 QKB589887:QKD589888 QTX589887:QTZ589888 RDT589887:RDV589888 RNP589887:RNR589888 RXL589887:RXN589888 SHH589887:SHJ589888 SRD589887:SRF589888 TAZ589887:TBB589888 TKV589887:TKX589888 TUR589887:TUT589888 UEN589887:UEP589888 UOJ589887:UOL589888 UYF589887:UYH589888 VIB589887:VID589888 VRX589887:VRZ589888 WBT589887:WBV589888 WLP589887:WLR589888 WVL589887:WVN589888 D655423:F655424 IZ655423:JB655424 SV655423:SX655424 ACR655423:ACT655424 AMN655423:AMP655424 AWJ655423:AWL655424 BGF655423:BGH655424 BQB655423:BQD655424 BZX655423:BZZ655424 CJT655423:CJV655424 CTP655423:CTR655424 DDL655423:DDN655424 DNH655423:DNJ655424 DXD655423:DXF655424 EGZ655423:EHB655424 EQV655423:EQX655424 FAR655423:FAT655424 FKN655423:FKP655424 FUJ655423:FUL655424 GEF655423:GEH655424 GOB655423:GOD655424 GXX655423:GXZ655424 HHT655423:HHV655424 HRP655423:HRR655424 IBL655423:IBN655424 ILH655423:ILJ655424 IVD655423:IVF655424 JEZ655423:JFB655424 JOV655423:JOX655424 JYR655423:JYT655424 KIN655423:KIP655424 KSJ655423:KSL655424 LCF655423:LCH655424 LMB655423:LMD655424 LVX655423:LVZ655424 MFT655423:MFV655424 MPP655423:MPR655424 MZL655423:MZN655424 NJH655423:NJJ655424 NTD655423:NTF655424 OCZ655423:ODB655424 OMV655423:OMX655424 OWR655423:OWT655424 PGN655423:PGP655424 PQJ655423:PQL655424 QAF655423:QAH655424 QKB655423:QKD655424 QTX655423:QTZ655424 RDT655423:RDV655424 RNP655423:RNR655424 RXL655423:RXN655424 SHH655423:SHJ655424 SRD655423:SRF655424 TAZ655423:TBB655424 TKV655423:TKX655424 TUR655423:TUT655424 UEN655423:UEP655424 UOJ655423:UOL655424 UYF655423:UYH655424 VIB655423:VID655424 VRX655423:VRZ655424 WBT655423:WBV655424 WLP655423:WLR655424 WVL655423:WVN655424 D720959:F720960 IZ720959:JB720960 SV720959:SX720960 ACR720959:ACT720960 AMN720959:AMP720960 AWJ720959:AWL720960 BGF720959:BGH720960 BQB720959:BQD720960 BZX720959:BZZ720960 CJT720959:CJV720960 CTP720959:CTR720960 DDL720959:DDN720960 DNH720959:DNJ720960 DXD720959:DXF720960 EGZ720959:EHB720960 EQV720959:EQX720960 FAR720959:FAT720960 FKN720959:FKP720960 FUJ720959:FUL720960 GEF720959:GEH720960 GOB720959:GOD720960 GXX720959:GXZ720960 HHT720959:HHV720960 HRP720959:HRR720960 IBL720959:IBN720960 ILH720959:ILJ720960 IVD720959:IVF720960 JEZ720959:JFB720960 JOV720959:JOX720960 JYR720959:JYT720960 KIN720959:KIP720960 KSJ720959:KSL720960 LCF720959:LCH720960 LMB720959:LMD720960 LVX720959:LVZ720960 MFT720959:MFV720960 MPP720959:MPR720960 MZL720959:MZN720960 NJH720959:NJJ720960 NTD720959:NTF720960 OCZ720959:ODB720960 OMV720959:OMX720960 OWR720959:OWT720960 PGN720959:PGP720960 PQJ720959:PQL720960 QAF720959:QAH720960 QKB720959:QKD720960 QTX720959:QTZ720960 RDT720959:RDV720960 RNP720959:RNR720960 RXL720959:RXN720960 SHH720959:SHJ720960 SRD720959:SRF720960 TAZ720959:TBB720960 TKV720959:TKX720960 TUR720959:TUT720960 UEN720959:UEP720960 UOJ720959:UOL720960 UYF720959:UYH720960 VIB720959:VID720960 VRX720959:VRZ720960 WBT720959:WBV720960 WLP720959:WLR720960 WVL720959:WVN720960 D786495:F786496 IZ786495:JB786496 SV786495:SX786496 ACR786495:ACT786496 AMN786495:AMP786496 AWJ786495:AWL786496 BGF786495:BGH786496 BQB786495:BQD786496 BZX786495:BZZ786496 CJT786495:CJV786496 CTP786495:CTR786496 DDL786495:DDN786496 DNH786495:DNJ786496 DXD786495:DXF786496 EGZ786495:EHB786496 EQV786495:EQX786496 FAR786495:FAT786496 FKN786495:FKP786496 FUJ786495:FUL786496 GEF786495:GEH786496 GOB786495:GOD786496 GXX786495:GXZ786496 HHT786495:HHV786496 HRP786495:HRR786496 IBL786495:IBN786496 ILH786495:ILJ786496 IVD786495:IVF786496 JEZ786495:JFB786496 JOV786495:JOX786496 JYR786495:JYT786496 KIN786495:KIP786496 KSJ786495:KSL786496 LCF786495:LCH786496 LMB786495:LMD786496 LVX786495:LVZ786496 MFT786495:MFV786496 MPP786495:MPR786496 MZL786495:MZN786496 NJH786495:NJJ786496 NTD786495:NTF786496 OCZ786495:ODB786496 OMV786495:OMX786496 OWR786495:OWT786496 PGN786495:PGP786496 PQJ786495:PQL786496 QAF786495:QAH786496 QKB786495:QKD786496 QTX786495:QTZ786496 RDT786495:RDV786496 RNP786495:RNR786496 RXL786495:RXN786496 SHH786495:SHJ786496 SRD786495:SRF786496 TAZ786495:TBB786496 TKV786495:TKX786496 TUR786495:TUT786496 UEN786495:UEP786496 UOJ786495:UOL786496 UYF786495:UYH786496 VIB786495:VID786496 VRX786495:VRZ786496 WBT786495:WBV786496 WLP786495:WLR786496 WVL786495:WVN786496 D852031:F852032 IZ852031:JB852032 SV852031:SX852032 ACR852031:ACT852032 AMN852031:AMP852032 AWJ852031:AWL852032 BGF852031:BGH852032 BQB852031:BQD852032 BZX852031:BZZ852032 CJT852031:CJV852032 CTP852031:CTR852032 DDL852031:DDN852032 DNH852031:DNJ852032 DXD852031:DXF852032 EGZ852031:EHB852032 EQV852031:EQX852032 FAR852031:FAT852032 FKN852031:FKP852032 FUJ852031:FUL852032 GEF852031:GEH852032 GOB852031:GOD852032 GXX852031:GXZ852032 HHT852031:HHV852032 HRP852031:HRR852032 IBL852031:IBN852032 ILH852031:ILJ852032 IVD852031:IVF852032 JEZ852031:JFB852032 JOV852031:JOX852032 JYR852031:JYT852032 KIN852031:KIP852032 KSJ852031:KSL852032 LCF852031:LCH852032 LMB852031:LMD852032 LVX852031:LVZ852032 MFT852031:MFV852032 MPP852031:MPR852032 MZL852031:MZN852032 NJH852031:NJJ852032 NTD852031:NTF852032 OCZ852031:ODB852032 OMV852031:OMX852032 OWR852031:OWT852032 PGN852031:PGP852032 PQJ852031:PQL852032 QAF852031:QAH852032 QKB852031:QKD852032 QTX852031:QTZ852032 RDT852031:RDV852032 RNP852031:RNR852032 RXL852031:RXN852032 SHH852031:SHJ852032 SRD852031:SRF852032 TAZ852031:TBB852032 TKV852031:TKX852032 TUR852031:TUT852032 UEN852031:UEP852032 UOJ852031:UOL852032 UYF852031:UYH852032 VIB852031:VID852032 VRX852031:VRZ852032 WBT852031:WBV852032 WLP852031:WLR852032 WVL852031:WVN852032 D917567:F917568 IZ917567:JB917568 SV917567:SX917568 ACR917567:ACT917568 AMN917567:AMP917568 AWJ917567:AWL917568 BGF917567:BGH917568 BQB917567:BQD917568 BZX917567:BZZ917568 CJT917567:CJV917568 CTP917567:CTR917568 DDL917567:DDN917568 DNH917567:DNJ917568 DXD917567:DXF917568 EGZ917567:EHB917568 EQV917567:EQX917568 FAR917567:FAT917568 FKN917567:FKP917568 FUJ917567:FUL917568 GEF917567:GEH917568 GOB917567:GOD917568 GXX917567:GXZ917568 HHT917567:HHV917568 HRP917567:HRR917568 IBL917567:IBN917568 ILH917567:ILJ917568 IVD917567:IVF917568 JEZ917567:JFB917568 JOV917567:JOX917568 JYR917567:JYT917568 KIN917567:KIP917568 KSJ917567:KSL917568 LCF917567:LCH917568 LMB917567:LMD917568 LVX917567:LVZ917568 MFT917567:MFV917568 MPP917567:MPR917568 MZL917567:MZN917568 NJH917567:NJJ917568 NTD917567:NTF917568 OCZ917567:ODB917568 OMV917567:OMX917568 OWR917567:OWT917568 PGN917567:PGP917568 PQJ917567:PQL917568 QAF917567:QAH917568 QKB917567:QKD917568 QTX917567:QTZ917568 RDT917567:RDV917568 RNP917567:RNR917568 RXL917567:RXN917568 SHH917567:SHJ917568 SRD917567:SRF917568 TAZ917567:TBB917568 TKV917567:TKX917568 TUR917567:TUT917568 UEN917567:UEP917568 UOJ917567:UOL917568 UYF917567:UYH917568 VIB917567:VID917568 VRX917567:VRZ917568 WBT917567:WBV917568 WLP917567:WLR917568 WVL917567:WVN917568 D983103:F983104 IZ983103:JB983104 SV983103:SX983104 ACR983103:ACT983104 AMN983103:AMP983104 AWJ983103:AWL983104 BGF983103:BGH983104 BQB983103:BQD983104 BZX983103:BZZ983104 CJT983103:CJV983104 CTP983103:CTR983104 DDL983103:DDN983104 DNH983103:DNJ983104 DXD983103:DXF983104 EGZ983103:EHB983104 EQV983103:EQX983104 FAR983103:FAT983104 FKN983103:FKP983104 FUJ983103:FUL983104 GEF983103:GEH983104 GOB983103:GOD983104 GXX983103:GXZ983104 HHT983103:HHV983104 HRP983103:HRR983104 IBL983103:IBN983104 ILH983103:ILJ983104 IVD983103:IVF983104 JEZ983103:JFB983104 JOV983103:JOX983104 JYR983103:JYT983104 KIN983103:KIP983104 KSJ983103:KSL983104 LCF983103:LCH983104 LMB983103:LMD983104 LVX983103:LVZ983104 MFT983103:MFV983104 MPP983103:MPR983104 MZL983103:MZN983104 NJH983103:NJJ983104 NTD983103:NTF983104 OCZ983103:ODB983104 OMV983103:OMX983104 OWR983103:OWT983104 PGN983103:PGP983104 PQJ983103:PQL983104 QAF983103:QAH983104 QKB983103:QKD983104 QTX983103:QTZ983104 RDT983103:RDV983104 RNP983103:RNR983104 RXL983103:RXN983104 SHH983103:SHJ983104 SRD983103:SRF983104 TAZ983103:TBB983104 TKV983103:TKX983104 TUR983103:TUT983104 UEN983103:UEP983104 UOJ983103:UOL983104 UYF983103:UYH983104 VIB983103:VID983104 VRX983103:VRZ983104 WBT983103:WBV983104 WLP983103:WLR983104 WVL983103:WVN983104 E58:F58 JA58:JB58 SW58:SX58 ACS58:ACT58 AMO58:AMP58 AWK58:AWL58 BGG58:BGH58 BQC58:BQD58 BZY58:BZZ58 CJU58:CJV58 CTQ58:CTR58 DDM58:DDN58 DNI58:DNJ58 DXE58:DXF58 EHA58:EHB58 EQW58:EQX58 FAS58:FAT58 FKO58:FKP58 FUK58:FUL58 GEG58:GEH58 GOC58:GOD58 GXY58:GXZ58 HHU58:HHV58 HRQ58:HRR58 IBM58:IBN58 ILI58:ILJ58 IVE58:IVF58 JFA58:JFB58 JOW58:JOX58 JYS58:JYT58 KIO58:KIP58 KSK58:KSL58 LCG58:LCH58 LMC58:LMD58 LVY58:LVZ58 MFU58:MFV58 MPQ58:MPR58 MZM58:MZN58 NJI58:NJJ58 NTE58:NTF58 ODA58:ODB58 OMW58:OMX58 OWS58:OWT58 PGO58:PGP58 PQK58:PQL58 QAG58:QAH58 QKC58:QKD58 QTY58:QTZ58 RDU58:RDV58 RNQ58:RNR58 RXM58:RXN58 SHI58:SHJ58 SRE58:SRF58 TBA58:TBB58 TKW58:TKX58 TUS58:TUT58 UEO58:UEP58 UOK58:UOL58 UYG58:UYH58 VIC58:VID58 VRY58:VRZ58 WBU58:WBV58 WLQ58:WLR58 WVM58:WVN58 E65594:F65594 JA65594:JB65594 SW65594:SX65594 ACS65594:ACT65594 AMO65594:AMP65594 AWK65594:AWL65594 BGG65594:BGH65594 BQC65594:BQD65594 BZY65594:BZZ65594 CJU65594:CJV65594 CTQ65594:CTR65594 DDM65594:DDN65594 DNI65594:DNJ65594 DXE65594:DXF65594 EHA65594:EHB65594 EQW65594:EQX65594 FAS65594:FAT65594 FKO65594:FKP65594 FUK65594:FUL65594 GEG65594:GEH65594 GOC65594:GOD65594 GXY65594:GXZ65594 HHU65594:HHV65594 HRQ65594:HRR65594 IBM65594:IBN65594 ILI65594:ILJ65594 IVE65594:IVF65594 JFA65594:JFB65594 JOW65594:JOX65594 JYS65594:JYT65594 KIO65594:KIP65594 KSK65594:KSL65594 LCG65594:LCH65594 LMC65594:LMD65594 LVY65594:LVZ65594 MFU65594:MFV65594 MPQ65594:MPR65594 MZM65594:MZN65594 NJI65594:NJJ65594 NTE65594:NTF65594 ODA65594:ODB65594 OMW65594:OMX65594 OWS65594:OWT65594 PGO65594:PGP65594 PQK65594:PQL65594 QAG65594:QAH65594 QKC65594:QKD65594 QTY65594:QTZ65594 RDU65594:RDV65594 RNQ65594:RNR65594 RXM65594:RXN65594 SHI65594:SHJ65594 SRE65594:SRF65594 TBA65594:TBB65594 TKW65594:TKX65594 TUS65594:TUT65594 UEO65594:UEP65594 UOK65594:UOL65594 UYG65594:UYH65594 VIC65594:VID65594 VRY65594:VRZ65594 WBU65594:WBV65594 WLQ65594:WLR65594 WVM65594:WVN65594 E131130:F131130 JA131130:JB131130 SW131130:SX131130 ACS131130:ACT131130 AMO131130:AMP131130 AWK131130:AWL131130 BGG131130:BGH131130 BQC131130:BQD131130 BZY131130:BZZ131130 CJU131130:CJV131130 CTQ131130:CTR131130 DDM131130:DDN131130 DNI131130:DNJ131130 DXE131130:DXF131130 EHA131130:EHB131130 EQW131130:EQX131130 FAS131130:FAT131130 FKO131130:FKP131130 FUK131130:FUL131130 GEG131130:GEH131130 GOC131130:GOD131130 GXY131130:GXZ131130 HHU131130:HHV131130 HRQ131130:HRR131130 IBM131130:IBN131130 ILI131130:ILJ131130 IVE131130:IVF131130 JFA131130:JFB131130 JOW131130:JOX131130 JYS131130:JYT131130 KIO131130:KIP131130 KSK131130:KSL131130 LCG131130:LCH131130 LMC131130:LMD131130 LVY131130:LVZ131130 MFU131130:MFV131130 MPQ131130:MPR131130 MZM131130:MZN131130 NJI131130:NJJ131130 NTE131130:NTF131130 ODA131130:ODB131130 OMW131130:OMX131130 OWS131130:OWT131130 PGO131130:PGP131130 PQK131130:PQL131130 QAG131130:QAH131130 QKC131130:QKD131130 QTY131130:QTZ131130 RDU131130:RDV131130 RNQ131130:RNR131130 RXM131130:RXN131130 SHI131130:SHJ131130 SRE131130:SRF131130 TBA131130:TBB131130 TKW131130:TKX131130 TUS131130:TUT131130 UEO131130:UEP131130 UOK131130:UOL131130 UYG131130:UYH131130 VIC131130:VID131130 VRY131130:VRZ131130 WBU131130:WBV131130 WLQ131130:WLR131130 WVM131130:WVN131130 E196666:F196666 JA196666:JB196666 SW196666:SX196666 ACS196666:ACT196666 AMO196666:AMP196666 AWK196666:AWL196666 BGG196666:BGH196666 BQC196666:BQD196666 BZY196666:BZZ196666 CJU196666:CJV196666 CTQ196666:CTR196666 DDM196666:DDN196666 DNI196666:DNJ196666 DXE196666:DXF196666 EHA196666:EHB196666 EQW196666:EQX196666 FAS196666:FAT196666 FKO196666:FKP196666 FUK196666:FUL196666 GEG196666:GEH196666 GOC196666:GOD196666 GXY196666:GXZ196666 HHU196666:HHV196666 HRQ196666:HRR196666 IBM196666:IBN196666 ILI196666:ILJ196666 IVE196666:IVF196666 JFA196666:JFB196666 JOW196666:JOX196666 JYS196666:JYT196666 KIO196666:KIP196666 KSK196666:KSL196666 LCG196666:LCH196666 LMC196666:LMD196666 LVY196666:LVZ196666 MFU196666:MFV196666 MPQ196666:MPR196666 MZM196666:MZN196666 NJI196666:NJJ196666 NTE196666:NTF196666 ODA196666:ODB196666 OMW196666:OMX196666 OWS196666:OWT196666 PGO196666:PGP196666 PQK196666:PQL196666 QAG196666:QAH196666 QKC196666:QKD196666 QTY196666:QTZ196666 RDU196666:RDV196666 RNQ196666:RNR196666 RXM196666:RXN196666 SHI196666:SHJ196666 SRE196666:SRF196666 TBA196666:TBB196666 TKW196666:TKX196666 TUS196666:TUT196666 UEO196666:UEP196666 UOK196666:UOL196666 UYG196666:UYH196666 VIC196666:VID196666 VRY196666:VRZ196666 WBU196666:WBV196666 WLQ196666:WLR196666 WVM196666:WVN196666 E262202:F262202 JA262202:JB262202 SW262202:SX262202 ACS262202:ACT262202 AMO262202:AMP262202 AWK262202:AWL262202 BGG262202:BGH262202 BQC262202:BQD262202 BZY262202:BZZ262202 CJU262202:CJV262202 CTQ262202:CTR262202 DDM262202:DDN262202 DNI262202:DNJ262202 DXE262202:DXF262202 EHA262202:EHB262202 EQW262202:EQX262202 FAS262202:FAT262202 FKO262202:FKP262202 FUK262202:FUL262202 GEG262202:GEH262202 GOC262202:GOD262202 GXY262202:GXZ262202 HHU262202:HHV262202 HRQ262202:HRR262202 IBM262202:IBN262202 ILI262202:ILJ262202 IVE262202:IVF262202 JFA262202:JFB262202 JOW262202:JOX262202 JYS262202:JYT262202 KIO262202:KIP262202 KSK262202:KSL262202 LCG262202:LCH262202 LMC262202:LMD262202 LVY262202:LVZ262202 MFU262202:MFV262202 MPQ262202:MPR262202 MZM262202:MZN262202 NJI262202:NJJ262202 NTE262202:NTF262202 ODA262202:ODB262202 OMW262202:OMX262202 OWS262202:OWT262202 PGO262202:PGP262202 PQK262202:PQL262202 QAG262202:QAH262202 QKC262202:QKD262202 QTY262202:QTZ262202 RDU262202:RDV262202 RNQ262202:RNR262202 RXM262202:RXN262202 SHI262202:SHJ262202 SRE262202:SRF262202 TBA262202:TBB262202 TKW262202:TKX262202 TUS262202:TUT262202 UEO262202:UEP262202 UOK262202:UOL262202 UYG262202:UYH262202 VIC262202:VID262202 VRY262202:VRZ262202 WBU262202:WBV262202 WLQ262202:WLR262202 WVM262202:WVN262202 E327738:F327738 JA327738:JB327738 SW327738:SX327738 ACS327738:ACT327738 AMO327738:AMP327738 AWK327738:AWL327738 BGG327738:BGH327738 BQC327738:BQD327738 BZY327738:BZZ327738 CJU327738:CJV327738 CTQ327738:CTR327738 DDM327738:DDN327738 DNI327738:DNJ327738 DXE327738:DXF327738 EHA327738:EHB327738 EQW327738:EQX327738 FAS327738:FAT327738 FKO327738:FKP327738 FUK327738:FUL327738 GEG327738:GEH327738 GOC327738:GOD327738 GXY327738:GXZ327738 HHU327738:HHV327738 HRQ327738:HRR327738 IBM327738:IBN327738 ILI327738:ILJ327738 IVE327738:IVF327738 JFA327738:JFB327738 JOW327738:JOX327738 JYS327738:JYT327738 KIO327738:KIP327738 KSK327738:KSL327738 LCG327738:LCH327738 LMC327738:LMD327738 LVY327738:LVZ327738 MFU327738:MFV327738 MPQ327738:MPR327738 MZM327738:MZN327738 NJI327738:NJJ327738 NTE327738:NTF327738 ODA327738:ODB327738 OMW327738:OMX327738 OWS327738:OWT327738 PGO327738:PGP327738 PQK327738:PQL327738 QAG327738:QAH327738 QKC327738:QKD327738 QTY327738:QTZ327738 RDU327738:RDV327738 RNQ327738:RNR327738 RXM327738:RXN327738 SHI327738:SHJ327738 SRE327738:SRF327738 TBA327738:TBB327738 TKW327738:TKX327738 TUS327738:TUT327738 UEO327738:UEP327738 UOK327738:UOL327738 UYG327738:UYH327738 VIC327738:VID327738 VRY327738:VRZ327738 WBU327738:WBV327738 WLQ327738:WLR327738 WVM327738:WVN327738 E393274:F393274 JA393274:JB393274 SW393274:SX393274 ACS393274:ACT393274 AMO393274:AMP393274 AWK393274:AWL393274 BGG393274:BGH393274 BQC393274:BQD393274 BZY393274:BZZ393274 CJU393274:CJV393274 CTQ393274:CTR393274 DDM393274:DDN393274 DNI393274:DNJ393274 DXE393274:DXF393274 EHA393274:EHB393274 EQW393274:EQX393274 FAS393274:FAT393274 FKO393274:FKP393274 FUK393274:FUL393274 GEG393274:GEH393274 GOC393274:GOD393274 GXY393274:GXZ393274 HHU393274:HHV393274 HRQ393274:HRR393274 IBM393274:IBN393274 ILI393274:ILJ393274 IVE393274:IVF393274 JFA393274:JFB393274 JOW393274:JOX393274 JYS393274:JYT393274 KIO393274:KIP393274 KSK393274:KSL393274 LCG393274:LCH393274 LMC393274:LMD393274 LVY393274:LVZ393274 MFU393274:MFV393274 MPQ393274:MPR393274 MZM393274:MZN393274 NJI393274:NJJ393274 NTE393274:NTF393274 ODA393274:ODB393274 OMW393274:OMX393274 OWS393274:OWT393274 PGO393274:PGP393274 PQK393274:PQL393274 QAG393274:QAH393274 QKC393274:QKD393274 QTY393274:QTZ393274 RDU393274:RDV393274 RNQ393274:RNR393274 RXM393274:RXN393274 SHI393274:SHJ393274 SRE393274:SRF393274 TBA393274:TBB393274 TKW393274:TKX393274 TUS393274:TUT393274 UEO393274:UEP393274 UOK393274:UOL393274 UYG393274:UYH393274 VIC393274:VID393274 VRY393274:VRZ393274 WBU393274:WBV393274 WLQ393274:WLR393274 WVM393274:WVN393274 E458810:F458810 JA458810:JB458810 SW458810:SX458810 ACS458810:ACT458810 AMO458810:AMP458810 AWK458810:AWL458810 BGG458810:BGH458810 BQC458810:BQD458810 BZY458810:BZZ458810 CJU458810:CJV458810 CTQ458810:CTR458810 DDM458810:DDN458810 DNI458810:DNJ458810 DXE458810:DXF458810 EHA458810:EHB458810 EQW458810:EQX458810 FAS458810:FAT458810 FKO458810:FKP458810 FUK458810:FUL458810 GEG458810:GEH458810 GOC458810:GOD458810 GXY458810:GXZ458810 HHU458810:HHV458810 HRQ458810:HRR458810 IBM458810:IBN458810 ILI458810:ILJ458810 IVE458810:IVF458810 JFA458810:JFB458810 JOW458810:JOX458810 JYS458810:JYT458810 KIO458810:KIP458810 KSK458810:KSL458810 LCG458810:LCH458810 LMC458810:LMD458810 LVY458810:LVZ458810 MFU458810:MFV458810 MPQ458810:MPR458810 MZM458810:MZN458810 NJI458810:NJJ458810 NTE458810:NTF458810 ODA458810:ODB458810 OMW458810:OMX458810 OWS458810:OWT458810 PGO458810:PGP458810 PQK458810:PQL458810 QAG458810:QAH458810 QKC458810:QKD458810 QTY458810:QTZ458810 RDU458810:RDV458810 RNQ458810:RNR458810 RXM458810:RXN458810 SHI458810:SHJ458810 SRE458810:SRF458810 TBA458810:TBB458810 TKW458810:TKX458810 TUS458810:TUT458810 UEO458810:UEP458810 UOK458810:UOL458810 UYG458810:UYH458810 VIC458810:VID458810 VRY458810:VRZ458810 WBU458810:WBV458810 WLQ458810:WLR458810 WVM458810:WVN458810 E524346:F524346 JA524346:JB524346 SW524346:SX524346 ACS524346:ACT524346 AMO524346:AMP524346 AWK524346:AWL524346 BGG524346:BGH524346 BQC524346:BQD524346 BZY524346:BZZ524346 CJU524346:CJV524346 CTQ524346:CTR524346 DDM524346:DDN524346 DNI524346:DNJ524346 DXE524346:DXF524346 EHA524346:EHB524346 EQW524346:EQX524346 FAS524346:FAT524346 FKO524346:FKP524346 FUK524346:FUL524346 GEG524346:GEH524346 GOC524346:GOD524346 GXY524346:GXZ524346 HHU524346:HHV524346 HRQ524346:HRR524346 IBM524346:IBN524346 ILI524346:ILJ524346 IVE524346:IVF524346 JFA524346:JFB524346 JOW524346:JOX524346 JYS524346:JYT524346 KIO524346:KIP524346 KSK524346:KSL524346 LCG524346:LCH524346 LMC524346:LMD524346 LVY524346:LVZ524346 MFU524346:MFV524346 MPQ524346:MPR524346 MZM524346:MZN524346 NJI524346:NJJ524346 NTE524346:NTF524346 ODA524346:ODB524346 OMW524346:OMX524346 OWS524346:OWT524346 PGO524346:PGP524346 PQK524346:PQL524346 QAG524346:QAH524346 QKC524346:QKD524346 QTY524346:QTZ524346 RDU524346:RDV524346 RNQ524346:RNR524346 RXM524346:RXN524346 SHI524346:SHJ524346 SRE524346:SRF524346 TBA524346:TBB524346 TKW524346:TKX524346 TUS524346:TUT524346 UEO524346:UEP524346 UOK524346:UOL524346 UYG524346:UYH524346 VIC524346:VID524346 VRY524346:VRZ524346 WBU524346:WBV524346 WLQ524346:WLR524346 WVM524346:WVN524346 E589882:F589882 JA589882:JB589882 SW589882:SX589882 ACS589882:ACT589882 AMO589882:AMP589882 AWK589882:AWL589882 BGG589882:BGH589882 BQC589882:BQD589882 BZY589882:BZZ589882 CJU589882:CJV589882 CTQ589882:CTR589882 DDM589882:DDN589882 DNI589882:DNJ589882 DXE589882:DXF589882 EHA589882:EHB589882 EQW589882:EQX589882 FAS589882:FAT589882 FKO589882:FKP589882 FUK589882:FUL589882 GEG589882:GEH589882 GOC589882:GOD589882 GXY589882:GXZ589882 HHU589882:HHV589882 HRQ589882:HRR589882 IBM589882:IBN589882 ILI589882:ILJ589882 IVE589882:IVF589882 JFA589882:JFB589882 JOW589882:JOX589882 JYS589882:JYT589882 KIO589882:KIP589882 KSK589882:KSL589882 LCG589882:LCH589882 LMC589882:LMD589882 LVY589882:LVZ589882 MFU589882:MFV589882 MPQ589882:MPR589882 MZM589882:MZN589882 NJI589882:NJJ589882 NTE589882:NTF589882 ODA589882:ODB589882 OMW589882:OMX589882 OWS589882:OWT589882 PGO589882:PGP589882 PQK589882:PQL589882 QAG589882:QAH589882 QKC589882:QKD589882 QTY589882:QTZ589882 RDU589882:RDV589882 RNQ589882:RNR589882 RXM589882:RXN589882 SHI589882:SHJ589882 SRE589882:SRF589882 TBA589882:TBB589882 TKW589882:TKX589882 TUS589882:TUT589882 UEO589882:UEP589882 UOK589882:UOL589882 UYG589882:UYH589882 VIC589882:VID589882 VRY589882:VRZ589882 WBU589882:WBV589882 WLQ589882:WLR589882 WVM589882:WVN589882 E655418:F655418 JA655418:JB655418 SW655418:SX655418 ACS655418:ACT655418 AMO655418:AMP655418 AWK655418:AWL655418 BGG655418:BGH655418 BQC655418:BQD655418 BZY655418:BZZ655418 CJU655418:CJV655418 CTQ655418:CTR655418 DDM655418:DDN655418 DNI655418:DNJ655418 DXE655418:DXF655418 EHA655418:EHB655418 EQW655418:EQX655418 FAS655418:FAT655418 FKO655418:FKP655418 FUK655418:FUL655418 GEG655418:GEH655418 GOC655418:GOD655418 GXY655418:GXZ655418 HHU655418:HHV655418 HRQ655418:HRR655418 IBM655418:IBN655418 ILI655418:ILJ655418 IVE655418:IVF655418 JFA655418:JFB655418 JOW655418:JOX655418 JYS655418:JYT655418 KIO655418:KIP655418 KSK655418:KSL655418 LCG655418:LCH655418 LMC655418:LMD655418 LVY655418:LVZ655418 MFU655418:MFV655418 MPQ655418:MPR655418 MZM655418:MZN655418 NJI655418:NJJ655418 NTE655418:NTF655418 ODA655418:ODB655418 OMW655418:OMX655418 OWS655418:OWT655418 PGO655418:PGP655418 PQK655418:PQL655418 QAG655418:QAH655418 QKC655418:QKD655418 QTY655418:QTZ655418 RDU655418:RDV655418 RNQ655418:RNR655418 RXM655418:RXN655418 SHI655418:SHJ655418 SRE655418:SRF655418 TBA655418:TBB655418 TKW655418:TKX655418 TUS655418:TUT655418 UEO655418:UEP655418 UOK655418:UOL655418 UYG655418:UYH655418 VIC655418:VID655418 VRY655418:VRZ655418 WBU655418:WBV655418 WLQ655418:WLR655418 WVM655418:WVN655418 E720954:F720954 JA720954:JB720954 SW720954:SX720954 ACS720954:ACT720954 AMO720954:AMP720954 AWK720954:AWL720954 BGG720954:BGH720954 BQC720954:BQD720954 BZY720954:BZZ720954 CJU720954:CJV720954 CTQ720954:CTR720954 DDM720954:DDN720954 DNI720954:DNJ720954 DXE720954:DXF720954 EHA720954:EHB720954 EQW720954:EQX720954 FAS720954:FAT720954 FKO720954:FKP720954 FUK720954:FUL720954 GEG720954:GEH720954 GOC720954:GOD720954 GXY720954:GXZ720954 HHU720954:HHV720954 HRQ720954:HRR720954 IBM720954:IBN720954 ILI720954:ILJ720954 IVE720954:IVF720954 JFA720954:JFB720954 JOW720954:JOX720954 JYS720954:JYT720954 KIO720954:KIP720954 KSK720954:KSL720954 LCG720954:LCH720954 LMC720954:LMD720954 LVY720954:LVZ720954 MFU720954:MFV720954 MPQ720954:MPR720954 MZM720954:MZN720954 NJI720954:NJJ720954 NTE720954:NTF720954 ODA720954:ODB720954 OMW720954:OMX720954 OWS720954:OWT720954 PGO720954:PGP720954 PQK720954:PQL720954 QAG720954:QAH720954 QKC720954:QKD720954 QTY720954:QTZ720954 RDU720954:RDV720954 RNQ720954:RNR720954 RXM720954:RXN720954 SHI720954:SHJ720954 SRE720954:SRF720954 TBA720954:TBB720954 TKW720954:TKX720954 TUS720954:TUT720954 UEO720954:UEP720954 UOK720954:UOL720954 UYG720954:UYH720954 VIC720954:VID720954 VRY720954:VRZ720954 WBU720954:WBV720954 WLQ720954:WLR720954 WVM720954:WVN720954 E786490:F786490 JA786490:JB786490 SW786490:SX786490 ACS786490:ACT786490 AMO786490:AMP786490 AWK786490:AWL786490 BGG786490:BGH786490 BQC786490:BQD786490 BZY786490:BZZ786490 CJU786490:CJV786490 CTQ786490:CTR786490 DDM786490:DDN786490 DNI786490:DNJ786490 DXE786490:DXF786490 EHA786490:EHB786490 EQW786490:EQX786490 FAS786490:FAT786490 FKO786490:FKP786490 FUK786490:FUL786490 GEG786490:GEH786490 GOC786490:GOD786490 GXY786490:GXZ786490 HHU786490:HHV786490 HRQ786490:HRR786490 IBM786490:IBN786490 ILI786490:ILJ786490 IVE786490:IVF786490 JFA786490:JFB786490 JOW786490:JOX786490 JYS786490:JYT786490 KIO786490:KIP786490 KSK786490:KSL786490 LCG786490:LCH786490 LMC786490:LMD786490 LVY786490:LVZ786490 MFU786490:MFV786490 MPQ786490:MPR786490 MZM786490:MZN786490 NJI786490:NJJ786490 NTE786490:NTF786490 ODA786490:ODB786490 OMW786490:OMX786490 OWS786490:OWT786490 PGO786490:PGP786490 PQK786490:PQL786490 QAG786490:QAH786490 QKC786490:QKD786490 QTY786490:QTZ786490 RDU786490:RDV786490 RNQ786490:RNR786490 RXM786490:RXN786490 SHI786490:SHJ786490 SRE786490:SRF786490 TBA786490:TBB786490 TKW786490:TKX786490 TUS786490:TUT786490 UEO786490:UEP786490 UOK786490:UOL786490 UYG786490:UYH786490 VIC786490:VID786490 VRY786490:VRZ786490 WBU786490:WBV786490 WLQ786490:WLR786490 WVM786490:WVN786490 E852026:F852026 JA852026:JB852026 SW852026:SX852026 ACS852026:ACT852026 AMO852026:AMP852026 AWK852026:AWL852026 BGG852026:BGH852026 BQC852026:BQD852026 BZY852026:BZZ852026 CJU852026:CJV852026 CTQ852026:CTR852026 DDM852026:DDN852026 DNI852026:DNJ852026 DXE852026:DXF852026 EHA852026:EHB852026 EQW852026:EQX852026 FAS852026:FAT852026 FKO852026:FKP852026 FUK852026:FUL852026 GEG852026:GEH852026 GOC852026:GOD852026 GXY852026:GXZ852026 HHU852026:HHV852026 HRQ852026:HRR852026 IBM852026:IBN852026 ILI852026:ILJ852026 IVE852026:IVF852026 JFA852026:JFB852026 JOW852026:JOX852026 JYS852026:JYT852026 KIO852026:KIP852026 KSK852026:KSL852026 LCG852026:LCH852026 LMC852026:LMD852026 LVY852026:LVZ852026 MFU852026:MFV852026 MPQ852026:MPR852026 MZM852026:MZN852026 NJI852026:NJJ852026 NTE852026:NTF852026 ODA852026:ODB852026 OMW852026:OMX852026 OWS852026:OWT852026 PGO852026:PGP852026 PQK852026:PQL852026 QAG852026:QAH852026 QKC852026:QKD852026 QTY852026:QTZ852026 RDU852026:RDV852026 RNQ852026:RNR852026 RXM852026:RXN852026 SHI852026:SHJ852026 SRE852026:SRF852026 TBA852026:TBB852026 TKW852026:TKX852026 TUS852026:TUT852026 UEO852026:UEP852026 UOK852026:UOL852026 UYG852026:UYH852026 VIC852026:VID852026 VRY852026:VRZ852026 WBU852026:WBV852026 WLQ852026:WLR852026 WVM852026:WVN852026 E917562:F917562 JA917562:JB917562 SW917562:SX917562 ACS917562:ACT917562 AMO917562:AMP917562 AWK917562:AWL917562 BGG917562:BGH917562 BQC917562:BQD917562 BZY917562:BZZ917562 CJU917562:CJV917562 CTQ917562:CTR917562 DDM917562:DDN917562 DNI917562:DNJ917562 DXE917562:DXF917562 EHA917562:EHB917562 EQW917562:EQX917562 FAS917562:FAT917562 FKO917562:FKP917562 FUK917562:FUL917562 GEG917562:GEH917562 GOC917562:GOD917562 GXY917562:GXZ917562 HHU917562:HHV917562 HRQ917562:HRR917562 IBM917562:IBN917562 ILI917562:ILJ917562 IVE917562:IVF917562 JFA917562:JFB917562 JOW917562:JOX917562 JYS917562:JYT917562 KIO917562:KIP917562 KSK917562:KSL917562 LCG917562:LCH917562 LMC917562:LMD917562 LVY917562:LVZ917562 MFU917562:MFV917562 MPQ917562:MPR917562 MZM917562:MZN917562 NJI917562:NJJ917562 NTE917562:NTF917562 ODA917562:ODB917562 OMW917562:OMX917562 OWS917562:OWT917562 PGO917562:PGP917562 PQK917562:PQL917562 QAG917562:QAH917562 QKC917562:QKD917562 QTY917562:QTZ917562 RDU917562:RDV917562 RNQ917562:RNR917562 RXM917562:RXN917562 SHI917562:SHJ917562 SRE917562:SRF917562 TBA917562:TBB917562 TKW917562:TKX917562 TUS917562:TUT917562 UEO917562:UEP917562 UOK917562:UOL917562 UYG917562:UYH917562 VIC917562:VID917562 VRY917562:VRZ917562 WBU917562:WBV917562 WLQ917562:WLR917562 WVM917562:WVN917562 E983098:F983098 JA983098:JB983098 SW983098:SX983098 ACS983098:ACT983098 AMO983098:AMP983098 AWK983098:AWL983098 BGG983098:BGH983098 BQC983098:BQD983098 BZY983098:BZZ983098 CJU983098:CJV983098 CTQ983098:CTR983098 DDM983098:DDN983098 DNI983098:DNJ983098 DXE983098:DXF983098 EHA983098:EHB983098 EQW983098:EQX983098 FAS983098:FAT983098 FKO983098:FKP983098 FUK983098:FUL983098 GEG983098:GEH983098 GOC983098:GOD983098 GXY983098:GXZ983098 HHU983098:HHV983098 HRQ983098:HRR983098 IBM983098:IBN983098 ILI983098:ILJ983098 IVE983098:IVF983098 JFA983098:JFB983098 JOW983098:JOX983098 JYS983098:JYT983098 KIO983098:KIP983098 KSK983098:KSL983098 LCG983098:LCH983098 LMC983098:LMD983098 LVY983098:LVZ983098 MFU983098:MFV983098 MPQ983098:MPR983098 MZM983098:MZN983098 NJI983098:NJJ983098 NTE983098:NTF983098 ODA983098:ODB983098 OMW983098:OMX983098 OWS983098:OWT983098 PGO983098:PGP983098 PQK983098:PQL983098 QAG983098:QAH983098 QKC983098:QKD983098 QTY983098:QTZ983098 RDU983098:RDV983098 RNQ983098:RNR983098 RXM983098:RXN983098 SHI983098:SHJ983098 SRE983098:SRF983098 TBA983098:TBB983098 TKW983098:TKX983098 TUS983098:TUT983098 UEO983098:UEP983098 UOK983098:UOL983098 UYG983098:UYH983098 VIC983098:VID983098 VRY983098:VRZ983098 WBU983098:WBV983098 WLQ983098:WLR983098 WVM983098:WVN983098">
      <formula1>0</formula1>
    </dataValidation>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F40 JB40 SX40 ACT40 AMP40 AWL40 BGH40 BQD40 BZZ40 CJV40 CTR40 DDN40 DNJ40 DXF40 EHB40 EQX40 FAT40 FKP40 FUL40 GEH40 GOD40 GXZ40 HHV40 HRR40 IBN40 ILJ40 IVF40 JFB40 JOX40 JYT40 KIP40 KSL40 LCH40 LMD40 LVZ40 MFV40 MPR40 MZN40 NJJ40 NTF40 ODB40 OMX40 OWT40 PGP40 PQL40 QAH40 QKD40 QTZ40 RDV40 RNR40 RXN40 SHJ40 SRF40 TBB40 TKX40 TUT40 UEP40 UOL40 UYH40 VID40 VRZ40 WBV40 WLR40 WVN40 F65576 JB65576 SX65576 ACT65576 AMP65576 AWL65576 BGH65576 BQD65576 BZZ65576 CJV65576 CTR65576 DDN65576 DNJ65576 DXF65576 EHB65576 EQX65576 FAT65576 FKP65576 FUL65576 GEH65576 GOD65576 GXZ65576 HHV65576 HRR65576 IBN65576 ILJ65576 IVF65576 JFB65576 JOX65576 JYT65576 KIP65576 KSL65576 LCH65576 LMD65576 LVZ65576 MFV65576 MPR65576 MZN65576 NJJ65576 NTF65576 ODB65576 OMX65576 OWT65576 PGP65576 PQL65576 QAH65576 QKD65576 QTZ65576 RDV65576 RNR65576 RXN65576 SHJ65576 SRF65576 TBB65576 TKX65576 TUT65576 UEP65576 UOL65576 UYH65576 VID65576 VRZ65576 WBV65576 WLR65576 WVN65576 F131112 JB131112 SX131112 ACT131112 AMP131112 AWL131112 BGH131112 BQD131112 BZZ131112 CJV131112 CTR131112 DDN131112 DNJ131112 DXF131112 EHB131112 EQX131112 FAT131112 FKP131112 FUL131112 GEH131112 GOD131112 GXZ131112 HHV131112 HRR131112 IBN131112 ILJ131112 IVF131112 JFB131112 JOX131112 JYT131112 KIP131112 KSL131112 LCH131112 LMD131112 LVZ131112 MFV131112 MPR131112 MZN131112 NJJ131112 NTF131112 ODB131112 OMX131112 OWT131112 PGP131112 PQL131112 QAH131112 QKD131112 QTZ131112 RDV131112 RNR131112 RXN131112 SHJ131112 SRF131112 TBB131112 TKX131112 TUT131112 UEP131112 UOL131112 UYH131112 VID131112 VRZ131112 WBV131112 WLR131112 WVN131112 F196648 JB196648 SX196648 ACT196648 AMP196648 AWL196648 BGH196648 BQD196648 BZZ196648 CJV196648 CTR196648 DDN196648 DNJ196648 DXF196648 EHB196648 EQX196648 FAT196648 FKP196648 FUL196648 GEH196648 GOD196648 GXZ196648 HHV196648 HRR196648 IBN196648 ILJ196648 IVF196648 JFB196648 JOX196648 JYT196648 KIP196648 KSL196648 LCH196648 LMD196648 LVZ196648 MFV196648 MPR196648 MZN196648 NJJ196648 NTF196648 ODB196648 OMX196648 OWT196648 PGP196648 PQL196648 QAH196648 QKD196648 QTZ196648 RDV196648 RNR196648 RXN196648 SHJ196648 SRF196648 TBB196648 TKX196648 TUT196648 UEP196648 UOL196648 UYH196648 VID196648 VRZ196648 WBV196648 WLR196648 WVN196648 F262184 JB262184 SX262184 ACT262184 AMP262184 AWL262184 BGH262184 BQD262184 BZZ262184 CJV262184 CTR262184 DDN262184 DNJ262184 DXF262184 EHB262184 EQX262184 FAT262184 FKP262184 FUL262184 GEH262184 GOD262184 GXZ262184 HHV262184 HRR262184 IBN262184 ILJ262184 IVF262184 JFB262184 JOX262184 JYT262184 KIP262184 KSL262184 LCH262184 LMD262184 LVZ262184 MFV262184 MPR262184 MZN262184 NJJ262184 NTF262184 ODB262184 OMX262184 OWT262184 PGP262184 PQL262184 QAH262184 QKD262184 QTZ262184 RDV262184 RNR262184 RXN262184 SHJ262184 SRF262184 TBB262184 TKX262184 TUT262184 UEP262184 UOL262184 UYH262184 VID262184 VRZ262184 WBV262184 WLR262184 WVN262184 F327720 JB327720 SX327720 ACT327720 AMP327720 AWL327720 BGH327720 BQD327720 BZZ327720 CJV327720 CTR327720 DDN327720 DNJ327720 DXF327720 EHB327720 EQX327720 FAT327720 FKP327720 FUL327720 GEH327720 GOD327720 GXZ327720 HHV327720 HRR327720 IBN327720 ILJ327720 IVF327720 JFB327720 JOX327720 JYT327720 KIP327720 KSL327720 LCH327720 LMD327720 LVZ327720 MFV327720 MPR327720 MZN327720 NJJ327720 NTF327720 ODB327720 OMX327720 OWT327720 PGP327720 PQL327720 QAH327720 QKD327720 QTZ327720 RDV327720 RNR327720 RXN327720 SHJ327720 SRF327720 TBB327720 TKX327720 TUT327720 UEP327720 UOL327720 UYH327720 VID327720 VRZ327720 WBV327720 WLR327720 WVN327720 F393256 JB393256 SX393256 ACT393256 AMP393256 AWL393256 BGH393256 BQD393256 BZZ393256 CJV393256 CTR393256 DDN393256 DNJ393256 DXF393256 EHB393256 EQX393256 FAT393256 FKP393256 FUL393256 GEH393256 GOD393256 GXZ393256 HHV393256 HRR393256 IBN393256 ILJ393256 IVF393256 JFB393256 JOX393256 JYT393256 KIP393256 KSL393256 LCH393256 LMD393256 LVZ393256 MFV393256 MPR393256 MZN393256 NJJ393256 NTF393256 ODB393256 OMX393256 OWT393256 PGP393256 PQL393256 QAH393256 QKD393256 QTZ393256 RDV393256 RNR393256 RXN393256 SHJ393256 SRF393256 TBB393256 TKX393256 TUT393256 UEP393256 UOL393256 UYH393256 VID393256 VRZ393256 WBV393256 WLR393256 WVN393256 F458792 JB458792 SX458792 ACT458792 AMP458792 AWL458792 BGH458792 BQD458792 BZZ458792 CJV458792 CTR458792 DDN458792 DNJ458792 DXF458792 EHB458792 EQX458792 FAT458792 FKP458792 FUL458792 GEH458792 GOD458792 GXZ458792 HHV458792 HRR458792 IBN458792 ILJ458792 IVF458792 JFB458792 JOX458792 JYT458792 KIP458792 KSL458792 LCH458792 LMD458792 LVZ458792 MFV458792 MPR458792 MZN458792 NJJ458792 NTF458792 ODB458792 OMX458792 OWT458792 PGP458792 PQL458792 QAH458792 QKD458792 QTZ458792 RDV458792 RNR458792 RXN458792 SHJ458792 SRF458792 TBB458792 TKX458792 TUT458792 UEP458792 UOL458792 UYH458792 VID458792 VRZ458792 WBV458792 WLR458792 WVN458792 F524328 JB524328 SX524328 ACT524328 AMP524328 AWL524328 BGH524328 BQD524328 BZZ524328 CJV524328 CTR524328 DDN524328 DNJ524328 DXF524328 EHB524328 EQX524328 FAT524328 FKP524328 FUL524328 GEH524328 GOD524328 GXZ524328 HHV524328 HRR524328 IBN524328 ILJ524328 IVF524328 JFB524328 JOX524328 JYT524328 KIP524328 KSL524328 LCH524328 LMD524328 LVZ524328 MFV524328 MPR524328 MZN524328 NJJ524328 NTF524328 ODB524328 OMX524328 OWT524328 PGP524328 PQL524328 QAH524328 QKD524328 QTZ524328 RDV524328 RNR524328 RXN524328 SHJ524328 SRF524328 TBB524328 TKX524328 TUT524328 UEP524328 UOL524328 UYH524328 VID524328 VRZ524328 WBV524328 WLR524328 WVN524328 F589864 JB589864 SX589864 ACT589864 AMP589864 AWL589864 BGH589864 BQD589864 BZZ589864 CJV589864 CTR589864 DDN589864 DNJ589864 DXF589864 EHB589864 EQX589864 FAT589864 FKP589864 FUL589864 GEH589864 GOD589864 GXZ589864 HHV589864 HRR589864 IBN589864 ILJ589864 IVF589864 JFB589864 JOX589864 JYT589864 KIP589864 KSL589864 LCH589864 LMD589864 LVZ589864 MFV589864 MPR589864 MZN589864 NJJ589864 NTF589864 ODB589864 OMX589864 OWT589864 PGP589864 PQL589864 QAH589864 QKD589864 QTZ589864 RDV589864 RNR589864 RXN589864 SHJ589864 SRF589864 TBB589864 TKX589864 TUT589864 UEP589864 UOL589864 UYH589864 VID589864 VRZ589864 WBV589864 WLR589864 WVN589864 F655400 JB655400 SX655400 ACT655400 AMP655400 AWL655400 BGH655400 BQD655400 BZZ655400 CJV655400 CTR655400 DDN655400 DNJ655400 DXF655400 EHB655400 EQX655400 FAT655400 FKP655400 FUL655400 GEH655400 GOD655400 GXZ655400 HHV655400 HRR655400 IBN655400 ILJ655400 IVF655400 JFB655400 JOX655400 JYT655400 KIP655400 KSL655400 LCH655400 LMD655400 LVZ655400 MFV655400 MPR655400 MZN655400 NJJ655400 NTF655400 ODB655400 OMX655400 OWT655400 PGP655400 PQL655400 QAH655400 QKD655400 QTZ655400 RDV655400 RNR655400 RXN655400 SHJ655400 SRF655400 TBB655400 TKX655400 TUT655400 UEP655400 UOL655400 UYH655400 VID655400 VRZ655400 WBV655400 WLR655400 WVN655400 F720936 JB720936 SX720936 ACT720936 AMP720936 AWL720936 BGH720936 BQD720936 BZZ720936 CJV720936 CTR720936 DDN720936 DNJ720936 DXF720936 EHB720936 EQX720936 FAT720936 FKP720936 FUL720936 GEH720936 GOD720936 GXZ720936 HHV720936 HRR720936 IBN720936 ILJ720936 IVF720936 JFB720936 JOX720936 JYT720936 KIP720936 KSL720936 LCH720936 LMD720936 LVZ720936 MFV720936 MPR720936 MZN720936 NJJ720936 NTF720936 ODB720936 OMX720936 OWT720936 PGP720936 PQL720936 QAH720936 QKD720936 QTZ720936 RDV720936 RNR720936 RXN720936 SHJ720936 SRF720936 TBB720936 TKX720936 TUT720936 UEP720936 UOL720936 UYH720936 VID720936 VRZ720936 WBV720936 WLR720936 WVN720936 F786472 JB786472 SX786472 ACT786472 AMP786472 AWL786472 BGH786472 BQD786472 BZZ786472 CJV786472 CTR786472 DDN786472 DNJ786472 DXF786472 EHB786472 EQX786472 FAT786472 FKP786472 FUL786472 GEH786472 GOD786472 GXZ786472 HHV786472 HRR786472 IBN786472 ILJ786472 IVF786472 JFB786472 JOX786472 JYT786472 KIP786472 KSL786472 LCH786472 LMD786472 LVZ786472 MFV786472 MPR786472 MZN786472 NJJ786472 NTF786472 ODB786472 OMX786472 OWT786472 PGP786472 PQL786472 QAH786472 QKD786472 QTZ786472 RDV786472 RNR786472 RXN786472 SHJ786472 SRF786472 TBB786472 TKX786472 TUT786472 UEP786472 UOL786472 UYH786472 VID786472 VRZ786472 WBV786472 WLR786472 WVN786472 F852008 JB852008 SX852008 ACT852008 AMP852008 AWL852008 BGH852008 BQD852008 BZZ852008 CJV852008 CTR852008 DDN852008 DNJ852008 DXF852008 EHB852008 EQX852008 FAT852008 FKP852008 FUL852008 GEH852008 GOD852008 GXZ852008 HHV852008 HRR852008 IBN852008 ILJ852008 IVF852008 JFB852008 JOX852008 JYT852008 KIP852008 KSL852008 LCH852008 LMD852008 LVZ852008 MFV852008 MPR852008 MZN852008 NJJ852008 NTF852008 ODB852008 OMX852008 OWT852008 PGP852008 PQL852008 QAH852008 QKD852008 QTZ852008 RDV852008 RNR852008 RXN852008 SHJ852008 SRF852008 TBB852008 TKX852008 TUT852008 UEP852008 UOL852008 UYH852008 VID852008 VRZ852008 WBV852008 WLR852008 WVN852008 F917544 JB917544 SX917544 ACT917544 AMP917544 AWL917544 BGH917544 BQD917544 BZZ917544 CJV917544 CTR917544 DDN917544 DNJ917544 DXF917544 EHB917544 EQX917544 FAT917544 FKP917544 FUL917544 GEH917544 GOD917544 GXZ917544 HHV917544 HRR917544 IBN917544 ILJ917544 IVF917544 JFB917544 JOX917544 JYT917544 KIP917544 KSL917544 LCH917544 LMD917544 LVZ917544 MFV917544 MPR917544 MZN917544 NJJ917544 NTF917544 ODB917544 OMX917544 OWT917544 PGP917544 PQL917544 QAH917544 QKD917544 QTZ917544 RDV917544 RNR917544 RXN917544 SHJ917544 SRF917544 TBB917544 TKX917544 TUT917544 UEP917544 UOL917544 UYH917544 VID917544 VRZ917544 WBV917544 WLR917544 WVN917544 F983080 JB983080 SX983080 ACT983080 AMP983080 AWL983080 BGH983080 BQD983080 BZZ983080 CJV983080 CTR983080 DDN983080 DNJ983080 DXF983080 EHB983080 EQX983080 FAT983080 FKP983080 FUL983080 GEH983080 GOD983080 GXZ983080 HHV983080 HRR983080 IBN983080 ILJ983080 IVF983080 JFB983080 JOX983080 JYT983080 KIP983080 KSL983080 LCH983080 LMD983080 LVZ983080 MFV983080 MPR983080 MZN983080 NJJ983080 NTF983080 ODB983080 OMX983080 OWT983080 PGP983080 PQL983080 QAH983080 QKD983080 QTZ983080 RDV983080 RNR983080 RXN983080 SHJ983080 SRF983080 TBB983080 TKX983080 TUT983080 UEP983080 UOL983080 UYH983080 VID983080 VRZ983080 WBV983080 WLR983080 WVN983080 D13 IZ13 SV13 ACR13 AMN13 AWJ13 BGF13 BQB13 BZX13 CJT13 CTP13 DDL13 DNH13 DXD13 EGZ13 EQV13 FAR13 FKN13 FUJ13 GEF13 GOB13 GXX13 HHT13 HRP13 IBL13 ILH13 IVD13 JEZ13 JOV13 JYR13 KIN13 KSJ13 LCF13 LMB13 LVX13 MFT13 MPP13 MZL13 NJH13 NTD13 OCZ13 OMV13 OWR13 PGN13 PQJ13 QAF13 QKB13 QTX13 RDT13 RNP13 RXL13 SHH13 SRD13 TAZ13 TKV13 TUR13 UEN13 UOJ13 UYF13 VIB13 VRX13 WBT13 WLP13 WVL13 D65549 IZ65549 SV65549 ACR65549 AMN65549 AWJ65549 BGF65549 BQB65549 BZX65549 CJT65549 CTP65549 DDL65549 DNH65549 DXD65549 EGZ65549 EQV65549 FAR65549 FKN65549 FUJ65549 GEF65549 GOB65549 GXX65549 HHT65549 HRP65549 IBL65549 ILH65549 IVD65549 JEZ65549 JOV65549 JYR65549 KIN65549 KSJ65549 LCF65549 LMB65549 LVX65549 MFT65549 MPP65549 MZL65549 NJH65549 NTD65549 OCZ65549 OMV65549 OWR65549 PGN65549 PQJ65549 QAF65549 QKB65549 QTX65549 RDT65549 RNP65549 RXL65549 SHH65549 SRD65549 TAZ65549 TKV65549 TUR65549 UEN65549 UOJ65549 UYF65549 VIB65549 VRX65549 WBT65549 WLP65549 WVL65549 D131085 IZ131085 SV131085 ACR131085 AMN131085 AWJ131085 BGF131085 BQB131085 BZX131085 CJT131085 CTP131085 DDL131085 DNH131085 DXD131085 EGZ131085 EQV131085 FAR131085 FKN131085 FUJ131085 GEF131085 GOB131085 GXX131085 HHT131085 HRP131085 IBL131085 ILH131085 IVD131085 JEZ131085 JOV131085 JYR131085 KIN131085 KSJ131085 LCF131085 LMB131085 LVX131085 MFT131085 MPP131085 MZL131085 NJH131085 NTD131085 OCZ131085 OMV131085 OWR131085 PGN131085 PQJ131085 QAF131085 QKB131085 QTX131085 RDT131085 RNP131085 RXL131085 SHH131085 SRD131085 TAZ131085 TKV131085 TUR131085 UEN131085 UOJ131085 UYF131085 VIB131085 VRX131085 WBT131085 WLP131085 WVL131085 D196621 IZ196621 SV196621 ACR196621 AMN196621 AWJ196621 BGF196621 BQB196621 BZX196621 CJT196621 CTP196621 DDL196621 DNH196621 DXD196621 EGZ196621 EQV196621 FAR196621 FKN196621 FUJ196621 GEF196621 GOB196621 GXX196621 HHT196621 HRP196621 IBL196621 ILH196621 IVD196621 JEZ196621 JOV196621 JYR196621 KIN196621 KSJ196621 LCF196621 LMB196621 LVX196621 MFT196621 MPP196621 MZL196621 NJH196621 NTD196621 OCZ196621 OMV196621 OWR196621 PGN196621 PQJ196621 QAF196621 QKB196621 QTX196621 RDT196621 RNP196621 RXL196621 SHH196621 SRD196621 TAZ196621 TKV196621 TUR196621 UEN196621 UOJ196621 UYF196621 VIB196621 VRX196621 WBT196621 WLP196621 WVL196621 D262157 IZ262157 SV262157 ACR262157 AMN262157 AWJ262157 BGF262157 BQB262157 BZX262157 CJT262157 CTP262157 DDL262157 DNH262157 DXD262157 EGZ262157 EQV262157 FAR262157 FKN262157 FUJ262157 GEF262157 GOB262157 GXX262157 HHT262157 HRP262157 IBL262157 ILH262157 IVD262157 JEZ262157 JOV262157 JYR262157 KIN262157 KSJ262157 LCF262157 LMB262157 LVX262157 MFT262157 MPP262157 MZL262157 NJH262157 NTD262157 OCZ262157 OMV262157 OWR262157 PGN262157 PQJ262157 QAF262157 QKB262157 QTX262157 RDT262157 RNP262157 RXL262157 SHH262157 SRD262157 TAZ262157 TKV262157 TUR262157 UEN262157 UOJ262157 UYF262157 VIB262157 VRX262157 WBT262157 WLP262157 WVL262157 D327693 IZ327693 SV327693 ACR327693 AMN327693 AWJ327693 BGF327693 BQB327693 BZX327693 CJT327693 CTP327693 DDL327693 DNH327693 DXD327693 EGZ327693 EQV327693 FAR327693 FKN327693 FUJ327693 GEF327693 GOB327693 GXX327693 HHT327693 HRP327693 IBL327693 ILH327693 IVD327693 JEZ327693 JOV327693 JYR327693 KIN327693 KSJ327693 LCF327693 LMB327693 LVX327693 MFT327693 MPP327693 MZL327693 NJH327693 NTD327693 OCZ327693 OMV327693 OWR327693 PGN327693 PQJ327693 QAF327693 QKB327693 QTX327693 RDT327693 RNP327693 RXL327693 SHH327693 SRD327693 TAZ327693 TKV327693 TUR327693 UEN327693 UOJ327693 UYF327693 VIB327693 VRX327693 WBT327693 WLP327693 WVL327693 D393229 IZ393229 SV393229 ACR393229 AMN393229 AWJ393229 BGF393229 BQB393229 BZX393229 CJT393229 CTP393229 DDL393229 DNH393229 DXD393229 EGZ393229 EQV393229 FAR393229 FKN393229 FUJ393229 GEF393229 GOB393229 GXX393229 HHT393229 HRP393229 IBL393229 ILH393229 IVD393229 JEZ393229 JOV393229 JYR393229 KIN393229 KSJ393229 LCF393229 LMB393229 LVX393229 MFT393229 MPP393229 MZL393229 NJH393229 NTD393229 OCZ393229 OMV393229 OWR393229 PGN393229 PQJ393229 QAF393229 QKB393229 QTX393229 RDT393229 RNP393229 RXL393229 SHH393229 SRD393229 TAZ393229 TKV393229 TUR393229 UEN393229 UOJ393229 UYF393229 VIB393229 VRX393229 WBT393229 WLP393229 WVL393229 D458765 IZ458765 SV458765 ACR458765 AMN458765 AWJ458765 BGF458765 BQB458765 BZX458765 CJT458765 CTP458765 DDL458765 DNH458765 DXD458765 EGZ458765 EQV458765 FAR458765 FKN458765 FUJ458765 GEF458765 GOB458765 GXX458765 HHT458765 HRP458765 IBL458765 ILH458765 IVD458765 JEZ458765 JOV458765 JYR458765 KIN458765 KSJ458765 LCF458765 LMB458765 LVX458765 MFT458765 MPP458765 MZL458765 NJH458765 NTD458765 OCZ458765 OMV458765 OWR458765 PGN458765 PQJ458765 QAF458765 QKB458765 QTX458765 RDT458765 RNP458765 RXL458765 SHH458765 SRD458765 TAZ458765 TKV458765 TUR458765 UEN458765 UOJ458765 UYF458765 VIB458765 VRX458765 WBT458765 WLP458765 WVL458765 D524301 IZ524301 SV524301 ACR524301 AMN524301 AWJ524301 BGF524301 BQB524301 BZX524301 CJT524301 CTP524301 DDL524301 DNH524301 DXD524301 EGZ524301 EQV524301 FAR524301 FKN524301 FUJ524301 GEF524301 GOB524301 GXX524301 HHT524301 HRP524301 IBL524301 ILH524301 IVD524301 JEZ524301 JOV524301 JYR524301 KIN524301 KSJ524301 LCF524301 LMB524301 LVX524301 MFT524301 MPP524301 MZL524301 NJH524301 NTD524301 OCZ524301 OMV524301 OWR524301 PGN524301 PQJ524301 QAF524301 QKB524301 QTX524301 RDT524301 RNP524301 RXL524301 SHH524301 SRD524301 TAZ524301 TKV524301 TUR524301 UEN524301 UOJ524301 UYF524301 VIB524301 VRX524301 WBT524301 WLP524301 WVL524301 D589837 IZ589837 SV589837 ACR589837 AMN589837 AWJ589837 BGF589837 BQB589837 BZX589837 CJT589837 CTP589837 DDL589837 DNH589837 DXD589837 EGZ589837 EQV589837 FAR589837 FKN589837 FUJ589837 GEF589837 GOB589837 GXX589837 HHT589837 HRP589837 IBL589837 ILH589837 IVD589837 JEZ589837 JOV589837 JYR589837 KIN589837 KSJ589837 LCF589837 LMB589837 LVX589837 MFT589837 MPP589837 MZL589837 NJH589837 NTD589837 OCZ589837 OMV589837 OWR589837 PGN589837 PQJ589837 QAF589837 QKB589837 QTX589837 RDT589837 RNP589837 RXL589837 SHH589837 SRD589837 TAZ589837 TKV589837 TUR589837 UEN589837 UOJ589837 UYF589837 VIB589837 VRX589837 WBT589837 WLP589837 WVL589837 D655373 IZ655373 SV655373 ACR655373 AMN655373 AWJ655373 BGF655373 BQB655373 BZX655373 CJT655373 CTP655373 DDL655373 DNH655373 DXD655373 EGZ655373 EQV655373 FAR655373 FKN655373 FUJ655373 GEF655373 GOB655373 GXX655373 HHT655373 HRP655373 IBL655373 ILH655373 IVD655373 JEZ655373 JOV655373 JYR655373 KIN655373 KSJ655373 LCF655373 LMB655373 LVX655373 MFT655373 MPP655373 MZL655373 NJH655373 NTD655373 OCZ655373 OMV655373 OWR655373 PGN655373 PQJ655373 QAF655373 QKB655373 QTX655373 RDT655373 RNP655373 RXL655373 SHH655373 SRD655373 TAZ655373 TKV655373 TUR655373 UEN655373 UOJ655373 UYF655373 VIB655373 VRX655373 WBT655373 WLP655373 WVL655373 D720909 IZ720909 SV720909 ACR720909 AMN720909 AWJ720909 BGF720909 BQB720909 BZX720909 CJT720909 CTP720909 DDL720909 DNH720909 DXD720909 EGZ720909 EQV720909 FAR720909 FKN720909 FUJ720909 GEF720909 GOB720909 GXX720909 HHT720909 HRP720909 IBL720909 ILH720909 IVD720909 JEZ720909 JOV720909 JYR720909 KIN720909 KSJ720909 LCF720909 LMB720909 LVX720909 MFT720909 MPP720909 MZL720909 NJH720909 NTD720909 OCZ720909 OMV720909 OWR720909 PGN720909 PQJ720909 QAF720909 QKB720909 QTX720909 RDT720909 RNP720909 RXL720909 SHH720909 SRD720909 TAZ720909 TKV720909 TUR720909 UEN720909 UOJ720909 UYF720909 VIB720909 VRX720909 WBT720909 WLP720909 WVL720909 D786445 IZ786445 SV786445 ACR786445 AMN786445 AWJ786445 BGF786445 BQB786445 BZX786445 CJT786445 CTP786445 DDL786445 DNH786445 DXD786445 EGZ786445 EQV786445 FAR786445 FKN786445 FUJ786445 GEF786445 GOB786445 GXX786445 HHT786445 HRP786445 IBL786445 ILH786445 IVD786445 JEZ786445 JOV786445 JYR786445 KIN786445 KSJ786445 LCF786445 LMB786445 LVX786445 MFT786445 MPP786445 MZL786445 NJH786445 NTD786445 OCZ786445 OMV786445 OWR786445 PGN786445 PQJ786445 QAF786445 QKB786445 QTX786445 RDT786445 RNP786445 RXL786445 SHH786445 SRD786445 TAZ786445 TKV786445 TUR786445 UEN786445 UOJ786445 UYF786445 VIB786445 VRX786445 WBT786445 WLP786445 WVL786445 D851981 IZ851981 SV851981 ACR851981 AMN851981 AWJ851981 BGF851981 BQB851981 BZX851981 CJT851981 CTP851981 DDL851981 DNH851981 DXD851981 EGZ851981 EQV851981 FAR851981 FKN851981 FUJ851981 GEF851981 GOB851981 GXX851981 HHT851981 HRP851981 IBL851981 ILH851981 IVD851981 JEZ851981 JOV851981 JYR851981 KIN851981 KSJ851981 LCF851981 LMB851981 LVX851981 MFT851981 MPP851981 MZL851981 NJH851981 NTD851981 OCZ851981 OMV851981 OWR851981 PGN851981 PQJ851981 QAF851981 QKB851981 QTX851981 RDT851981 RNP851981 RXL851981 SHH851981 SRD851981 TAZ851981 TKV851981 TUR851981 UEN851981 UOJ851981 UYF851981 VIB851981 VRX851981 WBT851981 WLP851981 WVL851981 D917517 IZ917517 SV917517 ACR917517 AMN917517 AWJ917517 BGF917517 BQB917517 BZX917517 CJT917517 CTP917517 DDL917517 DNH917517 DXD917517 EGZ917517 EQV917517 FAR917517 FKN917517 FUJ917517 GEF917517 GOB917517 GXX917517 HHT917517 HRP917517 IBL917517 ILH917517 IVD917517 JEZ917517 JOV917517 JYR917517 KIN917517 KSJ917517 LCF917517 LMB917517 LVX917517 MFT917517 MPP917517 MZL917517 NJH917517 NTD917517 OCZ917517 OMV917517 OWR917517 PGN917517 PQJ917517 QAF917517 QKB917517 QTX917517 RDT917517 RNP917517 RXL917517 SHH917517 SRD917517 TAZ917517 TKV917517 TUR917517 UEN917517 UOJ917517 UYF917517 VIB917517 VRX917517 WBT917517 WLP917517 WVL917517 D983053 IZ983053 SV983053 ACR983053 AMN983053 AWJ983053 BGF983053 BQB983053 BZX983053 CJT983053 CTP983053 DDL983053 DNH983053 DXD983053 EGZ983053 EQV983053 FAR983053 FKN983053 FUJ983053 GEF983053 GOB983053 GXX983053 HHT983053 HRP983053 IBL983053 ILH983053 IVD983053 JEZ983053 JOV983053 JYR983053 KIN983053 KSJ983053 LCF983053 LMB983053 LVX983053 MFT983053 MPP983053 MZL983053 NJH983053 NTD983053 OCZ983053 OMV983053 OWR983053 PGN983053 PQJ983053 QAF983053 QKB983053 QTX983053 RDT983053 RNP983053 RXL983053 SHH983053 SRD983053 TAZ983053 TKV983053 TUR983053 UEN983053 UOJ983053 UYF983053 VIB983053 VRX983053 WBT983053 WLP983053 WVL983053 C43 IY43 SU43 ACQ43 AMM43 AWI43 BGE43 BQA43 BZW43 CJS43 CTO43 DDK43 DNG43 DXC43 EGY43 EQU43 FAQ43 FKM43 FUI43 GEE43 GOA43 GXW43 HHS43 HRO43 IBK43 ILG43 IVC43 JEY43 JOU43 JYQ43 KIM43 KSI43 LCE43 LMA43 LVW43 MFS43 MPO43 MZK43 NJG43 NTC43 OCY43 OMU43 OWQ43 PGM43 PQI43 QAE43 QKA43 QTW43 RDS43 RNO43 RXK43 SHG43 SRC43 TAY43 TKU43 TUQ43 UEM43 UOI43 UYE43 VIA43 VRW43 WBS43 WLO43 WVK43 C65579 IY65579 SU65579 ACQ65579 AMM65579 AWI65579 BGE65579 BQA65579 BZW65579 CJS65579 CTO65579 DDK65579 DNG65579 DXC65579 EGY65579 EQU65579 FAQ65579 FKM65579 FUI65579 GEE65579 GOA65579 GXW65579 HHS65579 HRO65579 IBK65579 ILG65579 IVC65579 JEY65579 JOU65579 JYQ65579 KIM65579 KSI65579 LCE65579 LMA65579 LVW65579 MFS65579 MPO65579 MZK65579 NJG65579 NTC65579 OCY65579 OMU65579 OWQ65579 PGM65579 PQI65579 QAE65579 QKA65579 QTW65579 RDS65579 RNO65579 RXK65579 SHG65579 SRC65579 TAY65579 TKU65579 TUQ65579 UEM65579 UOI65579 UYE65579 VIA65579 VRW65579 WBS65579 WLO65579 WVK65579 C131115 IY131115 SU131115 ACQ131115 AMM131115 AWI131115 BGE131115 BQA131115 BZW131115 CJS131115 CTO131115 DDK131115 DNG131115 DXC131115 EGY131115 EQU131115 FAQ131115 FKM131115 FUI131115 GEE131115 GOA131115 GXW131115 HHS131115 HRO131115 IBK131115 ILG131115 IVC131115 JEY131115 JOU131115 JYQ131115 KIM131115 KSI131115 LCE131115 LMA131115 LVW131115 MFS131115 MPO131115 MZK131115 NJG131115 NTC131115 OCY131115 OMU131115 OWQ131115 PGM131115 PQI131115 QAE131115 QKA131115 QTW131115 RDS131115 RNO131115 RXK131115 SHG131115 SRC131115 TAY131115 TKU131115 TUQ131115 UEM131115 UOI131115 UYE131115 VIA131115 VRW131115 WBS131115 WLO131115 WVK131115 C196651 IY196651 SU196651 ACQ196651 AMM196651 AWI196651 BGE196651 BQA196651 BZW196651 CJS196651 CTO196651 DDK196651 DNG196651 DXC196651 EGY196651 EQU196651 FAQ196651 FKM196651 FUI196651 GEE196651 GOA196651 GXW196651 HHS196651 HRO196651 IBK196651 ILG196651 IVC196651 JEY196651 JOU196651 JYQ196651 KIM196651 KSI196651 LCE196651 LMA196651 LVW196651 MFS196651 MPO196651 MZK196651 NJG196651 NTC196651 OCY196651 OMU196651 OWQ196651 PGM196651 PQI196651 QAE196651 QKA196651 QTW196651 RDS196651 RNO196651 RXK196651 SHG196651 SRC196651 TAY196651 TKU196651 TUQ196651 UEM196651 UOI196651 UYE196651 VIA196651 VRW196651 WBS196651 WLO196651 WVK196651 C262187 IY262187 SU262187 ACQ262187 AMM262187 AWI262187 BGE262187 BQA262187 BZW262187 CJS262187 CTO262187 DDK262187 DNG262187 DXC262187 EGY262187 EQU262187 FAQ262187 FKM262187 FUI262187 GEE262187 GOA262187 GXW262187 HHS262187 HRO262187 IBK262187 ILG262187 IVC262187 JEY262187 JOU262187 JYQ262187 KIM262187 KSI262187 LCE262187 LMA262187 LVW262187 MFS262187 MPO262187 MZK262187 NJG262187 NTC262187 OCY262187 OMU262187 OWQ262187 PGM262187 PQI262187 QAE262187 QKA262187 QTW262187 RDS262187 RNO262187 RXK262187 SHG262187 SRC262187 TAY262187 TKU262187 TUQ262187 UEM262187 UOI262187 UYE262187 VIA262187 VRW262187 WBS262187 WLO262187 WVK262187 C327723 IY327723 SU327723 ACQ327723 AMM327723 AWI327723 BGE327723 BQA327723 BZW327723 CJS327723 CTO327723 DDK327723 DNG327723 DXC327723 EGY327723 EQU327723 FAQ327723 FKM327723 FUI327723 GEE327723 GOA327723 GXW327723 HHS327723 HRO327723 IBK327723 ILG327723 IVC327723 JEY327723 JOU327723 JYQ327723 KIM327723 KSI327723 LCE327723 LMA327723 LVW327723 MFS327723 MPO327723 MZK327723 NJG327723 NTC327723 OCY327723 OMU327723 OWQ327723 PGM327723 PQI327723 QAE327723 QKA327723 QTW327723 RDS327723 RNO327723 RXK327723 SHG327723 SRC327723 TAY327723 TKU327723 TUQ327723 UEM327723 UOI327723 UYE327723 VIA327723 VRW327723 WBS327723 WLO327723 WVK327723 C393259 IY393259 SU393259 ACQ393259 AMM393259 AWI393259 BGE393259 BQA393259 BZW393259 CJS393259 CTO393259 DDK393259 DNG393259 DXC393259 EGY393259 EQU393259 FAQ393259 FKM393259 FUI393259 GEE393259 GOA393259 GXW393259 HHS393259 HRO393259 IBK393259 ILG393259 IVC393259 JEY393259 JOU393259 JYQ393259 KIM393259 KSI393259 LCE393259 LMA393259 LVW393259 MFS393259 MPO393259 MZK393259 NJG393259 NTC393259 OCY393259 OMU393259 OWQ393259 PGM393259 PQI393259 QAE393259 QKA393259 QTW393259 RDS393259 RNO393259 RXK393259 SHG393259 SRC393259 TAY393259 TKU393259 TUQ393259 UEM393259 UOI393259 UYE393259 VIA393259 VRW393259 WBS393259 WLO393259 WVK393259 C458795 IY458795 SU458795 ACQ458795 AMM458795 AWI458795 BGE458795 BQA458795 BZW458795 CJS458795 CTO458795 DDK458795 DNG458795 DXC458795 EGY458795 EQU458795 FAQ458795 FKM458795 FUI458795 GEE458795 GOA458795 GXW458795 HHS458795 HRO458795 IBK458795 ILG458795 IVC458795 JEY458795 JOU458795 JYQ458795 KIM458795 KSI458795 LCE458795 LMA458795 LVW458795 MFS458795 MPO458795 MZK458795 NJG458795 NTC458795 OCY458795 OMU458795 OWQ458795 PGM458795 PQI458795 QAE458795 QKA458795 QTW458795 RDS458795 RNO458795 RXK458795 SHG458795 SRC458795 TAY458795 TKU458795 TUQ458795 UEM458795 UOI458795 UYE458795 VIA458795 VRW458795 WBS458795 WLO458795 WVK458795 C524331 IY524331 SU524331 ACQ524331 AMM524331 AWI524331 BGE524331 BQA524331 BZW524331 CJS524331 CTO524331 DDK524331 DNG524331 DXC524331 EGY524331 EQU524331 FAQ524331 FKM524331 FUI524331 GEE524331 GOA524331 GXW524331 HHS524331 HRO524331 IBK524331 ILG524331 IVC524331 JEY524331 JOU524331 JYQ524331 KIM524331 KSI524331 LCE524331 LMA524331 LVW524331 MFS524331 MPO524331 MZK524331 NJG524331 NTC524331 OCY524331 OMU524331 OWQ524331 PGM524331 PQI524331 QAE524331 QKA524331 QTW524331 RDS524331 RNO524331 RXK524331 SHG524331 SRC524331 TAY524331 TKU524331 TUQ524331 UEM524331 UOI524331 UYE524331 VIA524331 VRW524331 WBS524331 WLO524331 WVK524331 C589867 IY589867 SU589867 ACQ589867 AMM589867 AWI589867 BGE589867 BQA589867 BZW589867 CJS589867 CTO589867 DDK589867 DNG589867 DXC589867 EGY589867 EQU589867 FAQ589867 FKM589867 FUI589867 GEE589867 GOA589867 GXW589867 HHS589867 HRO589867 IBK589867 ILG589867 IVC589867 JEY589867 JOU589867 JYQ589867 KIM589867 KSI589867 LCE589867 LMA589867 LVW589867 MFS589867 MPO589867 MZK589867 NJG589867 NTC589867 OCY589867 OMU589867 OWQ589867 PGM589867 PQI589867 QAE589867 QKA589867 QTW589867 RDS589867 RNO589867 RXK589867 SHG589867 SRC589867 TAY589867 TKU589867 TUQ589867 UEM589867 UOI589867 UYE589867 VIA589867 VRW589867 WBS589867 WLO589867 WVK589867 C655403 IY655403 SU655403 ACQ655403 AMM655403 AWI655403 BGE655403 BQA655403 BZW655403 CJS655403 CTO655403 DDK655403 DNG655403 DXC655403 EGY655403 EQU655403 FAQ655403 FKM655403 FUI655403 GEE655403 GOA655403 GXW655403 HHS655403 HRO655403 IBK655403 ILG655403 IVC655403 JEY655403 JOU655403 JYQ655403 KIM655403 KSI655403 LCE655403 LMA655403 LVW655403 MFS655403 MPO655403 MZK655403 NJG655403 NTC655403 OCY655403 OMU655403 OWQ655403 PGM655403 PQI655403 QAE655403 QKA655403 QTW655403 RDS655403 RNO655403 RXK655403 SHG655403 SRC655403 TAY655403 TKU655403 TUQ655403 UEM655403 UOI655403 UYE655403 VIA655403 VRW655403 WBS655403 WLO655403 WVK655403 C720939 IY720939 SU720939 ACQ720939 AMM720939 AWI720939 BGE720939 BQA720939 BZW720939 CJS720939 CTO720939 DDK720939 DNG720939 DXC720939 EGY720939 EQU720939 FAQ720939 FKM720939 FUI720939 GEE720939 GOA720939 GXW720939 HHS720939 HRO720939 IBK720939 ILG720939 IVC720939 JEY720939 JOU720939 JYQ720939 KIM720939 KSI720939 LCE720939 LMA720939 LVW720939 MFS720939 MPO720939 MZK720939 NJG720939 NTC720939 OCY720939 OMU720939 OWQ720939 PGM720939 PQI720939 QAE720939 QKA720939 QTW720939 RDS720939 RNO720939 RXK720939 SHG720939 SRC720939 TAY720939 TKU720939 TUQ720939 UEM720939 UOI720939 UYE720939 VIA720939 VRW720939 WBS720939 WLO720939 WVK720939 C786475 IY786475 SU786475 ACQ786475 AMM786475 AWI786475 BGE786475 BQA786475 BZW786475 CJS786475 CTO786475 DDK786475 DNG786475 DXC786475 EGY786475 EQU786475 FAQ786475 FKM786475 FUI786475 GEE786475 GOA786475 GXW786475 HHS786475 HRO786475 IBK786475 ILG786475 IVC786475 JEY786475 JOU786475 JYQ786475 KIM786475 KSI786475 LCE786475 LMA786475 LVW786475 MFS786475 MPO786475 MZK786475 NJG786475 NTC786475 OCY786475 OMU786475 OWQ786475 PGM786475 PQI786475 QAE786475 QKA786475 QTW786475 RDS786475 RNO786475 RXK786475 SHG786475 SRC786475 TAY786475 TKU786475 TUQ786475 UEM786475 UOI786475 UYE786475 VIA786475 VRW786475 WBS786475 WLO786475 WVK786475 C852011 IY852011 SU852011 ACQ852011 AMM852011 AWI852011 BGE852011 BQA852011 BZW852011 CJS852011 CTO852011 DDK852011 DNG852011 DXC852011 EGY852011 EQU852011 FAQ852011 FKM852011 FUI852011 GEE852011 GOA852011 GXW852011 HHS852011 HRO852011 IBK852011 ILG852011 IVC852011 JEY852011 JOU852011 JYQ852011 KIM852011 KSI852011 LCE852011 LMA852011 LVW852011 MFS852011 MPO852011 MZK852011 NJG852011 NTC852011 OCY852011 OMU852011 OWQ852011 PGM852011 PQI852011 QAE852011 QKA852011 QTW852011 RDS852011 RNO852011 RXK852011 SHG852011 SRC852011 TAY852011 TKU852011 TUQ852011 UEM852011 UOI852011 UYE852011 VIA852011 VRW852011 WBS852011 WLO852011 WVK852011 C917547 IY917547 SU917547 ACQ917547 AMM917547 AWI917547 BGE917547 BQA917547 BZW917547 CJS917547 CTO917547 DDK917547 DNG917547 DXC917547 EGY917547 EQU917547 FAQ917547 FKM917547 FUI917547 GEE917547 GOA917547 GXW917547 HHS917547 HRO917547 IBK917547 ILG917547 IVC917547 JEY917547 JOU917547 JYQ917547 KIM917547 KSI917547 LCE917547 LMA917547 LVW917547 MFS917547 MPO917547 MZK917547 NJG917547 NTC917547 OCY917547 OMU917547 OWQ917547 PGM917547 PQI917547 QAE917547 QKA917547 QTW917547 RDS917547 RNO917547 RXK917547 SHG917547 SRC917547 TAY917547 TKU917547 TUQ917547 UEM917547 UOI917547 UYE917547 VIA917547 VRW917547 WBS917547 WLO917547 WVK917547 C983083 IY983083 SU983083 ACQ983083 AMM983083 AWI983083 BGE983083 BQA983083 BZW983083 CJS983083 CTO983083 DDK983083 DNG983083 DXC983083 EGY983083 EQU983083 FAQ983083 FKM983083 FUI983083 GEE983083 GOA983083 GXW983083 HHS983083 HRO983083 IBK983083 ILG983083 IVC983083 JEY983083 JOU983083 JYQ983083 KIM983083 KSI983083 LCE983083 LMA983083 LVW983083 MFS983083 MPO983083 MZK983083 NJG983083 NTC983083 OCY983083 OMU983083 OWQ983083 PGM983083 PQI983083 QAE983083 QKA983083 QTW983083 RDS983083 RNO983083 RXK983083 SHG983083 SRC983083 TAY983083 TKU983083 TUQ983083 UEM983083 UOI983083 UYE983083 VIA983083 VRW983083 WBS983083 WLO983083 WVK983083 C17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D22:D23 IZ22:IZ23 SV22:SV23 ACR22:ACR23 AMN22:AMN23 AWJ22:AWJ23 BGF22:BGF23 BQB22:BQB23 BZX22:BZX23 CJT22:CJT23 CTP22:CTP23 DDL22:DDL23 DNH22:DNH23 DXD22:DXD23 EGZ22:EGZ23 EQV22:EQV23 FAR22:FAR23 FKN22:FKN23 FUJ22:FUJ23 GEF22:GEF23 GOB22:GOB23 GXX22:GXX23 HHT22:HHT23 HRP22:HRP23 IBL22:IBL23 ILH22:ILH23 IVD22:IVD23 JEZ22:JEZ23 JOV22:JOV23 JYR22:JYR23 KIN22:KIN23 KSJ22:KSJ23 LCF22:LCF23 LMB22:LMB23 LVX22:LVX23 MFT22:MFT23 MPP22:MPP23 MZL22:MZL23 NJH22:NJH23 NTD22:NTD23 OCZ22:OCZ23 OMV22:OMV23 OWR22:OWR23 PGN22:PGN23 PQJ22:PQJ23 QAF22:QAF23 QKB22:QKB23 QTX22:QTX23 RDT22:RDT23 RNP22:RNP23 RXL22:RXL23 SHH22:SHH23 SRD22:SRD23 TAZ22:TAZ23 TKV22:TKV23 TUR22:TUR23 UEN22:UEN23 UOJ22:UOJ23 UYF22:UYF23 VIB22:VIB23 VRX22:VRX23 WBT22:WBT23 WLP22:WLP23 WVL22:WVL23 D65558:D65559 IZ65558:IZ65559 SV65558:SV65559 ACR65558:ACR65559 AMN65558:AMN65559 AWJ65558:AWJ65559 BGF65558:BGF65559 BQB65558:BQB65559 BZX65558:BZX65559 CJT65558:CJT65559 CTP65558:CTP65559 DDL65558:DDL65559 DNH65558:DNH65559 DXD65558:DXD65559 EGZ65558:EGZ65559 EQV65558:EQV65559 FAR65558:FAR65559 FKN65558:FKN65559 FUJ65558:FUJ65559 GEF65558:GEF65559 GOB65558:GOB65559 GXX65558:GXX65559 HHT65558:HHT65559 HRP65558:HRP65559 IBL65558:IBL65559 ILH65558:ILH65559 IVD65558:IVD65559 JEZ65558:JEZ65559 JOV65558:JOV65559 JYR65558:JYR65559 KIN65558:KIN65559 KSJ65558:KSJ65559 LCF65558:LCF65559 LMB65558:LMB65559 LVX65558:LVX65559 MFT65558:MFT65559 MPP65558:MPP65559 MZL65558:MZL65559 NJH65558:NJH65559 NTD65558:NTD65559 OCZ65558:OCZ65559 OMV65558:OMV65559 OWR65558:OWR65559 PGN65558:PGN65559 PQJ65558:PQJ65559 QAF65558:QAF65559 QKB65558:QKB65559 QTX65558:QTX65559 RDT65558:RDT65559 RNP65558:RNP65559 RXL65558:RXL65559 SHH65558:SHH65559 SRD65558:SRD65559 TAZ65558:TAZ65559 TKV65558:TKV65559 TUR65558:TUR65559 UEN65558:UEN65559 UOJ65558:UOJ65559 UYF65558:UYF65559 VIB65558:VIB65559 VRX65558:VRX65559 WBT65558:WBT65559 WLP65558:WLP65559 WVL65558:WVL65559 D131094:D131095 IZ131094:IZ131095 SV131094:SV131095 ACR131094:ACR131095 AMN131094:AMN131095 AWJ131094:AWJ131095 BGF131094:BGF131095 BQB131094:BQB131095 BZX131094:BZX131095 CJT131094:CJT131095 CTP131094:CTP131095 DDL131094:DDL131095 DNH131094:DNH131095 DXD131094:DXD131095 EGZ131094:EGZ131095 EQV131094:EQV131095 FAR131094:FAR131095 FKN131094:FKN131095 FUJ131094:FUJ131095 GEF131094:GEF131095 GOB131094:GOB131095 GXX131094:GXX131095 HHT131094:HHT131095 HRP131094:HRP131095 IBL131094:IBL131095 ILH131094:ILH131095 IVD131094:IVD131095 JEZ131094:JEZ131095 JOV131094:JOV131095 JYR131094:JYR131095 KIN131094:KIN131095 KSJ131094:KSJ131095 LCF131094:LCF131095 LMB131094:LMB131095 LVX131094:LVX131095 MFT131094:MFT131095 MPP131094:MPP131095 MZL131094:MZL131095 NJH131094:NJH131095 NTD131094:NTD131095 OCZ131094:OCZ131095 OMV131094:OMV131095 OWR131094:OWR131095 PGN131094:PGN131095 PQJ131094:PQJ131095 QAF131094:QAF131095 QKB131094:QKB131095 QTX131094:QTX131095 RDT131094:RDT131095 RNP131094:RNP131095 RXL131094:RXL131095 SHH131094:SHH131095 SRD131094:SRD131095 TAZ131094:TAZ131095 TKV131094:TKV131095 TUR131094:TUR131095 UEN131094:UEN131095 UOJ131094:UOJ131095 UYF131094:UYF131095 VIB131094:VIB131095 VRX131094:VRX131095 WBT131094:WBT131095 WLP131094:WLP131095 WVL131094:WVL131095 D196630:D196631 IZ196630:IZ196631 SV196630:SV196631 ACR196630:ACR196631 AMN196630:AMN196631 AWJ196630:AWJ196631 BGF196630:BGF196631 BQB196630:BQB196631 BZX196630:BZX196631 CJT196630:CJT196631 CTP196630:CTP196631 DDL196630:DDL196631 DNH196630:DNH196631 DXD196630:DXD196631 EGZ196630:EGZ196631 EQV196630:EQV196631 FAR196630:FAR196631 FKN196630:FKN196631 FUJ196630:FUJ196631 GEF196630:GEF196631 GOB196630:GOB196631 GXX196630:GXX196631 HHT196630:HHT196631 HRP196630:HRP196631 IBL196630:IBL196631 ILH196630:ILH196631 IVD196630:IVD196631 JEZ196630:JEZ196631 JOV196630:JOV196631 JYR196630:JYR196631 KIN196630:KIN196631 KSJ196630:KSJ196631 LCF196630:LCF196631 LMB196630:LMB196631 LVX196630:LVX196631 MFT196630:MFT196631 MPP196630:MPP196631 MZL196630:MZL196631 NJH196630:NJH196631 NTD196630:NTD196631 OCZ196630:OCZ196631 OMV196630:OMV196631 OWR196630:OWR196631 PGN196630:PGN196631 PQJ196630:PQJ196631 QAF196630:QAF196631 QKB196630:QKB196631 QTX196630:QTX196631 RDT196630:RDT196631 RNP196630:RNP196631 RXL196630:RXL196631 SHH196630:SHH196631 SRD196630:SRD196631 TAZ196630:TAZ196631 TKV196630:TKV196631 TUR196630:TUR196631 UEN196630:UEN196631 UOJ196630:UOJ196631 UYF196630:UYF196631 VIB196630:VIB196631 VRX196630:VRX196631 WBT196630:WBT196631 WLP196630:WLP196631 WVL196630:WVL196631 D262166:D262167 IZ262166:IZ262167 SV262166:SV262167 ACR262166:ACR262167 AMN262166:AMN262167 AWJ262166:AWJ262167 BGF262166:BGF262167 BQB262166:BQB262167 BZX262166:BZX262167 CJT262166:CJT262167 CTP262166:CTP262167 DDL262166:DDL262167 DNH262166:DNH262167 DXD262166:DXD262167 EGZ262166:EGZ262167 EQV262166:EQV262167 FAR262166:FAR262167 FKN262166:FKN262167 FUJ262166:FUJ262167 GEF262166:GEF262167 GOB262166:GOB262167 GXX262166:GXX262167 HHT262166:HHT262167 HRP262166:HRP262167 IBL262166:IBL262167 ILH262166:ILH262167 IVD262166:IVD262167 JEZ262166:JEZ262167 JOV262166:JOV262167 JYR262166:JYR262167 KIN262166:KIN262167 KSJ262166:KSJ262167 LCF262166:LCF262167 LMB262166:LMB262167 LVX262166:LVX262167 MFT262166:MFT262167 MPP262166:MPP262167 MZL262166:MZL262167 NJH262166:NJH262167 NTD262166:NTD262167 OCZ262166:OCZ262167 OMV262166:OMV262167 OWR262166:OWR262167 PGN262166:PGN262167 PQJ262166:PQJ262167 QAF262166:QAF262167 QKB262166:QKB262167 QTX262166:QTX262167 RDT262166:RDT262167 RNP262166:RNP262167 RXL262166:RXL262167 SHH262166:SHH262167 SRD262166:SRD262167 TAZ262166:TAZ262167 TKV262166:TKV262167 TUR262166:TUR262167 UEN262166:UEN262167 UOJ262166:UOJ262167 UYF262166:UYF262167 VIB262166:VIB262167 VRX262166:VRX262167 WBT262166:WBT262167 WLP262166:WLP262167 WVL262166:WVL262167 D327702:D327703 IZ327702:IZ327703 SV327702:SV327703 ACR327702:ACR327703 AMN327702:AMN327703 AWJ327702:AWJ327703 BGF327702:BGF327703 BQB327702:BQB327703 BZX327702:BZX327703 CJT327702:CJT327703 CTP327702:CTP327703 DDL327702:DDL327703 DNH327702:DNH327703 DXD327702:DXD327703 EGZ327702:EGZ327703 EQV327702:EQV327703 FAR327702:FAR327703 FKN327702:FKN327703 FUJ327702:FUJ327703 GEF327702:GEF327703 GOB327702:GOB327703 GXX327702:GXX327703 HHT327702:HHT327703 HRP327702:HRP327703 IBL327702:IBL327703 ILH327702:ILH327703 IVD327702:IVD327703 JEZ327702:JEZ327703 JOV327702:JOV327703 JYR327702:JYR327703 KIN327702:KIN327703 KSJ327702:KSJ327703 LCF327702:LCF327703 LMB327702:LMB327703 LVX327702:LVX327703 MFT327702:MFT327703 MPP327702:MPP327703 MZL327702:MZL327703 NJH327702:NJH327703 NTD327702:NTD327703 OCZ327702:OCZ327703 OMV327702:OMV327703 OWR327702:OWR327703 PGN327702:PGN327703 PQJ327702:PQJ327703 QAF327702:QAF327703 QKB327702:QKB327703 QTX327702:QTX327703 RDT327702:RDT327703 RNP327702:RNP327703 RXL327702:RXL327703 SHH327702:SHH327703 SRD327702:SRD327703 TAZ327702:TAZ327703 TKV327702:TKV327703 TUR327702:TUR327703 UEN327702:UEN327703 UOJ327702:UOJ327703 UYF327702:UYF327703 VIB327702:VIB327703 VRX327702:VRX327703 WBT327702:WBT327703 WLP327702:WLP327703 WVL327702:WVL327703 D393238:D393239 IZ393238:IZ393239 SV393238:SV393239 ACR393238:ACR393239 AMN393238:AMN393239 AWJ393238:AWJ393239 BGF393238:BGF393239 BQB393238:BQB393239 BZX393238:BZX393239 CJT393238:CJT393239 CTP393238:CTP393239 DDL393238:DDL393239 DNH393238:DNH393239 DXD393238:DXD393239 EGZ393238:EGZ393239 EQV393238:EQV393239 FAR393238:FAR393239 FKN393238:FKN393239 FUJ393238:FUJ393239 GEF393238:GEF393239 GOB393238:GOB393239 GXX393238:GXX393239 HHT393238:HHT393239 HRP393238:HRP393239 IBL393238:IBL393239 ILH393238:ILH393239 IVD393238:IVD393239 JEZ393238:JEZ393239 JOV393238:JOV393239 JYR393238:JYR393239 KIN393238:KIN393239 KSJ393238:KSJ393239 LCF393238:LCF393239 LMB393238:LMB393239 LVX393238:LVX393239 MFT393238:MFT393239 MPP393238:MPP393239 MZL393238:MZL393239 NJH393238:NJH393239 NTD393238:NTD393239 OCZ393238:OCZ393239 OMV393238:OMV393239 OWR393238:OWR393239 PGN393238:PGN393239 PQJ393238:PQJ393239 QAF393238:QAF393239 QKB393238:QKB393239 QTX393238:QTX393239 RDT393238:RDT393239 RNP393238:RNP393239 RXL393238:RXL393239 SHH393238:SHH393239 SRD393238:SRD393239 TAZ393238:TAZ393239 TKV393238:TKV393239 TUR393238:TUR393239 UEN393238:UEN393239 UOJ393238:UOJ393239 UYF393238:UYF393239 VIB393238:VIB393239 VRX393238:VRX393239 WBT393238:WBT393239 WLP393238:WLP393239 WVL393238:WVL393239 D458774:D458775 IZ458774:IZ458775 SV458774:SV458775 ACR458774:ACR458775 AMN458774:AMN458775 AWJ458774:AWJ458775 BGF458774:BGF458775 BQB458774:BQB458775 BZX458774:BZX458775 CJT458774:CJT458775 CTP458774:CTP458775 DDL458774:DDL458775 DNH458774:DNH458775 DXD458774:DXD458775 EGZ458774:EGZ458775 EQV458774:EQV458775 FAR458774:FAR458775 FKN458774:FKN458775 FUJ458774:FUJ458775 GEF458774:GEF458775 GOB458774:GOB458775 GXX458774:GXX458775 HHT458774:HHT458775 HRP458774:HRP458775 IBL458774:IBL458775 ILH458774:ILH458775 IVD458774:IVD458775 JEZ458774:JEZ458775 JOV458774:JOV458775 JYR458774:JYR458775 KIN458774:KIN458775 KSJ458774:KSJ458775 LCF458774:LCF458775 LMB458774:LMB458775 LVX458774:LVX458775 MFT458774:MFT458775 MPP458774:MPP458775 MZL458774:MZL458775 NJH458774:NJH458775 NTD458774:NTD458775 OCZ458774:OCZ458775 OMV458774:OMV458775 OWR458774:OWR458775 PGN458774:PGN458775 PQJ458774:PQJ458775 QAF458774:QAF458775 QKB458774:QKB458775 QTX458774:QTX458775 RDT458774:RDT458775 RNP458774:RNP458775 RXL458774:RXL458775 SHH458774:SHH458775 SRD458774:SRD458775 TAZ458774:TAZ458775 TKV458774:TKV458775 TUR458774:TUR458775 UEN458774:UEN458775 UOJ458774:UOJ458775 UYF458774:UYF458775 VIB458774:VIB458775 VRX458774:VRX458775 WBT458774:WBT458775 WLP458774:WLP458775 WVL458774:WVL458775 D524310:D524311 IZ524310:IZ524311 SV524310:SV524311 ACR524310:ACR524311 AMN524310:AMN524311 AWJ524310:AWJ524311 BGF524310:BGF524311 BQB524310:BQB524311 BZX524310:BZX524311 CJT524310:CJT524311 CTP524310:CTP524311 DDL524310:DDL524311 DNH524310:DNH524311 DXD524310:DXD524311 EGZ524310:EGZ524311 EQV524310:EQV524311 FAR524310:FAR524311 FKN524310:FKN524311 FUJ524310:FUJ524311 GEF524310:GEF524311 GOB524310:GOB524311 GXX524310:GXX524311 HHT524310:HHT524311 HRP524310:HRP524311 IBL524310:IBL524311 ILH524310:ILH524311 IVD524310:IVD524311 JEZ524310:JEZ524311 JOV524310:JOV524311 JYR524310:JYR524311 KIN524310:KIN524311 KSJ524310:KSJ524311 LCF524310:LCF524311 LMB524310:LMB524311 LVX524310:LVX524311 MFT524310:MFT524311 MPP524310:MPP524311 MZL524310:MZL524311 NJH524310:NJH524311 NTD524310:NTD524311 OCZ524310:OCZ524311 OMV524310:OMV524311 OWR524310:OWR524311 PGN524310:PGN524311 PQJ524310:PQJ524311 QAF524310:QAF524311 QKB524310:QKB524311 QTX524310:QTX524311 RDT524310:RDT524311 RNP524310:RNP524311 RXL524310:RXL524311 SHH524310:SHH524311 SRD524310:SRD524311 TAZ524310:TAZ524311 TKV524310:TKV524311 TUR524310:TUR524311 UEN524310:UEN524311 UOJ524310:UOJ524311 UYF524310:UYF524311 VIB524310:VIB524311 VRX524310:VRX524311 WBT524310:WBT524311 WLP524310:WLP524311 WVL524310:WVL524311 D589846:D589847 IZ589846:IZ589847 SV589846:SV589847 ACR589846:ACR589847 AMN589846:AMN589847 AWJ589846:AWJ589847 BGF589846:BGF589847 BQB589846:BQB589847 BZX589846:BZX589847 CJT589846:CJT589847 CTP589846:CTP589847 DDL589846:DDL589847 DNH589846:DNH589847 DXD589846:DXD589847 EGZ589846:EGZ589847 EQV589846:EQV589847 FAR589846:FAR589847 FKN589846:FKN589847 FUJ589846:FUJ589847 GEF589846:GEF589847 GOB589846:GOB589847 GXX589846:GXX589847 HHT589846:HHT589847 HRP589846:HRP589847 IBL589846:IBL589847 ILH589846:ILH589847 IVD589846:IVD589847 JEZ589846:JEZ589847 JOV589846:JOV589847 JYR589846:JYR589847 KIN589846:KIN589847 KSJ589846:KSJ589847 LCF589846:LCF589847 LMB589846:LMB589847 LVX589846:LVX589847 MFT589846:MFT589847 MPP589846:MPP589847 MZL589846:MZL589847 NJH589846:NJH589847 NTD589846:NTD589847 OCZ589846:OCZ589847 OMV589846:OMV589847 OWR589846:OWR589847 PGN589846:PGN589847 PQJ589846:PQJ589847 QAF589846:QAF589847 QKB589846:QKB589847 QTX589846:QTX589847 RDT589846:RDT589847 RNP589846:RNP589847 RXL589846:RXL589847 SHH589846:SHH589847 SRD589846:SRD589847 TAZ589846:TAZ589847 TKV589846:TKV589847 TUR589846:TUR589847 UEN589846:UEN589847 UOJ589846:UOJ589847 UYF589846:UYF589847 VIB589846:VIB589847 VRX589846:VRX589847 WBT589846:WBT589847 WLP589846:WLP589847 WVL589846:WVL589847 D655382:D655383 IZ655382:IZ655383 SV655382:SV655383 ACR655382:ACR655383 AMN655382:AMN655383 AWJ655382:AWJ655383 BGF655382:BGF655383 BQB655382:BQB655383 BZX655382:BZX655383 CJT655382:CJT655383 CTP655382:CTP655383 DDL655382:DDL655383 DNH655382:DNH655383 DXD655382:DXD655383 EGZ655382:EGZ655383 EQV655382:EQV655383 FAR655382:FAR655383 FKN655382:FKN655383 FUJ655382:FUJ655383 GEF655382:GEF655383 GOB655382:GOB655383 GXX655382:GXX655383 HHT655382:HHT655383 HRP655382:HRP655383 IBL655382:IBL655383 ILH655382:ILH655383 IVD655382:IVD655383 JEZ655382:JEZ655383 JOV655382:JOV655383 JYR655382:JYR655383 KIN655382:KIN655383 KSJ655382:KSJ655383 LCF655382:LCF655383 LMB655382:LMB655383 LVX655382:LVX655383 MFT655382:MFT655383 MPP655382:MPP655383 MZL655382:MZL655383 NJH655382:NJH655383 NTD655382:NTD655383 OCZ655382:OCZ655383 OMV655382:OMV655383 OWR655382:OWR655383 PGN655382:PGN655383 PQJ655382:PQJ655383 QAF655382:QAF655383 QKB655382:QKB655383 QTX655382:QTX655383 RDT655382:RDT655383 RNP655382:RNP655383 RXL655382:RXL655383 SHH655382:SHH655383 SRD655382:SRD655383 TAZ655382:TAZ655383 TKV655382:TKV655383 TUR655382:TUR655383 UEN655382:UEN655383 UOJ655382:UOJ655383 UYF655382:UYF655383 VIB655382:VIB655383 VRX655382:VRX655383 WBT655382:WBT655383 WLP655382:WLP655383 WVL655382:WVL655383 D720918:D720919 IZ720918:IZ720919 SV720918:SV720919 ACR720918:ACR720919 AMN720918:AMN720919 AWJ720918:AWJ720919 BGF720918:BGF720919 BQB720918:BQB720919 BZX720918:BZX720919 CJT720918:CJT720919 CTP720918:CTP720919 DDL720918:DDL720919 DNH720918:DNH720919 DXD720918:DXD720919 EGZ720918:EGZ720919 EQV720918:EQV720919 FAR720918:FAR720919 FKN720918:FKN720919 FUJ720918:FUJ720919 GEF720918:GEF720919 GOB720918:GOB720919 GXX720918:GXX720919 HHT720918:HHT720919 HRP720918:HRP720919 IBL720918:IBL720919 ILH720918:ILH720919 IVD720918:IVD720919 JEZ720918:JEZ720919 JOV720918:JOV720919 JYR720918:JYR720919 KIN720918:KIN720919 KSJ720918:KSJ720919 LCF720918:LCF720919 LMB720918:LMB720919 LVX720918:LVX720919 MFT720918:MFT720919 MPP720918:MPP720919 MZL720918:MZL720919 NJH720918:NJH720919 NTD720918:NTD720919 OCZ720918:OCZ720919 OMV720918:OMV720919 OWR720918:OWR720919 PGN720918:PGN720919 PQJ720918:PQJ720919 QAF720918:QAF720919 QKB720918:QKB720919 QTX720918:QTX720919 RDT720918:RDT720919 RNP720918:RNP720919 RXL720918:RXL720919 SHH720918:SHH720919 SRD720918:SRD720919 TAZ720918:TAZ720919 TKV720918:TKV720919 TUR720918:TUR720919 UEN720918:UEN720919 UOJ720918:UOJ720919 UYF720918:UYF720919 VIB720918:VIB720919 VRX720918:VRX720919 WBT720918:WBT720919 WLP720918:WLP720919 WVL720918:WVL720919 D786454:D786455 IZ786454:IZ786455 SV786454:SV786455 ACR786454:ACR786455 AMN786454:AMN786455 AWJ786454:AWJ786455 BGF786454:BGF786455 BQB786454:BQB786455 BZX786454:BZX786455 CJT786454:CJT786455 CTP786454:CTP786455 DDL786454:DDL786455 DNH786454:DNH786455 DXD786454:DXD786455 EGZ786454:EGZ786455 EQV786454:EQV786455 FAR786454:FAR786455 FKN786454:FKN786455 FUJ786454:FUJ786455 GEF786454:GEF786455 GOB786454:GOB786455 GXX786454:GXX786455 HHT786454:HHT786455 HRP786454:HRP786455 IBL786454:IBL786455 ILH786454:ILH786455 IVD786454:IVD786455 JEZ786454:JEZ786455 JOV786454:JOV786455 JYR786454:JYR786455 KIN786454:KIN786455 KSJ786454:KSJ786455 LCF786454:LCF786455 LMB786454:LMB786455 LVX786454:LVX786455 MFT786454:MFT786455 MPP786454:MPP786455 MZL786454:MZL786455 NJH786454:NJH786455 NTD786454:NTD786455 OCZ786454:OCZ786455 OMV786454:OMV786455 OWR786454:OWR786455 PGN786454:PGN786455 PQJ786454:PQJ786455 QAF786454:QAF786455 QKB786454:QKB786455 QTX786454:QTX786455 RDT786454:RDT786455 RNP786454:RNP786455 RXL786454:RXL786455 SHH786454:SHH786455 SRD786454:SRD786455 TAZ786454:TAZ786455 TKV786454:TKV786455 TUR786454:TUR786455 UEN786454:UEN786455 UOJ786454:UOJ786455 UYF786454:UYF786455 VIB786454:VIB786455 VRX786454:VRX786455 WBT786454:WBT786455 WLP786454:WLP786455 WVL786454:WVL786455 D851990:D851991 IZ851990:IZ851991 SV851990:SV851991 ACR851990:ACR851991 AMN851990:AMN851991 AWJ851990:AWJ851991 BGF851990:BGF851991 BQB851990:BQB851991 BZX851990:BZX851991 CJT851990:CJT851991 CTP851990:CTP851991 DDL851990:DDL851991 DNH851990:DNH851991 DXD851990:DXD851991 EGZ851990:EGZ851991 EQV851990:EQV851991 FAR851990:FAR851991 FKN851990:FKN851991 FUJ851990:FUJ851991 GEF851990:GEF851991 GOB851990:GOB851991 GXX851990:GXX851991 HHT851990:HHT851991 HRP851990:HRP851991 IBL851990:IBL851991 ILH851990:ILH851991 IVD851990:IVD851991 JEZ851990:JEZ851991 JOV851990:JOV851991 JYR851990:JYR851991 KIN851990:KIN851991 KSJ851990:KSJ851991 LCF851990:LCF851991 LMB851990:LMB851991 LVX851990:LVX851991 MFT851990:MFT851991 MPP851990:MPP851991 MZL851990:MZL851991 NJH851990:NJH851991 NTD851990:NTD851991 OCZ851990:OCZ851991 OMV851990:OMV851991 OWR851990:OWR851991 PGN851990:PGN851991 PQJ851990:PQJ851991 QAF851990:QAF851991 QKB851990:QKB851991 QTX851990:QTX851991 RDT851990:RDT851991 RNP851990:RNP851991 RXL851990:RXL851991 SHH851990:SHH851991 SRD851990:SRD851991 TAZ851990:TAZ851991 TKV851990:TKV851991 TUR851990:TUR851991 UEN851990:UEN851991 UOJ851990:UOJ851991 UYF851990:UYF851991 VIB851990:VIB851991 VRX851990:VRX851991 WBT851990:WBT851991 WLP851990:WLP851991 WVL851990:WVL851991 D917526:D917527 IZ917526:IZ917527 SV917526:SV917527 ACR917526:ACR917527 AMN917526:AMN917527 AWJ917526:AWJ917527 BGF917526:BGF917527 BQB917526:BQB917527 BZX917526:BZX917527 CJT917526:CJT917527 CTP917526:CTP917527 DDL917526:DDL917527 DNH917526:DNH917527 DXD917526:DXD917527 EGZ917526:EGZ917527 EQV917526:EQV917527 FAR917526:FAR917527 FKN917526:FKN917527 FUJ917526:FUJ917527 GEF917526:GEF917527 GOB917526:GOB917527 GXX917526:GXX917527 HHT917526:HHT917527 HRP917526:HRP917527 IBL917526:IBL917527 ILH917526:ILH917527 IVD917526:IVD917527 JEZ917526:JEZ917527 JOV917526:JOV917527 JYR917526:JYR917527 KIN917526:KIN917527 KSJ917526:KSJ917527 LCF917526:LCF917527 LMB917526:LMB917527 LVX917526:LVX917527 MFT917526:MFT917527 MPP917526:MPP917527 MZL917526:MZL917527 NJH917526:NJH917527 NTD917526:NTD917527 OCZ917526:OCZ917527 OMV917526:OMV917527 OWR917526:OWR917527 PGN917526:PGN917527 PQJ917526:PQJ917527 QAF917526:QAF917527 QKB917526:QKB917527 QTX917526:QTX917527 RDT917526:RDT917527 RNP917526:RNP917527 RXL917526:RXL917527 SHH917526:SHH917527 SRD917526:SRD917527 TAZ917526:TAZ917527 TKV917526:TKV917527 TUR917526:TUR917527 UEN917526:UEN917527 UOJ917526:UOJ917527 UYF917526:UYF917527 VIB917526:VIB917527 VRX917526:VRX917527 WBT917526:WBT917527 WLP917526:WLP917527 WVL917526:WVL917527 D983062:D983063 IZ983062:IZ983063 SV983062:SV983063 ACR983062:ACR983063 AMN983062:AMN983063 AWJ983062:AWJ983063 BGF983062:BGF983063 BQB983062:BQB983063 BZX983062:BZX983063 CJT983062:CJT983063 CTP983062:CTP983063 DDL983062:DDL983063 DNH983062:DNH983063 DXD983062:DXD983063 EGZ983062:EGZ983063 EQV983062:EQV983063 FAR983062:FAR983063 FKN983062:FKN983063 FUJ983062:FUJ983063 GEF983062:GEF983063 GOB983062:GOB983063 GXX983062:GXX983063 HHT983062:HHT983063 HRP983062:HRP983063 IBL983062:IBL983063 ILH983062:ILH983063 IVD983062:IVD983063 JEZ983062:JEZ983063 JOV983062:JOV983063 JYR983062:JYR983063 KIN983062:KIN983063 KSJ983062:KSJ983063 LCF983062:LCF983063 LMB983062:LMB983063 LVX983062:LVX983063 MFT983062:MFT983063 MPP983062:MPP983063 MZL983062:MZL983063 NJH983062:NJH983063 NTD983062:NTD983063 OCZ983062:OCZ983063 OMV983062:OMV983063 OWR983062:OWR983063 PGN983062:PGN983063 PQJ983062:PQJ983063 QAF983062:QAF983063 QKB983062:QKB983063 QTX983062:QTX983063 RDT983062:RDT983063 RNP983062:RNP983063 RXL983062:RXL983063 SHH983062:SHH983063 SRD983062:SRD983063 TAZ983062:TAZ983063 TKV983062:TKV983063 TUR983062:TUR983063 UEN983062:UEN983063 UOJ983062:UOJ983063 UYF983062:UYF983063 VIB983062:VIB983063 VRX983062:VRX983063 WBT983062:WBT983063 WLP983062:WLP983063 WVL983062:WVL983063 G28:G29 JC28:JC29 SY28:SY29 ACU28:ACU29 AMQ28:AMQ29 AWM28:AWM29 BGI28:BGI29 BQE28:BQE29 CAA28:CAA29 CJW28:CJW29 CTS28:CTS29 DDO28:DDO29 DNK28:DNK29 DXG28:DXG29 EHC28:EHC29 EQY28:EQY29 FAU28:FAU29 FKQ28:FKQ29 FUM28:FUM29 GEI28:GEI29 GOE28:GOE29 GYA28:GYA29 HHW28:HHW29 HRS28:HRS29 IBO28:IBO29 ILK28:ILK29 IVG28:IVG29 JFC28:JFC29 JOY28:JOY29 JYU28:JYU29 KIQ28:KIQ29 KSM28:KSM29 LCI28:LCI29 LME28:LME29 LWA28:LWA29 MFW28:MFW29 MPS28:MPS29 MZO28:MZO29 NJK28:NJK29 NTG28:NTG29 ODC28:ODC29 OMY28:OMY29 OWU28:OWU29 PGQ28:PGQ29 PQM28:PQM29 QAI28:QAI29 QKE28:QKE29 QUA28:QUA29 RDW28:RDW29 RNS28:RNS29 RXO28:RXO29 SHK28:SHK29 SRG28:SRG29 TBC28:TBC29 TKY28:TKY29 TUU28:TUU29 UEQ28:UEQ29 UOM28:UOM29 UYI28:UYI29 VIE28:VIE29 VSA28:VSA29 WBW28:WBW29 WLS28:WLS29 WVO28:WVO29 G65564:G65565 JC65564:JC65565 SY65564:SY65565 ACU65564:ACU65565 AMQ65564:AMQ65565 AWM65564:AWM65565 BGI65564:BGI65565 BQE65564:BQE65565 CAA65564:CAA65565 CJW65564:CJW65565 CTS65564:CTS65565 DDO65564:DDO65565 DNK65564:DNK65565 DXG65564:DXG65565 EHC65564:EHC65565 EQY65564:EQY65565 FAU65564:FAU65565 FKQ65564:FKQ65565 FUM65564:FUM65565 GEI65564:GEI65565 GOE65564:GOE65565 GYA65564:GYA65565 HHW65564:HHW65565 HRS65564:HRS65565 IBO65564:IBO65565 ILK65564:ILK65565 IVG65564:IVG65565 JFC65564:JFC65565 JOY65564:JOY65565 JYU65564:JYU65565 KIQ65564:KIQ65565 KSM65564:KSM65565 LCI65564:LCI65565 LME65564:LME65565 LWA65564:LWA65565 MFW65564:MFW65565 MPS65564:MPS65565 MZO65564:MZO65565 NJK65564:NJK65565 NTG65564:NTG65565 ODC65564:ODC65565 OMY65564:OMY65565 OWU65564:OWU65565 PGQ65564:PGQ65565 PQM65564:PQM65565 QAI65564:QAI65565 QKE65564:QKE65565 QUA65564:QUA65565 RDW65564:RDW65565 RNS65564:RNS65565 RXO65564:RXO65565 SHK65564:SHK65565 SRG65564:SRG65565 TBC65564:TBC65565 TKY65564:TKY65565 TUU65564:TUU65565 UEQ65564:UEQ65565 UOM65564:UOM65565 UYI65564:UYI65565 VIE65564:VIE65565 VSA65564:VSA65565 WBW65564:WBW65565 WLS65564:WLS65565 WVO65564:WVO65565 G131100:G131101 JC131100:JC131101 SY131100:SY131101 ACU131100:ACU131101 AMQ131100:AMQ131101 AWM131100:AWM131101 BGI131100:BGI131101 BQE131100:BQE131101 CAA131100:CAA131101 CJW131100:CJW131101 CTS131100:CTS131101 DDO131100:DDO131101 DNK131100:DNK131101 DXG131100:DXG131101 EHC131100:EHC131101 EQY131100:EQY131101 FAU131100:FAU131101 FKQ131100:FKQ131101 FUM131100:FUM131101 GEI131100:GEI131101 GOE131100:GOE131101 GYA131100:GYA131101 HHW131100:HHW131101 HRS131100:HRS131101 IBO131100:IBO131101 ILK131100:ILK131101 IVG131100:IVG131101 JFC131100:JFC131101 JOY131100:JOY131101 JYU131100:JYU131101 KIQ131100:KIQ131101 KSM131100:KSM131101 LCI131100:LCI131101 LME131100:LME131101 LWA131100:LWA131101 MFW131100:MFW131101 MPS131100:MPS131101 MZO131100:MZO131101 NJK131100:NJK131101 NTG131100:NTG131101 ODC131100:ODC131101 OMY131100:OMY131101 OWU131100:OWU131101 PGQ131100:PGQ131101 PQM131100:PQM131101 QAI131100:QAI131101 QKE131100:QKE131101 QUA131100:QUA131101 RDW131100:RDW131101 RNS131100:RNS131101 RXO131100:RXO131101 SHK131100:SHK131101 SRG131100:SRG131101 TBC131100:TBC131101 TKY131100:TKY131101 TUU131100:TUU131101 UEQ131100:UEQ131101 UOM131100:UOM131101 UYI131100:UYI131101 VIE131100:VIE131101 VSA131100:VSA131101 WBW131100:WBW131101 WLS131100:WLS131101 WVO131100:WVO131101 G196636:G196637 JC196636:JC196637 SY196636:SY196637 ACU196636:ACU196637 AMQ196636:AMQ196637 AWM196636:AWM196637 BGI196636:BGI196637 BQE196636:BQE196637 CAA196636:CAA196637 CJW196636:CJW196637 CTS196636:CTS196637 DDO196636:DDO196637 DNK196636:DNK196637 DXG196636:DXG196637 EHC196636:EHC196637 EQY196636:EQY196637 FAU196636:FAU196637 FKQ196636:FKQ196637 FUM196636:FUM196637 GEI196636:GEI196637 GOE196636:GOE196637 GYA196636:GYA196637 HHW196636:HHW196637 HRS196636:HRS196637 IBO196636:IBO196637 ILK196636:ILK196637 IVG196636:IVG196637 JFC196636:JFC196637 JOY196636:JOY196637 JYU196636:JYU196637 KIQ196636:KIQ196637 KSM196636:KSM196637 LCI196636:LCI196637 LME196636:LME196637 LWA196636:LWA196637 MFW196636:MFW196637 MPS196636:MPS196637 MZO196636:MZO196637 NJK196636:NJK196637 NTG196636:NTG196637 ODC196636:ODC196637 OMY196636:OMY196637 OWU196636:OWU196637 PGQ196636:PGQ196637 PQM196636:PQM196637 QAI196636:QAI196637 QKE196636:QKE196637 QUA196636:QUA196637 RDW196636:RDW196637 RNS196636:RNS196637 RXO196636:RXO196637 SHK196636:SHK196637 SRG196636:SRG196637 TBC196636:TBC196637 TKY196636:TKY196637 TUU196636:TUU196637 UEQ196636:UEQ196637 UOM196636:UOM196637 UYI196636:UYI196637 VIE196636:VIE196637 VSA196636:VSA196637 WBW196636:WBW196637 WLS196636:WLS196637 WVO196636:WVO196637 G262172:G262173 JC262172:JC262173 SY262172:SY262173 ACU262172:ACU262173 AMQ262172:AMQ262173 AWM262172:AWM262173 BGI262172:BGI262173 BQE262172:BQE262173 CAA262172:CAA262173 CJW262172:CJW262173 CTS262172:CTS262173 DDO262172:DDO262173 DNK262172:DNK262173 DXG262172:DXG262173 EHC262172:EHC262173 EQY262172:EQY262173 FAU262172:FAU262173 FKQ262172:FKQ262173 FUM262172:FUM262173 GEI262172:GEI262173 GOE262172:GOE262173 GYA262172:GYA262173 HHW262172:HHW262173 HRS262172:HRS262173 IBO262172:IBO262173 ILK262172:ILK262173 IVG262172:IVG262173 JFC262172:JFC262173 JOY262172:JOY262173 JYU262172:JYU262173 KIQ262172:KIQ262173 KSM262172:KSM262173 LCI262172:LCI262173 LME262172:LME262173 LWA262172:LWA262173 MFW262172:MFW262173 MPS262172:MPS262173 MZO262172:MZO262173 NJK262172:NJK262173 NTG262172:NTG262173 ODC262172:ODC262173 OMY262172:OMY262173 OWU262172:OWU262173 PGQ262172:PGQ262173 PQM262172:PQM262173 QAI262172:QAI262173 QKE262172:QKE262173 QUA262172:QUA262173 RDW262172:RDW262173 RNS262172:RNS262173 RXO262172:RXO262173 SHK262172:SHK262173 SRG262172:SRG262173 TBC262172:TBC262173 TKY262172:TKY262173 TUU262172:TUU262173 UEQ262172:UEQ262173 UOM262172:UOM262173 UYI262172:UYI262173 VIE262172:VIE262173 VSA262172:VSA262173 WBW262172:WBW262173 WLS262172:WLS262173 WVO262172:WVO262173 G327708:G327709 JC327708:JC327709 SY327708:SY327709 ACU327708:ACU327709 AMQ327708:AMQ327709 AWM327708:AWM327709 BGI327708:BGI327709 BQE327708:BQE327709 CAA327708:CAA327709 CJW327708:CJW327709 CTS327708:CTS327709 DDO327708:DDO327709 DNK327708:DNK327709 DXG327708:DXG327709 EHC327708:EHC327709 EQY327708:EQY327709 FAU327708:FAU327709 FKQ327708:FKQ327709 FUM327708:FUM327709 GEI327708:GEI327709 GOE327708:GOE327709 GYA327708:GYA327709 HHW327708:HHW327709 HRS327708:HRS327709 IBO327708:IBO327709 ILK327708:ILK327709 IVG327708:IVG327709 JFC327708:JFC327709 JOY327708:JOY327709 JYU327708:JYU327709 KIQ327708:KIQ327709 KSM327708:KSM327709 LCI327708:LCI327709 LME327708:LME327709 LWA327708:LWA327709 MFW327708:MFW327709 MPS327708:MPS327709 MZO327708:MZO327709 NJK327708:NJK327709 NTG327708:NTG327709 ODC327708:ODC327709 OMY327708:OMY327709 OWU327708:OWU327709 PGQ327708:PGQ327709 PQM327708:PQM327709 QAI327708:QAI327709 QKE327708:QKE327709 QUA327708:QUA327709 RDW327708:RDW327709 RNS327708:RNS327709 RXO327708:RXO327709 SHK327708:SHK327709 SRG327708:SRG327709 TBC327708:TBC327709 TKY327708:TKY327709 TUU327708:TUU327709 UEQ327708:UEQ327709 UOM327708:UOM327709 UYI327708:UYI327709 VIE327708:VIE327709 VSA327708:VSA327709 WBW327708:WBW327709 WLS327708:WLS327709 WVO327708:WVO327709 G393244:G393245 JC393244:JC393245 SY393244:SY393245 ACU393244:ACU393245 AMQ393244:AMQ393245 AWM393244:AWM393245 BGI393244:BGI393245 BQE393244:BQE393245 CAA393244:CAA393245 CJW393244:CJW393245 CTS393244:CTS393245 DDO393244:DDO393245 DNK393244:DNK393245 DXG393244:DXG393245 EHC393244:EHC393245 EQY393244:EQY393245 FAU393244:FAU393245 FKQ393244:FKQ393245 FUM393244:FUM393245 GEI393244:GEI393245 GOE393244:GOE393245 GYA393244:GYA393245 HHW393244:HHW393245 HRS393244:HRS393245 IBO393244:IBO393245 ILK393244:ILK393245 IVG393244:IVG393245 JFC393244:JFC393245 JOY393244:JOY393245 JYU393244:JYU393245 KIQ393244:KIQ393245 KSM393244:KSM393245 LCI393244:LCI393245 LME393244:LME393245 LWA393244:LWA393245 MFW393244:MFW393245 MPS393244:MPS393245 MZO393244:MZO393245 NJK393244:NJK393245 NTG393244:NTG393245 ODC393244:ODC393245 OMY393244:OMY393245 OWU393244:OWU393245 PGQ393244:PGQ393245 PQM393244:PQM393245 QAI393244:QAI393245 QKE393244:QKE393245 QUA393244:QUA393245 RDW393244:RDW393245 RNS393244:RNS393245 RXO393244:RXO393245 SHK393244:SHK393245 SRG393244:SRG393245 TBC393244:TBC393245 TKY393244:TKY393245 TUU393244:TUU393245 UEQ393244:UEQ393245 UOM393244:UOM393245 UYI393244:UYI393245 VIE393244:VIE393245 VSA393244:VSA393245 WBW393244:WBW393245 WLS393244:WLS393245 WVO393244:WVO393245 G458780:G458781 JC458780:JC458781 SY458780:SY458781 ACU458780:ACU458781 AMQ458780:AMQ458781 AWM458780:AWM458781 BGI458780:BGI458781 BQE458780:BQE458781 CAA458780:CAA458781 CJW458780:CJW458781 CTS458780:CTS458781 DDO458780:DDO458781 DNK458780:DNK458781 DXG458780:DXG458781 EHC458780:EHC458781 EQY458780:EQY458781 FAU458780:FAU458781 FKQ458780:FKQ458781 FUM458780:FUM458781 GEI458780:GEI458781 GOE458780:GOE458781 GYA458780:GYA458781 HHW458780:HHW458781 HRS458780:HRS458781 IBO458780:IBO458781 ILK458780:ILK458781 IVG458780:IVG458781 JFC458780:JFC458781 JOY458780:JOY458781 JYU458780:JYU458781 KIQ458780:KIQ458781 KSM458780:KSM458781 LCI458780:LCI458781 LME458780:LME458781 LWA458780:LWA458781 MFW458780:MFW458781 MPS458780:MPS458781 MZO458780:MZO458781 NJK458780:NJK458781 NTG458780:NTG458781 ODC458780:ODC458781 OMY458780:OMY458781 OWU458780:OWU458781 PGQ458780:PGQ458781 PQM458780:PQM458781 QAI458780:QAI458781 QKE458780:QKE458781 QUA458780:QUA458781 RDW458780:RDW458781 RNS458780:RNS458781 RXO458780:RXO458781 SHK458780:SHK458781 SRG458780:SRG458781 TBC458780:TBC458781 TKY458780:TKY458781 TUU458780:TUU458781 UEQ458780:UEQ458781 UOM458780:UOM458781 UYI458780:UYI458781 VIE458780:VIE458781 VSA458780:VSA458781 WBW458780:WBW458781 WLS458780:WLS458781 WVO458780:WVO458781 G524316:G524317 JC524316:JC524317 SY524316:SY524317 ACU524316:ACU524317 AMQ524316:AMQ524317 AWM524316:AWM524317 BGI524316:BGI524317 BQE524316:BQE524317 CAA524316:CAA524317 CJW524316:CJW524317 CTS524316:CTS524317 DDO524316:DDO524317 DNK524316:DNK524317 DXG524316:DXG524317 EHC524316:EHC524317 EQY524316:EQY524317 FAU524316:FAU524317 FKQ524316:FKQ524317 FUM524316:FUM524317 GEI524316:GEI524317 GOE524316:GOE524317 GYA524316:GYA524317 HHW524316:HHW524317 HRS524316:HRS524317 IBO524316:IBO524317 ILK524316:ILK524317 IVG524316:IVG524317 JFC524316:JFC524317 JOY524316:JOY524317 JYU524316:JYU524317 KIQ524316:KIQ524317 KSM524316:KSM524317 LCI524316:LCI524317 LME524316:LME524317 LWA524316:LWA524317 MFW524316:MFW524317 MPS524316:MPS524317 MZO524316:MZO524317 NJK524316:NJK524317 NTG524316:NTG524317 ODC524316:ODC524317 OMY524316:OMY524317 OWU524316:OWU524317 PGQ524316:PGQ524317 PQM524316:PQM524317 QAI524316:QAI524317 QKE524316:QKE524317 QUA524316:QUA524317 RDW524316:RDW524317 RNS524316:RNS524317 RXO524316:RXO524317 SHK524316:SHK524317 SRG524316:SRG524317 TBC524316:TBC524317 TKY524316:TKY524317 TUU524316:TUU524317 UEQ524316:UEQ524317 UOM524316:UOM524317 UYI524316:UYI524317 VIE524316:VIE524317 VSA524316:VSA524317 WBW524316:WBW524317 WLS524316:WLS524317 WVO524316:WVO524317 G589852:G589853 JC589852:JC589853 SY589852:SY589853 ACU589852:ACU589853 AMQ589852:AMQ589853 AWM589852:AWM589853 BGI589852:BGI589853 BQE589852:BQE589853 CAA589852:CAA589853 CJW589852:CJW589853 CTS589852:CTS589853 DDO589852:DDO589853 DNK589852:DNK589853 DXG589852:DXG589853 EHC589852:EHC589853 EQY589852:EQY589853 FAU589852:FAU589853 FKQ589852:FKQ589853 FUM589852:FUM589853 GEI589852:GEI589853 GOE589852:GOE589853 GYA589852:GYA589853 HHW589852:HHW589853 HRS589852:HRS589853 IBO589852:IBO589853 ILK589852:ILK589853 IVG589852:IVG589853 JFC589852:JFC589853 JOY589852:JOY589853 JYU589852:JYU589853 KIQ589852:KIQ589853 KSM589852:KSM589853 LCI589852:LCI589853 LME589852:LME589853 LWA589852:LWA589853 MFW589852:MFW589853 MPS589852:MPS589853 MZO589852:MZO589853 NJK589852:NJK589853 NTG589852:NTG589853 ODC589852:ODC589853 OMY589852:OMY589853 OWU589852:OWU589853 PGQ589852:PGQ589853 PQM589852:PQM589853 QAI589852:QAI589853 QKE589852:QKE589853 QUA589852:QUA589853 RDW589852:RDW589853 RNS589852:RNS589853 RXO589852:RXO589853 SHK589852:SHK589853 SRG589852:SRG589853 TBC589852:TBC589853 TKY589852:TKY589853 TUU589852:TUU589853 UEQ589852:UEQ589853 UOM589852:UOM589853 UYI589852:UYI589853 VIE589852:VIE589853 VSA589852:VSA589853 WBW589852:WBW589853 WLS589852:WLS589853 WVO589852:WVO589853 G655388:G655389 JC655388:JC655389 SY655388:SY655389 ACU655388:ACU655389 AMQ655388:AMQ655389 AWM655388:AWM655389 BGI655388:BGI655389 BQE655388:BQE655389 CAA655388:CAA655389 CJW655388:CJW655389 CTS655388:CTS655389 DDO655388:DDO655389 DNK655388:DNK655389 DXG655388:DXG655389 EHC655388:EHC655389 EQY655388:EQY655389 FAU655388:FAU655389 FKQ655388:FKQ655389 FUM655388:FUM655389 GEI655388:GEI655389 GOE655388:GOE655389 GYA655388:GYA655389 HHW655388:HHW655389 HRS655388:HRS655389 IBO655388:IBO655389 ILK655388:ILK655389 IVG655388:IVG655389 JFC655388:JFC655389 JOY655388:JOY655389 JYU655388:JYU655389 KIQ655388:KIQ655389 KSM655388:KSM655389 LCI655388:LCI655389 LME655388:LME655389 LWA655388:LWA655389 MFW655388:MFW655389 MPS655388:MPS655389 MZO655388:MZO655389 NJK655388:NJK655389 NTG655388:NTG655389 ODC655388:ODC655389 OMY655388:OMY655389 OWU655388:OWU655389 PGQ655388:PGQ655389 PQM655388:PQM655389 QAI655388:QAI655389 QKE655388:QKE655389 QUA655388:QUA655389 RDW655388:RDW655389 RNS655388:RNS655389 RXO655388:RXO655389 SHK655388:SHK655389 SRG655388:SRG655389 TBC655388:TBC655389 TKY655388:TKY655389 TUU655388:TUU655389 UEQ655388:UEQ655389 UOM655388:UOM655389 UYI655388:UYI655389 VIE655388:VIE655389 VSA655388:VSA655389 WBW655388:WBW655389 WLS655388:WLS655389 WVO655388:WVO655389 G720924:G720925 JC720924:JC720925 SY720924:SY720925 ACU720924:ACU720925 AMQ720924:AMQ720925 AWM720924:AWM720925 BGI720924:BGI720925 BQE720924:BQE720925 CAA720924:CAA720925 CJW720924:CJW720925 CTS720924:CTS720925 DDO720924:DDO720925 DNK720924:DNK720925 DXG720924:DXG720925 EHC720924:EHC720925 EQY720924:EQY720925 FAU720924:FAU720925 FKQ720924:FKQ720925 FUM720924:FUM720925 GEI720924:GEI720925 GOE720924:GOE720925 GYA720924:GYA720925 HHW720924:HHW720925 HRS720924:HRS720925 IBO720924:IBO720925 ILK720924:ILK720925 IVG720924:IVG720925 JFC720924:JFC720925 JOY720924:JOY720925 JYU720924:JYU720925 KIQ720924:KIQ720925 KSM720924:KSM720925 LCI720924:LCI720925 LME720924:LME720925 LWA720924:LWA720925 MFW720924:MFW720925 MPS720924:MPS720925 MZO720924:MZO720925 NJK720924:NJK720925 NTG720924:NTG720925 ODC720924:ODC720925 OMY720924:OMY720925 OWU720924:OWU720925 PGQ720924:PGQ720925 PQM720924:PQM720925 QAI720924:QAI720925 QKE720924:QKE720925 QUA720924:QUA720925 RDW720924:RDW720925 RNS720924:RNS720925 RXO720924:RXO720925 SHK720924:SHK720925 SRG720924:SRG720925 TBC720924:TBC720925 TKY720924:TKY720925 TUU720924:TUU720925 UEQ720924:UEQ720925 UOM720924:UOM720925 UYI720924:UYI720925 VIE720924:VIE720925 VSA720924:VSA720925 WBW720924:WBW720925 WLS720924:WLS720925 WVO720924:WVO720925 G786460:G786461 JC786460:JC786461 SY786460:SY786461 ACU786460:ACU786461 AMQ786460:AMQ786461 AWM786460:AWM786461 BGI786460:BGI786461 BQE786460:BQE786461 CAA786460:CAA786461 CJW786460:CJW786461 CTS786460:CTS786461 DDO786460:DDO786461 DNK786460:DNK786461 DXG786460:DXG786461 EHC786460:EHC786461 EQY786460:EQY786461 FAU786460:FAU786461 FKQ786460:FKQ786461 FUM786460:FUM786461 GEI786460:GEI786461 GOE786460:GOE786461 GYA786460:GYA786461 HHW786460:HHW786461 HRS786460:HRS786461 IBO786460:IBO786461 ILK786460:ILK786461 IVG786460:IVG786461 JFC786460:JFC786461 JOY786460:JOY786461 JYU786460:JYU786461 KIQ786460:KIQ786461 KSM786460:KSM786461 LCI786460:LCI786461 LME786460:LME786461 LWA786460:LWA786461 MFW786460:MFW786461 MPS786460:MPS786461 MZO786460:MZO786461 NJK786460:NJK786461 NTG786460:NTG786461 ODC786460:ODC786461 OMY786460:OMY786461 OWU786460:OWU786461 PGQ786460:PGQ786461 PQM786460:PQM786461 QAI786460:QAI786461 QKE786460:QKE786461 QUA786460:QUA786461 RDW786460:RDW786461 RNS786460:RNS786461 RXO786460:RXO786461 SHK786460:SHK786461 SRG786460:SRG786461 TBC786460:TBC786461 TKY786460:TKY786461 TUU786460:TUU786461 UEQ786460:UEQ786461 UOM786460:UOM786461 UYI786460:UYI786461 VIE786460:VIE786461 VSA786460:VSA786461 WBW786460:WBW786461 WLS786460:WLS786461 WVO786460:WVO786461 G851996:G851997 JC851996:JC851997 SY851996:SY851997 ACU851996:ACU851997 AMQ851996:AMQ851997 AWM851996:AWM851997 BGI851996:BGI851997 BQE851996:BQE851997 CAA851996:CAA851997 CJW851996:CJW851997 CTS851996:CTS851997 DDO851996:DDO851997 DNK851996:DNK851997 DXG851996:DXG851997 EHC851996:EHC851997 EQY851996:EQY851997 FAU851996:FAU851997 FKQ851996:FKQ851997 FUM851996:FUM851997 GEI851996:GEI851997 GOE851996:GOE851997 GYA851996:GYA851997 HHW851996:HHW851997 HRS851996:HRS851997 IBO851996:IBO851997 ILK851996:ILK851997 IVG851996:IVG851997 JFC851996:JFC851997 JOY851996:JOY851997 JYU851996:JYU851997 KIQ851996:KIQ851997 KSM851996:KSM851997 LCI851996:LCI851997 LME851996:LME851997 LWA851996:LWA851997 MFW851996:MFW851997 MPS851996:MPS851997 MZO851996:MZO851997 NJK851996:NJK851997 NTG851996:NTG851997 ODC851996:ODC851997 OMY851996:OMY851997 OWU851996:OWU851997 PGQ851996:PGQ851997 PQM851996:PQM851997 QAI851996:QAI851997 QKE851996:QKE851997 QUA851996:QUA851997 RDW851996:RDW851997 RNS851996:RNS851997 RXO851996:RXO851997 SHK851996:SHK851997 SRG851996:SRG851997 TBC851996:TBC851997 TKY851996:TKY851997 TUU851996:TUU851997 UEQ851996:UEQ851997 UOM851996:UOM851997 UYI851996:UYI851997 VIE851996:VIE851997 VSA851996:VSA851997 WBW851996:WBW851997 WLS851996:WLS851997 WVO851996:WVO851997 G917532:G917533 JC917532:JC917533 SY917532:SY917533 ACU917532:ACU917533 AMQ917532:AMQ917533 AWM917532:AWM917533 BGI917532:BGI917533 BQE917532:BQE917533 CAA917532:CAA917533 CJW917532:CJW917533 CTS917532:CTS917533 DDO917532:DDO917533 DNK917532:DNK917533 DXG917532:DXG917533 EHC917532:EHC917533 EQY917532:EQY917533 FAU917532:FAU917533 FKQ917532:FKQ917533 FUM917532:FUM917533 GEI917532:GEI917533 GOE917532:GOE917533 GYA917532:GYA917533 HHW917532:HHW917533 HRS917532:HRS917533 IBO917532:IBO917533 ILK917532:ILK917533 IVG917532:IVG917533 JFC917532:JFC917533 JOY917532:JOY917533 JYU917532:JYU917533 KIQ917532:KIQ917533 KSM917532:KSM917533 LCI917532:LCI917533 LME917532:LME917533 LWA917532:LWA917533 MFW917532:MFW917533 MPS917532:MPS917533 MZO917532:MZO917533 NJK917532:NJK917533 NTG917532:NTG917533 ODC917532:ODC917533 OMY917532:OMY917533 OWU917532:OWU917533 PGQ917532:PGQ917533 PQM917532:PQM917533 QAI917532:QAI917533 QKE917532:QKE917533 QUA917532:QUA917533 RDW917532:RDW917533 RNS917532:RNS917533 RXO917532:RXO917533 SHK917532:SHK917533 SRG917532:SRG917533 TBC917532:TBC917533 TKY917532:TKY917533 TUU917532:TUU917533 UEQ917532:UEQ917533 UOM917532:UOM917533 UYI917532:UYI917533 VIE917532:VIE917533 VSA917532:VSA917533 WBW917532:WBW917533 WLS917532:WLS917533 WVO917532:WVO917533 G983068:G983069 JC983068:JC983069 SY983068:SY983069 ACU983068:ACU983069 AMQ983068:AMQ983069 AWM983068:AWM983069 BGI983068:BGI983069 BQE983068:BQE983069 CAA983068:CAA983069 CJW983068:CJW983069 CTS983068:CTS983069 DDO983068:DDO983069 DNK983068:DNK983069 DXG983068:DXG983069 EHC983068:EHC983069 EQY983068:EQY983069 FAU983068:FAU983069 FKQ983068:FKQ983069 FUM983068:FUM983069 GEI983068:GEI983069 GOE983068:GOE983069 GYA983068:GYA983069 HHW983068:HHW983069 HRS983068:HRS983069 IBO983068:IBO983069 ILK983068:ILK983069 IVG983068:IVG983069 JFC983068:JFC983069 JOY983068:JOY983069 JYU983068:JYU983069 KIQ983068:KIQ983069 KSM983068:KSM983069 LCI983068:LCI983069 LME983068:LME983069 LWA983068:LWA983069 MFW983068:MFW983069 MPS983068:MPS983069 MZO983068:MZO983069 NJK983068:NJK983069 NTG983068:NTG983069 ODC983068:ODC983069 OMY983068:OMY983069 OWU983068:OWU983069 PGQ983068:PGQ983069 PQM983068:PQM983069 QAI983068:QAI983069 QKE983068:QKE983069 QUA983068:QUA983069 RDW983068:RDW983069 RNS983068:RNS983069 RXO983068:RXO983069 SHK983068:SHK983069 SRG983068:SRG983069 TBC983068:TBC983069 TKY983068:TKY983069 TUU983068:TUU983069 UEQ983068:UEQ983069 UOM983068:UOM983069 UYI983068:UYI983069 VIE983068:VIE983069 VSA983068:VSA983069 WBW983068:WBW983069 WLS983068:WLS983069 WVO983068:WVO983069 F30:F31 JB30:JB31 SX30:SX31 ACT30:ACT31 AMP30:AMP31 AWL30:AWL31 BGH30:BGH31 BQD30:BQD31 BZZ30:BZZ31 CJV30:CJV31 CTR30:CTR31 DDN30:DDN31 DNJ30:DNJ31 DXF30:DXF31 EHB30:EHB31 EQX30:EQX31 FAT30:FAT31 FKP30:FKP31 FUL30:FUL31 GEH30:GEH31 GOD30:GOD31 GXZ30:GXZ31 HHV30:HHV31 HRR30:HRR31 IBN30:IBN31 ILJ30:ILJ31 IVF30:IVF31 JFB30:JFB31 JOX30:JOX31 JYT30:JYT31 KIP30:KIP31 KSL30:KSL31 LCH30:LCH31 LMD30:LMD31 LVZ30:LVZ31 MFV30:MFV31 MPR30:MPR31 MZN30:MZN31 NJJ30:NJJ31 NTF30:NTF31 ODB30:ODB31 OMX30:OMX31 OWT30:OWT31 PGP30:PGP31 PQL30:PQL31 QAH30:QAH31 QKD30:QKD31 QTZ30:QTZ31 RDV30:RDV31 RNR30:RNR31 RXN30:RXN31 SHJ30:SHJ31 SRF30:SRF31 TBB30:TBB31 TKX30:TKX31 TUT30:TUT31 UEP30:UEP31 UOL30:UOL31 UYH30:UYH31 VID30:VID31 VRZ30:VRZ31 WBV30:WBV31 WLR30:WLR31 WVN30:WVN31 F65566:F65567 JB65566:JB65567 SX65566:SX65567 ACT65566:ACT65567 AMP65566:AMP65567 AWL65566:AWL65567 BGH65566:BGH65567 BQD65566:BQD65567 BZZ65566:BZZ65567 CJV65566:CJV65567 CTR65566:CTR65567 DDN65566:DDN65567 DNJ65566:DNJ65567 DXF65566:DXF65567 EHB65566:EHB65567 EQX65566:EQX65567 FAT65566:FAT65567 FKP65566:FKP65567 FUL65566:FUL65567 GEH65566:GEH65567 GOD65566:GOD65567 GXZ65566:GXZ65567 HHV65566:HHV65567 HRR65566:HRR65567 IBN65566:IBN65567 ILJ65566:ILJ65567 IVF65566:IVF65567 JFB65566:JFB65567 JOX65566:JOX65567 JYT65566:JYT65567 KIP65566:KIP65567 KSL65566:KSL65567 LCH65566:LCH65567 LMD65566:LMD65567 LVZ65566:LVZ65567 MFV65566:MFV65567 MPR65566:MPR65567 MZN65566:MZN65567 NJJ65566:NJJ65567 NTF65566:NTF65567 ODB65566:ODB65567 OMX65566:OMX65567 OWT65566:OWT65567 PGP65566:PGP65567 PQL65566:PQL65567 QAH65566:QAH65567 QKD65566:QKD65567 QTZ65566:QTZ65567 RDV65566:RDV65567 RNR65566:RNR65567 RXN65566:RXN65567 SHJ65566:SHJ65567 SRF65566:SRF65567 TBB65566:TBB65567 TKX65566:TKX65567 TUT65566:TUT65567 UEP65566:UEP65567 UOL65566:UOL65567 UYH65566:UYH65567 VID65566:VID65567 VRZ65566:VRZ65567 WBV65566:WBV65567 WLR65566:WLR65567 WVN65566:WVN65567 F131102:F131103 JB131102:JB131103 SX131102:SX131103 ACT131102:ACT131103 AMP131102:AMP131103 AWL131102:AWL131103 BGH131102:BGH131103 BQD131102:BQD131103 BZZ131102:BZZ131103 CJV131102:CJV131103 CTR131102:CTR131103 DDN131102:DDN131103 DNJ131102:DNJ131103 DXF131102:DXF131103 EHB131102:EHB131103 EQX131102:EQX131103 FAT131102:FAT131103 FKP131102:FKP131103 FUL131102:FUL131103 GEH131102:GEH131103 GOD131102:GOD131103 GXZ131102:GXZ131103 HHV131102:HHV131103 HRR131102:HRR131103 IBN131102:IBN131103 ILJ131102:ILJ131103 IVF131102:IVF131103 JFB131102:JFB131103 JOX131102:JOX131103 JYT131102:JYT131103 KIP131102:KIP131103 KSL131102:KSL131103 LCH131102:LCH131103 LMD131102:LMD131103 LVZ131102:LVZ131103 MFV131102:MFV131103 MPR131102:MPR131103 MZN131102:MZN131103 NJJ131102:NJJ131103 NTF131102:NTF131103 ODB131102:ODB131103 OMX131102:OMX131103 OWT131102:OWT131103 PGP131102:PGP131103 PQL131102:PQL131103 QAH131102:QAH131103 QKD131102:QKD131103 QTZ131102:QTZ131103 RDV131102:RDV131103 RNR131102:RNR131103 RXN131102:RXN131103 SHJ131102:SHJ131103 SRF131102:SRF131103 TBB131102:TBB131103 TKX131102:TKX131103 TUT131102:TUT131103 UEP131102:UEP131103 UOL131102:UOL131103 UYH131102:UYH131103 VID131102:VID131103 VRZ131102:VRZ131103 WBV131102:WBV131103 WLR131102:WLR131103 WVN131102:WVN131103 F196638:F196639 JB196638:JB196639 SX196638:SX196639 ACT196638:ACT196639 AMP196638:AMP196639 AWL196638:AWL196639 BGH196638:BGH196639 BQD196638:BQD196639 BZZ196638:BZZ196639 CJV196638:CJV196639 CTR196638:CTR196639 DDN196638:DDN196639 DNJ196638:DNJ196639 DXF196638:DXF196639 EHB196638:EHB196639 EQX196638:EQX196639 FAT196638:FAT196639 FKP196638:FKP196639 FUL196638:FUL196639 GEH196638:GEH196639 GOD196638:GOD196639 GXZ196638:GXZ196639 HHV196638:HHV196639 HRR196638:HRR196639 IBN196638:IBN196639 ILJ196638:ILJ196639 IVF196638:IVF196639 JFB196638:JFB196639 JOX196638:JOX196639 JYT196638:JYT196639 KIP196638:KIP196639 KSL196638:KSL196639 LCH196638:LCH196639 LMD196638:LMD196639 LVZ196638:LVZ196639 MFV196638:MFV196639 MPR196638:MPR196639 MZN196638:MZN196639 NJJ196638:NJJ196639 NTF196638:NTF196639 ODB196638:ODB196639 OMX196638:OMX196639 OWT196638:OWT196639 PGP196638:PGP196639 PQL196638:PQL196639 QAH196638:QAH196639 QKD196638:QKD196639 QTZ196638:QTZ196639 RDV196638:RDV196639 RNR196638:RNR196639 RXN196638:RXN196639 SHJ196638:SHJ196639 SRF196638:SRF196639 TBB196638:TBB196639 TKX196638:TKX196639 TUT196638:TUT196639 UEP196638:UEP196639 UOL196638:UOL196639 UYH196638:UYH196639 VID196638:VID196639 VRZ196638:VRZ196639 WBV196638:WBV196639 WLR196638:WLR196639 WVN196638:WVN196639 F262174:F262175 JB262174:JB262175 SX262174:SX262175 ACT262174:ACT262175 AMP262174:AMP262175 AWL262174:AWL262175 BGH262174:BGH262175 BQD262174:BQD262175 BZZ262174:BZZ262175 CJV262174:CJV262175 CTR262174:CTR262175 DDN262174:DDN262175 DNJ262174:DNJ262175 DXF262174:DXF262175 EHB262174:EHB262175 EQX262174:EQX262175 FAT262174:FAT262175 FKP262174:FKP262175 FUL262174:FUL262175 GEH262174:GEH262175 GOD262174:GOD262175 GXZ262174:GXZ262175 HHV262174:HHV262175 HRR262174:HRR262175 IBN262174:IBN262175 ILJ262174:ILJ262175 IVF262174:IVF262175 JFB262174:JFB262175 JOX262174:JOX262175 JYT262174:JYT262175 KIP262174:KIP262175 KSL262174:KSL262175 LCH262174:LCH262175 LMD262174:LMD262175 LVZ262174:LVZ262175 MFV262174:MFV262175 MPR262174:MPR262175 MZN262174:MZN262175 NJJ262174:NJJ262175 NTF262174:NTF262175 ODB262174:ODB262175 OMX262174:OMX262175 OWT262174:OWT262175 PGP262174:PGP262175 PQL262174:PQL262175 QAH262174:QAH262175 QKD262174:QKD262175 QTZ262174:QTZ262175 RDV262174:RDV262175 RNR262174:RNR262175 RXN262174:RXN262175 SHJ262174:SHJ262175 SRF262174:SRF262175 TBB262174:TBB262175 TKX262174:TKX262175 TUT262174:TUT262175 UEP262174:UEP262175 UOL262174:UOL262175 UYH262174:UYH262175 VID262174:VID262175 VRZ262174:VRZ262175 WBV262174:WBV262175 WLR262174:WLR262175 WVN262174:WVN262175 F327710:F327711 JB327710:JB327711 SX327710:SX327711 ACT327710:ACT327711 AMP327710:AMP327711 AWL327710:AWL327711 BGH327710:BGH327711 BQD327710:BQD327711 BZZ327710:BZZ327711 CJV327710:CJV327711 CTR327710:CTR327711 DDN327710:DDN327711 DNJ327710:DNJ327711 DXF327710:DXF327711 EHB327710:EHB327711 EQX327710:EQX327711 FAT327710:FAT327711 FKP327710:FKP327711 FUL327710:FUL327711 GEH327710:GEH327711 GOD327710:GOD327711 GXZ327710:GXZ327711 HHV327710:HHV327711 HRR327710:HRR327711 IBN327710:IBN327711 ILJ327710:ILJ327711 IVF327710:IVF327711 JFB327710:JFB327711 JOX327710:JOX327711 JYT327710:JYT327711 KIP327710:KIP327711 KSL327710:KSL327711 LCH327710:LCH327711 LMD327710:LMD327711 LVZ327710:LVZ327711 MFV327710:MFV327711 MPR327710:MPR327711 MZN327710:MZN327711 NJJ327710:NJJ327711 NTF327710:NTF327711 ODB327710:ODB327711 OMX327710:OMX327711 OWT327710:OWT327711 PGP327710:PGP327711 PQL327710:PQL327711 QAH327710:QAH327711 QKD327710:QKD327711 QTZ327710:QTZ327711 RDV327710:RDV327711 RNR327710:RNR327711 RXN327710:RXN327711 SHJ327710:SHJ327711 SRF327710:SRF327711 TBB327710:TBB327711 TKX327710:TKX327711 TUT327710:TUT327711 UEP327710:UEP327711 UOL327710:UOL327711 UYH327710:UYH327711 VID327710:VID327711 VRZ327710:VRZ327711 WBV327710:WBV327711 WLR327710:WLR327711 WVN327710:WVN327711 F393246:F393247 JB393246:JB393247 SX393246:SX393247 ACT393246:ACT393247 AMP393246:AMP393247 AWL393246:AWL393247 BGH393246:BGH393247 BQD393246:BQD393247 BZZ393246:BZZ393247 CJV393246:CJV393247 CTR393246:CTR393247 DDN393246:DDN393247 DNJ393246:DNJ393247 DXF393246:DXF393247 EHB393246:EHB393247 EQX393246:EQX393247 FAT393246:FAT393247 FKP393246:FKP393247 FUL393246:FUL393247 GEH393246:GEH393247 GOD393246:GOD393247 GXZ393246:GXZ393247 HHV393246:HHV393247 HRR393246:HRR393247 IBN393246:IBN393247 ILJ393246:ILJ393247 IVF393246:IVF393247 JFB393246:JFB393247 JOX393246:JOX393247 JYT393246:JYT393247 KIP393246:KIP393247 KSL393246:KSL393247 LCH393246:LCH393247 LMD393246:LMD393247 LVZ393246:LVZ393247 MFV393246:MFV393247 MPR393246:MPR393247 MZN393246:MZN393247 NJJ393246:NJJ393247 NTF393246:NTF393247 ODB393246:ODB393247 OMX393246:OMX393247 OWT393246:OWT393247 PGP393246:PGP393247 PQL393246:PQL393247 QAH393246:QAH393247 QKD393246:QKD393247 QTZ393246:QTZ393247 RDV393246:RDV393247 RNR393246:RNR393247 RXN393246:RXN393247 SHJ393246:SHJ393247 SRF393246:SRF393247 TBB393246:TBB393247 TKX393246:TKX393247 TUT393246:TUT393247 UEP393246:UEP393247 UOL393246:UOL393247 UYH393246:UYH393247 VID393246:VID393247 VRZ393246:VRZ393247 WBV393246:WBV393247 WLR393246:WLR393247 WVN393246:WVN393247 F458782:F458783 JB458782:JB458783 SX458782:SX458783 ACT458782:ACT458783 AMP458782:AMP458783 AWL458782:AWL458783 BGH458782:BGH458783 BQD458782:BQD458783 BZZ458782:BZZ458783 CJV458782:CJV458783 CTR458782:CTR458783 DDN458782:DDN458783 DNJ458782:DNJ458783 DXF458782:DXF458783 EHB458782:EHB458783 EQX458782:EQX458783 FAT458782:FAT458783 FKP458782:FKP458783 FUL458782:FUL458783 GEH458782:GEH458783 GOD458782:GOD458783 GXZ458782:GXZ458783 HHV458782:HHV458783 HRR458782:HRR458783 IBN458782:IBN458783 ILJ458782:ILJ458783 IVF458782:IVF458783 JFB458782:JFB458783 JOX458782:JOX458783 JYT458782:JYT458783 KIP458782:KIP458783 KSL458782:KSL458783 LCH458782:LCH458783 LMD458782:LMD458783 LVZ458782:LVZ458783 MFV458782:MFV458783 MPR458782:MPR458783 MZN458782:MZN458783 NJJ458782:NJJ458783 NTF458782:NTF458783 ODB458782:ODB458783 OMX458782:OMX458783 OWT458782:OWT458783 PGP458782:PGP458783 PQL458782:PQL458783 QAH458782:QAH458783 QKD458782:QKD458783 QTZ458782:QTZ458783 RDV458782:RDV458783 RNR458782:RNR458783 RXN458782:RXN458783 SHJ458782:SHJ458783 SRF458782:SRF458783 TBB458782:TBB458783 TKX458782:TKX458783 TUT458782:TUT458783 UEP458782:UEP458783 UOL458782:UOL458783 UYH458782:UYH458783 VID458782:VID458783 VRZ458782:VRZ458783 WBV458782:WBV458783 WLR458782:WLR458783 WVN458782:WVN458783 F524318:F524319 JB524318:JB524319 SX524318:SX524319 ACT524318:ACT524319 AMP524318:AMP524319 AWL524318:AWL524319 BGH524318:BGH524319 BQD524318:BQD524319 BZZ524318:BZZ524319 CJV524318:CJV524319 CTR524318:CTR524319 DDN524318:DDN524319 DNJ524318:DNJ524319 DXF524318:DXF524319 EHB524318:EHB524319 EQX524318:EQX524319 FAT524318:FAT524319 FKP524318:FKP524319 FUL524318:FUL524319 GEH524318:GEH524319 GOD524318:GOD524319 GXZ524318:GXZ524319 HHV524318:HHV524319 HRR524318:HRR524319 IBN524318:IBN524319 ILJ524318:ILJ524319 IVF524318:IVF524319 JFB524318:JFB524319 JOX524318:JOX524319 JYT524318:JYT524319 KIP524318:KIP524319 KSL524318:KSL524319 LCH524318:LCH524319 LMD524318:LMD524319 LVZ524318:LVZ524319 MFV524318:MFV524319 MPR524318:MPR524319 MZN524318:MZN524319 NJJ524318:NJJ524319 NTF524318:NTF524319 ODB524318:ODB524319 OMX524318:OMX524319 OWT524318:OWT524319 PGP524318:PGP524319 PQL524318:PQL524319 QAH524318:QAH524319 QKD524318:QKD524319 QTZ524318:QTZ524319 RDV524318:RDV524319 RNR524318:RNR524319 RXN524318:RXN524319 SHJ524318:SHJ524319 SRF524318:SRF524319 TBB524318:TBB524319 TKX524318:TKX524319 TUT524318:TUT524319 UEP524318:UEP524319 UOL524318:UOL524319 UYH524318:UYH524319 VID524318:VID524319 VRZ524318:VRZ524319 WBV524318:WBV524319 WLR524318:WLR524319 WVN524318:WVN524319 F589854:F589855 JB589854:JB589855 SX589854:SX589855 ACT589854:ACT589855 AMP589854:AMP589855 AWL589854:AWL589855 BGH589854:BGH589855 BQD589854:BQD589855 BZZ589854:BZZ589855 CJV589854:CJV589855 CTR589854:CTR589855 DDN589854:DDN589855 DNJ589854:DNJ589855 DXF589854:DXF589855 EHB589854:EHB589855 EQX589854:EQX589855 FAT589854:FAT589855 FKP589854:FKP589855 FUL589854:FUL589855 GEH589854:GEH589855 GOD589854:GOD589855 GXZ589854:GXZ589855 HHV589854:HHV589855 HRR589854:HRR589855 IBN589854:IBN589855 ILJ589854:ILJ589855 IVF589854:IVF589855 JFB589854:JFB589855 JOX589854:JOX589855 JYT589854:JYT589855 KIP589854:KIP589855 KSL589854:KSL589855 LCH589854:LCH589855 LMD589854:LMD589855 LVZ589854:LVZ589855 MFV589854:MFV589855 MPR589854:MPR589855 MZN589854:MZN589855 NJJ589854:NJJ589855 NTF589854:NTF589855 ODB589854:ODB589855 OMX589854:OMX589855 OWT589854:OWT589855 PGP589854:PGP589855 PQL589854:PQL589855 QAH589854:QAH589855 QKD589854:QKD589855 QTZ589854:QTZ589855 RDV589854:RDV589855 RNR589854:RNR589855 RXN589854:RXN589855 SHJ589854:SHJ589855 SRF589854:SRF589855 TBB589854:TBB589855 TKX589854:TKX589855 TUT589854:TUT589855 UEP589854:UEP589855 UOL589854:UOL589855 UYH589854:UYH589855 VID589854:VID589855 VRZ589854:VRZ589855 WBV589854:WBV589855 WLR589854:WLR589855 WVN589854:WVN589855 F655390:F655391 JB655390:JB655391 SX655390:SX655391 ACT655390:ACT655391 AMP655390:AMP655391 AWL655390:AWL655391 BGH655390:BGH655391 BQD655390:BQD655391 BZZ655390:BZZ655391 CJV655390:CJV655391 CTR655390:CTR655391 DDN655390:DDN655391 DNJ655390:DNJ655391 DXF655390:DXF655391 EHB655390:EHB655391 EQX655390:EQX655391 FAT655390:FAT655391 FKP655390:FKP655391 FUL655390:FUL655391 GEH655390:GEH655391 GOD655390:GOD655391 GXZ655390:GXZ655391 HHV655390:HHV655391 HRR655390:HRR655391 IBN655390:IBN655391 ILJ655390:ILJ655391 IVF655390:IVF655391 JFB655390:JFB655391 JOX655390:JOX655391 JYT655390:JYT655391 KIP655390:KIP655391 KSL655390:KSL655391 LCH655390:LCH655391 LMD655390:LMD655391 LVZ655390:LVZ655391 MFV655390:MFV655391 MPR655390:MPR655391 MZN655390:MZN655391 NJJ655390:NJJ655391 NTF655390:NTF655391 ODB655390:ODB655391 OMX655390:OMX655391 OWT655390:OWT655391 PGP655390:PGP655391 PQL655390:PQL655391 QAH655390:QAH655391 QKD655390:QKD655391 QTZ655390:QTZ655391 RDV655390:RDV655391 RNR655390:RNR655391 RXN655390:RXN655391 SHJ655390:SHJ655391 SRF655390:SRF655391 TBB655390:TBB655391 TKX655390:TKX655391 TUT655390:TUT655391 UEP655390:UEP655391 UOL655390:UOL655391 UYH655390:UYH655391 VID655390:VID655391 VRZ655390:VRZ655391 WBV655390:WBV655391 WLR655390:WLR655391 WVN655390:WVN655391 F720926:F720927 JB720926:JB720927 SX720926:SX720927 ACT720926:ACT720927 AMP720926:AMP720927 AWL720926:AWL720927 BGH720926:BGH720927 BQD720926:BQD720927 BZZ720926:BZZ720927 CJV720926:CJV720927 CTR720926:CTR720927 DDN720926:DDN720927 DNJ720926:DNJ720927 DXF720926:DXF720927 EHB720926:EHB720927 EQX720926:EQX720927 FAT720926:FAT720927 FKP720926:FKP720927 FUL720926:FUL720927 GEH720926:GEH720927 GOD720926:GOD720927 GXZ720926:GXZ720927 HHV720926:HHV720927 HRR720926:HRR720927 IBN720926:IBN720927 ILJ720926:ILJ720927 IVF720926:IVF720927 JFB720926:JFB720927 JOX720926:JOX720927 JYT720926:JYT720927 KIP720926:KIP720927 KSL720926:KSL720927 LCH720926:LCH720927 LMD720926:LMD720927 LVZ720926:LVZ720927 MFV720926:MFV720927 MPR720926:MPR720927 MZN720926:MZN720927 NJJ720926:NJJ720927 NTF720926:NTF720927 ODB720926:ODB720927 OMX720926:OMX720927 OWT720926:OWT720927 PGP720926:PGP720927 PQL720926:PQL720927 QAH720926:QAH720927 QKD720926:QKD720927 QTZ720926:QTZ720927 RDV720926:RDV720927 RNR720926:RNR720927 RXN720926:RXN720927 SHJ720926:SHJ720927 SRF720926:SRF720927 TBB720926:TBB720927 TKX720926:TKX720927 TUT720926:TUT720927 UEP720926:UEP720927 UOL720926:UOL720927 UYH720926:UYH720927 VID720926:VID720927 VRZ720926:VRZ720927 WBV720926:WBV720927 WLR720926:WLR720927 WVN720926:WVN720927 F786462:F786463 JB786462:JB786463 SX786462:SX786463 ACT786462:ACT786463 AMP786462:AMP786463 AWL786462:AWL786463 BGH786462:BGH786463 BQD786462:BQD786463 BZZ786462:BZZ786463 CJV786462:CJV786463 CTR786462:CTR786463 DDN786462:DDN786463 DNJ786462:DNJ786463 DXF786462:DXF786463 EHB786462:EHB786463 EQX786462:EQX786463 FAT786462:FAT786463 FKP786462:FKP786463 FUL786462:FUL786463 GEH786462:GEH786463 GOD786462:GOD786463 GXZ786462:GXZ786463 HHV786462:HHV786463 HRR786462:HRR786463 IBN786462:IBN786463 ILJ786462:ILJ786463 IVF786462:IVF786463 JFB786462:JFB786463 JOX786462:JOX786463 JYT786462:JYT786463 KIP786462:KIP786463 KSL786462:KSL786463 LCH786462:LCH786463 LMD786462:LMD786463 LVZ786462:LVZ786463 MFV786462:MFV786463 MPR786462:MPR786463 MZN786462:MZN786463 NJJ786462:NJJ786463 NTF786462:NTF786463 ODB786462:ODB786463 OMX786462:OMX786463 OWT786462:OWT786463 PGP786462:PGP786463 PQL786462:PQL786463 QAH786462:QAH786463 QKD786462:QKD786463 QTZ786462:QTZ786463 RDV786462:RDV786463 RNR786462:RNR786463 RXN786462:RXN786463 SHJ786462:SHJ786463 SRF786462:SRF786463 TBB786462:TBB786463 TKX786462:TKX786463 TUT786462:TUT786463 UEP786462:UEP786463 UOL786462:UOL786463 UYH786462:UYH786463 VID786462:VID786463 VRZ786462:VRZ786463 WBV786462:WBV786463 WLR786462:WLR786463 WVN786462:WVN786463 F851998:F851999 JB851998:JB851999 SX851998:SX851999 ACT851998:ACT851999 AMP851998:AMP851999 AWL851998:AWL851999 BGH851998:BGH851999 BQD851998:BQD851999 BZZ851998:BZZ851999 CJV851998:CJV851999 CTR851998:CTR851999 DDN851998:DDN851999 DNJ851998:DNJ851999 DXF851998:DXF851999 EHB851998:EHB851999 EQX851998:EQX851999 FAT851998:FAT851999 FKP851998:FKP851999 FUL851998:FUL851999 GEH851998:GEH851999 GOD851998:GOD851999 GXZ851998:GXZ851999 HHV851998:HHV851999 HRR851998:HRR851999 IBN851998:IBN851999 ILJ851998:ILJ851999 IVF851998:IVF851999 JFB851998:JFB851999 JOX851998:JOX851999 JYT851998:JYT851999 KIP851998:KIP851999 KSL851998:KSL851999 LCH851998:LCH851999 LMD851998:LMD851999 LVZ851998:LVZ851999 MFV851998:MFV851999 MPR851998:MPR851999 MZN851998:MZN851999 NJJ851998:NJJ851999 NTF851998:NTF851999 ODB851998:ODB851999 OMX851998:OMX851999 OWT851998:OWT851999 PGP851998:PGP851999 PQL851998:PQL851999 QAH851998:QAH851999 QKD851998:QKD851999 QTZ851998:QTZ851999 RDV851998:RDV851999 RNR851998:RNR851999 RXN851998:RXN851999 SHJ851998:SHJ851999 SRF851998:SRF851999 TBB851998:TBB851999 TKX851998:TKX851999 TUT851998:TUT851999 UEP851998:UEP851999 UOL851998:UOL851999 UYH851998:UYH851999 VID851998:VID851999 VRZ851998:VRZ851999 WBV851998:WBV851999 WLR851998:WLR851999 WVN851998:WVN851999 F917534:F917535 JB917534:JB917535 SX917534:SX917535 ACT917534:ACT917535 AMP917534:AMP917535 AWL917534:AWL917535 BGH917534:BGH917535 BQD917534:BQD917535 BZZ917534:BZZ917535 CJV917534:CJV917535 CTR917534:CTR917535 DDN917534:DDN917535 DNJ917534:DNJ917535 DXF917534:DXF917535 EHB917534:EHB917535 EQX917534:EQX917535 FAT917534:FAT917535 FKP917534:FKP917535 FUL917534:FUL917535 GEH917534:GEH917535 GOD917534:GOD917535 GXZ917534:GXZ917535 HHV917534:HHV917535 HRR917534:HRR917535 IBN917534:IBN917535 ILJ917534:ILJ917535 IVF917534:IVF917535 JFB917534:JFB917535 JOX917534:JOX917535 JYT917534:JYT917535 KIP917534:KIP917535 KSL917534:KSL917535 LCH917534:LCH917535 LMD917534:LMD917535 LVZ917534:LVZ917535 MFV917534:MFV917535 MPR917534:MPR917535 MZN917534:MZN917535 NJJ917534:NJJ917535 NTF917534:NTF917535 ODB917534:ODB917535 OMX917534:OMX917535 OWT917534:OWT917535 PGP917534:PGP917535 PQL917534:PQL917535 QAH917534:QAH917535 QKD917534:QKD917535 QTZ917534:QTZ917535 RDV917534:RDV917535 RNR917534:RNR917535 RXN917534:RXN917535 SHJ917534:SHJ917535 SRF917534:SRF917535 TBB917534:TBB917535 TKX917534:TKX917535 TUT917534:TUT917535 UEP917534:UEP917535 UOL917534:UOL917535 UYH917534:UYH917535 VID917534:VID917535 VRZ917534:VRZ917535 WBV917534:WBV917535 WLR917534:WLR917535 WVN917534:WVN917535 F983070:F983071 JB983070:JB983071 SX983070:SX983071 ACT983070:ACT983071 AMP983070:AMP983071 AWL983070:AWL983071 BGH983070:BGH983071 BQD983070:BQD983071 BZZ983070:BZZ983071 CJV983070:CJV983071 CTR983070:CTR983071 DDN983070:DDN983071 DNJ983070:DNJ983071 DXF983070:DXF983071 EHB983070:EHB983071 EQX983070:EQX983071 FAT983070:FAT983071 FKP983070:FKP983071 FUL983070:FUL983071 GEH983070:GEH983071 GOD983070:GOD983071 GXZ983070:GXZ983071 HHV983070:HHV983071 HRR983070:HRR983071 IBN983070:IBN983071 ILJ983070:ILJ983071 IVF983070:IVF983071 JFB983070:JFB983071 JOX983070:JOX983071 JYT983070:JYT983071 KIP983070:KIP983071 KSL983070:KSL983071 LCH983070:LCH983071 LMD983070:LMD983071 LVZ983070:LVZ983071 MFV983070:MFV983071 MPR983070:MPR983071 MZN983070:MZN983071 NJJ983070:NJJ983071 NTF983070:NTF983071 ODB983070:ODB983071 OMX983070:OMX983071 OWT983070:OWT983071 PGP983070:PGP983071 PQL983070:PQL983071 QAH983070:QAH983071 QKD983070:QKD983071 QTZ983070:QTZ983071 RDV983070:RDV983071 RNR983070:RNR983071 RXN983070:RXN983071 SHJ983070:SHJ983071 SRF983070:SRF983071 TBB983070:TBB983071 TKX983070:TKX983071 TUT983070:TUT983071 UEP983070:UEP983071 UOL983070:UOL983071 UYH983070:UYH983071 VID983070:VID983071 VRZ983070:VRZ983071 WBV983070:WBV983071 WLR983070:WLR983071 WVN983070:WVN983071">
      <formula1>-1E+22</formula1>
      <formula2>1E+22</formula2>
    </dataValidation>
  </dataValidations>
  <pageMargins left="0.75" right="0.75" top="0.31" bottom="0.24" header="0.18" footer="0.18"/>
  <pageSetup paperSize="9" scale="55" orientation="portrait" r:id="rId1"/>
  <headerFooter alignWithMargins="0"/>
</worksheet>
</file>

<file path=xl/worksheets/sheet6.xml><?xml version="1.0" encoding="utf-8"?>
<worksheet xmlns="http://schemas.openxmlformats.org/spreadsheetml/2006/main" xmlns:r="http://schemas.openxmlformats.org/officeDocument/2006/relationships">
  <dimension ref="A1:C31"/>
  <sheetViews>
    <sheetView topLeftCell="A7" workbookViewId="0">
      <selection activeCell="C24" sqref="C24"/>
    </sheetView>
  </sheetViews>
  <sheetFormatPr defaultRowHeight="12.75"/>
  <cols>
    <col min="1" max="1" width="5.140625" customWidth="1"/>
    <col min="2" max="2" width="49" customWidth="1"/>
    <col min="3" max="3" width="42.7109375" style="820" customWidth="1"/>
    <col min="7" max="7" width="23.42578125" customWidth="1"/>
  </cols>
  <sheetData>
    <row r="1" spans="1:3" ht="91.5" customHeight="1">
      <c r="A1" s="561"/>
      <c r="B1" s="561"/>
      <c r="C1" s="809" t="s">
        <v>2277</v>
      </c>
    </row>
    <row r="2" spans="1:3" ht="20.25" customHeight="1">
      <c r="A2" s="983" t="s">
        <v>2278</v>
      </c>
      <c r="B2" s="983"/>
      <c r="C2" s="983"/>
    </row>
    <row r="3" spans="1:3" ht="20.25" customHeight="1">
      <c r="A3" s="561"/>
      <c r="B3" s="561"/>
      <c r="C3" s="810" t="s">
        <v>2279</v>
      </c>
    </row>
    <row r="4" spans="1:3" ht="20.25" customHeight="1">
      <c r="A4" s="561"/>
      <c r="B4" s="372" t="s">
        <v>379</v>
      </c>
      <c r="C4" s="811"/>
    </row>
    <row r="5" spans="1:3" ht="20.25" customHeight="1">
      <c r="A5" s="562" t="s">
        <v>938</v>
      </c>
      <c r="B5" s="563" t="s">
        <v>2280</v>
      </c>
      <c r="C5" s="812" t="s">
        <v>678</v>
      </c>
    </row>
    <row r="6" spans="1:3" ht="20.25" customHeight="1">
      <c r="A6" s="564" t="s">
        <v>222</v>
      </c>
      <c r="B6" s="565" t="s">
        <v>2281</v>
      </c>
      <c r="C6" s="813">
        <f>SUM(C7:C9)</f>
        <v>0</v>
      </c>
    </row>
    <row r="7" spans="1:3" ht="20.25" customHeight="1">
      <c r="A7" s="564" t="s">
        <v>1544</v>
      </c>
      <c r="B7" s="566" t="s">
        <v>2282</v>
      </c>
      <c r="C7" s="814"/>
    </row>
    <row r="8" spans="1:3" ht="20.25" customHeight="1">
      <c r="A8" s="564" t="s">
        <v>2283</v>
      </c>
      <c r="B8" s="566" t="s">
        <v>2284</v>
      </c>
      <c r="C8" s="814"/>
    </row>
    <row r="9" spans="1:3" ht="20.25" customHeight="1">
      <c r="A9" s="564" t="s">
        <v>2285</v>
      </c>
      <c r="B9" s="566" t="s">
        <v>2286</v>
      </c>
      <c r="C9" s="814"/>
    </row>
    <row r="10" spans="1:3" ht="20.25" customHeight="1">
      <c r="A10" s="564" t="s">
        <v>819</v>
      </c>
      <c r="B10" s="565" t="s">
        <v>2287</v>
      </c>
      <c r="C10" s="813">
        <f>SUM(C11:C13)</f>
        <v>0</v>
      </c>
    </row>
    <row r="11" spans="1:3" ht="20.25" customHeight="1">
      <c r="A11" s="564" t="s">
        <v>1544</v>
      </c>
      <c r="B11" s="566" t="s">
        <v>2282</v>
      </c>
      <c r="C11" s="814"/>
    </row>
    <row r="12" spans="1:3" ht="20.25" customHeight="1">
      <c r="A12" s="564" t="s">
        <v>2283</v>
      </c>
      <c r="B12" s="566" t="s">
        <v>2284</v>
      </c>
      <c r="C12" s="814"/>
    </row>
    <row r="13" spans="1:3" ht="20.25" customHeight="1">
      <c r="A13" s="564" t="s">
        <v>2285</v>
      </c>
      <c r="B13" s="566" t="s">
        <v>2286</v>
      </c>
      <c r="C13" s="814"/>
    </row>
    <row r="14" spans="1:3" ht="20.25" customHeight="1">
      <c r="A14" s="564" t="s">
        <v>820</v>
      </c>
      <c r="B14" s="565" t="s">
        <v>2288</v>
      </c>
      <c r="C14" s="813">
        <f>SUM(C15:C17)</f>
        <v>0</v>
      </c>
    </row>
    <row r="15" spans="1:3" ht="20.25" customHeight="1">
      <c r="A15" s="564" t="s">
        <v>1544</v>
      </c>
      <c r="B15" s="566" t="s">
        <v>2282</v>
      </c>
      <c r="C15" s="814"/>
    </row>
    <row r="16" spans="1:3" ht="20.25" customHeight="1">
      <c r="A16" s="564" t="s">
        <v>2283</v>
      </c>
      <c r="B16" s="566" t="s">
        <v>2284</v>
      </c>
      <c r="C16" s="814"/>
    </row>
    <row r="17" spans="1:3" ht="20.25" customHeight="1">
      <c r="A17" s="564" t="s">
        <v>2285</v>
      </c>
      <c r="B17" s="566" t="s">
        <v>2286</v>
      </c>
      <c r="C17" s="814"/>
    </row>
    <row r="18" spans="1:3" ht="20.25" customHeight="1">
      <c r="A18" s="564" t="s">
        <v>822</v>
      </c>
      <c r="B18" s="567" t="s">
        <v>2289</v>
      </c>
      <c r="C18" s="813">
        <f>(C6+C10+C14)/3</f>
        <v>0</v>
      </c>
    </row>
    <row r="19" spans="1:3" ht="20.25" customHeight="1">
      <c r="A19" s="564" t="s">
        <v>824</v>
      </c>
      <c r="B19" s="568" t="s">
        <v>2290</v>
      </c>
      <c r="C19" s="815">
        <f>100/C26*C18*0.15</f>
        <v>0</v>
      </c>
    </row>
    <row r="20" spans="1:3" ht="20.25" customHeight="1">
      <c r="A20" s="569"/>
      <c r="B20" s="570"/>
      <c r="C20" s="816"/>
    </row>
    <row r="21" spans="1:3" ht="20.25" customHeight="1">
      <c r="A21" s="571" t="s">
        <v>826</v>
      </c>
      <c r="B21" s="566" t="s">
        <v>2335</v>
      </c>
      <c r="C21" s="817" t="s">
        <v>2723</v>
      </c>
    </row>
    <row r="22" spans="1:3" ht="20.25" customHeight="1">
      <c r="A22" s="564" t="s">
        <v>1118</v>
      </c>
      <c r="B22" s="572" t="s">
        <v>2291</v>
      </c>
      <c r="C22" s="817" t="s">
        <v>2725</v>
      </c>
    </row>
    <row r="23" spans="1:3" ht="20.25" customHeight="1">
      <c r="A23" s="564" t="s">
        <v>1749</v>
      </c>
      <c r="B23" s="572" t="s">
        <v>2292</v>
      </c>
      <c r="C23" s="817" t="s">
        <v>2726</v>
      </c>
    </row>
    <row r="24" spans="1:3" ht="20.25" customHeight="1">
      <c r="A24" s="564" t="s">
        <v>1682</v>
      </c>
      <c r="B24" s="573" t="s">
        <v>2293</v>
      </c>
      <c r="C24" s="813" t="e">
        <f>C21+(C22-C23)</f>
        <v>#VALUE!</v>
      </c>
    </row>
    <row r="25" spans="1:3" ht="20.25" customHeight="1">
      <c r="A25" s="564" t="s">
        <v>240</v>
      </c>
      <c r="B25" s="574" t="s">
        <v>2294</v>
      </c>
      <c r="C25" s="813" t="e">
        <f>100/C26*C24*0.1</f>
        <v>#VALUE!</v>
      </c>
    </row>
    <row r="26" spans="1:3" ht="27.75" customHeight="1">
      <c r="A26" s="564" t="s">
        <v>2103</v>
      </c>
      <c r="B26" s="575" t="s">
        <v>2295</v>
      </c>
      <c r="C26" s="818">
        <v>11.5</v>
      </c>
    </row>
    <row r="27" spans="1:3">
      <c r="A27" s="561"/>
      <c r="B27" s="561"/>
      <c r="C27" s="819"/>
    </row>
    <row r="28" spans="1:3">
      <c r="A28" s="576" t="s">
        <v>2272</v>
      </c>
      <c r="B28" s="561"/>
      <c r="C28" s="819"/>
    </row>
    <row r="29" spans="1:3">
      <c r="A29" s="576"/>
      <c r="B29" s="561"/>
      <c r="C29" s="819"/>
    </row>
    <row r="30" spans="1:3">
      <c r="A30" s="576" t="s">
        <v>1198</v>
      </c>
      <c r="B30" s="561"/>
      <c r="C30" s="819"/>
    </row>
    <row r="31" spans="1:3">
      <c r="A31" s="561"/>
      <c r="B31" s="561"/>
      <c r="C31" s="819"/>
    </row>
  </sheetData>
  <mergeCells count="1">
    <mergeCell ref="A2:C2"/>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sheetPr codeName="Лист6"/>
  <dimension ref="A1:L27"/>
  <sheetViews>
    <sheetView workbookViewId="0">
      <selection activeCell="B5" sqref="B5"/>
    </sheetView>
  </sheetViews>
  <sheetFormatPr defaultRowHeight="12.75"/>
  <cols>
    <col min="1" max="1" width="86.5703125" style="14" customWidth="1"/>
    <col min="2" max="2" width="23.28515625" style="14" customWidth="1"/>
    <col min="3" max="3" width="18.42578125" style="614" customWidth="1"/>
    <col min="4" max="4" width="19.28515625" style="614" customWidth="1"/>
    <col min="5" max="5" width="17.140625" style="614" customWidth="1"/>
    <col min="6" max="6" width="18.5703125" style="446" customWidth="1"/>
    <col min="7" max="11" width="55.7109375" style="14" customWidth="1"/>
    <col min="12" max="16384" width="9.140625" style="14"/>
  </cols>
  <sheetData>
    <row r="1" spans="1:12" ht="102">
      <c r="B1" s="613" t="s">
        <v>2277</v>
      </c>
    </row>
    <row r="2" spans="1:12" ht="31.5">
      <c r="A2" s="35" t="s">
        <v>1342</v>
      </c>
      <c r="B2" s="703" t="s">
        <v>2668</v>
      </c>
      <c r="G2" s="446"/>
      <c r="H2" s="446"/>
      <c r="I2" s="446"/>
      <c r="J2" s="446"/>
      <c r="K2" s="446"/>
      <c r="L2" s="446"/>
    </row>
    <row r="3" spans="1:12" ht="16.5" thickBot="1">
      <c r="A3" s="371" t="s">
        <v>379</v>
      </c>
      <c r="B3" s="371"/>
      <c r="C3" s="614" t="s">
        <v>317</v>
      </c>
      <c r="D3" s="614" t="s">
        <v>318</v>
      </c>
      <c r="E3" s="614" t="e">
        <f>D3-C3</f>
        <v>#VALUE!</v>
      </c>
      <c r="F3" s="14">
        <v>303</v>
      </c>
      <c r="G3" s="446"/>
      <c r="H3" s="446"/>
      <c r="I3" s="446"/>
      <c r="J3" s="446"/>
      <c r="K3" s="446"/>
      <c r="L3" s="446"/>
    </row>
    <row r="4" spans="1:12">
      <c r="A4" s="283" t="s">
        <v>1403</v>
      </c>
      <c r="B4" s="390" t="s">
        <v>678</v>
      </c>
      <c r="C4" s="614" t="s">
        <v>319</v>
      </c>
      <c r="D4" s="614" t="s">
        <v>320</v>
      </c>
      <c r="E4" s="614" t="e">
        <f>D4-C4</f>
        <v>#VALUE!</v>
      </c>
      <c r="F4" s="14">
        <v>306</v>
      </c>
      <c r="G4" s="446"/>
      <c r="H4" s="446"/>
      <c r="I4" s="446"/>
      <c r="J4" s="446"/>
      <c r="K4" s="446"/>
      <c r="L4" s="446"/>
    </row>
    <row r="5" spans="1:12">
      <c r="A5" s="609" t="s">
        <v>2337</v>
      </c>
      <c r="B5" s="821" t="s">
        <v>979</v>
      </c>
      <c r="C5" s="614" t="s">
        <v>321</v>
      </c>
      <c r="D5" s="614" t="s">
        <v>322</v>
      </c>
      <c r="E5" s="614" t="e">
        <f>D5-C5</f>
        <v>#VALUE!</v>
      </c>
      <c r="F5" s="14">
        <v>309</v>
      </c>
      <c r="G5" s="446"/>
      <c r="H5" s="446"/>
      <c r="I5" s="446"/>
      <c r="J5" s="446"/>
      <c r="K5" s="446"/>
      <c r="L5" s="446"/>
    </row>
    <row r="6" spans="1:12">
      <c r="A6" s="610" t="s">
        <v>2338</v>
      </c>
      <c r="B6" s="822"/>
      <c r="C6" s="614" t="s">
        <v>323</v>
      </c>
      <c r="D6" s="614" t="s">
        <v>324</v>
      </c>
      <c r="E6" s="614" t="e">
        <f>D6-C6</f>
        <v>#VALUE!</v>
      </c>
      <c r="F6" s="14">
        <v>312</v>
      </c>
      <c r="G6" s="446"/>
      <c r="H6" s="446"/>
      <c r="I6" s="446" t="s">
        <v>274</v>
      </c>
      <c r="J6" s="446"/>
      <c r="K6" s="446"/>
      <c r="L6" s="446"/>
    </row>
    <row r="7" spans="1:12">
      <c r="A7" s="611" t="s">
        <v>2339</v>
      </c>
      <c r="B7" s="823">
        <f>SUM(B5:B6)</f>
        <v>0</v>
      </c>
      <c r="C7" s="614">
        <f>SUM(C3:C6)</f>
        <v>0</v>
      </c>
      <c r="D7" s="614">
        <f>SUM(D3:D6)</f>
        <v>0</v>
      </c>
      <c r="E7" s="614">
        <f>D7-C7</f>
        <v>0</v>
      </c>
      <c r="F7" s="14"/>
      <c r="G7" s="446"/>
      <c r="H7" s="446"/>
      <c r="I7" s="446">
        <v>30300</v>
      </c>
      <c r="J7" s="446" t="s">
        <v>272</v>
      </c>
      <c r="K7" s="446" t="s">
        <v>273</v>
      </c>
      <c r="L7" s="446"/>
    </row>
    <row r="8" spans="1:12">
      <c r="A8" s="611" t="s">
        <v>2340</v>
      </c>
      <c r="B8" s="824" t="s">
        <v>1072</v>
      </c>
      <c r="F8" s="14"/>
      <c r="G8" s="446"/>
      <c r="H8" s="446"/>
      <c r="I8" s="446"/>
      <c r="J8" s="446"/>
      <c r="K8" s="446"/>
      <c r="L8" s="446"/>
    </row>
    <row r="9" spans="1:12">
      <c r="A9" s="610" t="s">
        <v>967</v>
      </c>
      <c r="B9" s="825" t="e">
        <f>D9-C9</f>
        <v>#VALUE!</v>
      </c>
      <c r="C9" s="614" t="s">
        <v>980</v>
      </c>
      <c r="D9" s="614" t="s">
        <v>981</v>
      </c>
      <c r="E9" s="614" t="e">
        <f>D9-C9</f>
        <v>#VALUE!</v>
      </c>
      <c r="F9" s="14">
        <v>303.30599999999998</v>
      </c>
      <c r="G9" s="446"/>
      <c r="H9" s="446"/>
      <c r="I9" s="446" t="s">
        <v>201</v>
      </c>
      <c r="J9" s="446" t="s">
        <v>193</v>
      </c>
      <c r="K9" s="446" t="s">
        <v>194</v>
      </c>
      <c r="L9" s="446"/>
    </row>
    <row r="10" spans="1:12">
      <c r="A10" s="612" t="s">
        <v>1347</v>
      </c>
      <c r="B10" s="825" t="e">
        <f>D10-C10</f>
        <v>#VALUE!</v>
      </c>
      <c r="C10" s="614" t="s">
        <v>270</v>
      </c>
      <c r="D10" s="614" t="s">
        <v>271</v>
      </c>
      <c r="E10" s="614" t="e">
        <f>D10-C10</f>
        <v>#VALUE!</v>
      </c>
      <c r="F10" s="14">
        <v>30908</v>
      </c>
      <c r="G10" s="446"/>
      <c r="H10" s="446"/>
      <c r="I10" s="446" t="s">
        <v>202</v>
      </c>
      <c r="J10" s="446"/>
      <c r="K10" s="446"/>
      <c r="L10" s="446"/>
    </row>
    <row r="11" spans="1:12">
      <c r="A11" s="611" t="s">
        <v>1006</v>
      </c>
      <c r="B11" s="826"/>
      <c r="F11" s="14"/>
      <c r="G11" s="446"/>
      <c r="H11" s="446"/>
      <c r="I11" s="446" t="s">
        <v>203</v>
      </c>
      <c r="J11" s="446"/>
      <c r="K11" s="446"/>
      <c r="L11" s="446"/>
    </row>
    <row r="12" spans="1:12">
      <c r="A12" s="611" t="s">
        <v>1007</v>
      </c>
      <c r="B12" s="826"/>
      <c r="F12" s="14"/>
      <c r="G12" s="446"/>
      <c r="H12" s="446"/>
      <c r="I12" s="446" t="s">
        <v>204</v>
      </c>
      <c r="J12" s="446"/>
      <c r="K12" s="446"/>
      <c r="L12" s="446"/>
    </row>
    <row r="13" spans="1:12">
      <c r="A13" s="612" t="s">
        <v>2341</v>
      </c>
      <c r="B13" s="827"/>
      <c r="F13" s="14"/>
      <c r="G13" s="446"/>
      <c r="H13" s="446"/>
      <c r="I13" s="446" t="s">
        <v>205</v>
      </c>
      <c r="J13" s="446"/>
      <c r="K13" s="446"/>
      <c r="L13" s="446"/>
    </row>
    <row r="14" spans="1:12" ht="13.5" thickBot="1">
      <c r="A14" s="612" t="s">
        <v>2342</v>
      </c>
      <c r="B14" s="828" t="s">
        <v>1376</v>
      </c>
      <c r="F14" s="14"/>
      <c r="G14" s="446"/>
      <c r="H14" s="446"/>
      <c r="I14" s="446" t="s">
        <v>206</v>
      </c>
      <c r="J14" s="446"/>
      <c r="K14" s="446"/>
      <c r="L14" s="446"/>
    </row>
    <row r="15" spans="1:12">
      <c r="A15" s="69"/>
      <c r="B15" s="69"/>
      <c r="F15" s="14"/>
      <c r="G15" s="446"/>
      <c r="H15" s="446"/>
      <c r="I15" s="446" t="s">
        <v>207</v>
      </c>
      <c r="J15" s="446"/>
      <c r="K15" s="446"/>
      <c r="L15" s="446"/>
    </row>
    <row r="16" spans="1:12" ht="12.75" customHeight="1">
      <c r="A16" s="24" t="s">
        <v>102</v>
      </c>
      <c r="F16" s="14"/>
      <c r="G16" s="446"/>
      <c r="H16" s="446"/>
      <c r="I16" s="446" t="s">
        <v>1068</v>
      </c>
      <c r="J16" s="446"/>
      <c r="K16" s="446"/>
      <c r="L16" s="446"/>
    </row>
    <row r="17" spans="1:12">
      <c r="A17" s="24" t="s">
        <v>1198</v>
      </c>
      <c r="F17" s="14"/>
      <c r="G17" s="446"/>
      <c r="H17" s="446"/>
      <c r="I17" s="446" t="e">
        <f>I9+I10+I11+I12+I13+I14+I15+I16</f>
        <v>#VALUE!</v>
      </c>
      <c r="J17" s="446"/>
      <c r="K17" s="446"/>
      <c r="L17" s="446"/>
    </row>
    <row r="18" spans="1:12">
      <c r="F18" s="14"/>
    </row>
    <row r="19" spans="1:12" ht="12.75" customHeight="1">
      <c r="F19" s="14"/>
    </row>
    <row r="20" spans="1:12">
      <c r="F20" s="14"/>
    </row>
    <row r="21" spans="1:12">
      <c r="F21" s="14"/>
    </row>
    <row r="22" spans="1:12">
      <c r="B22" s="17"/>
      <c r="C22" s="614" t="s">
        <v>96</v>
      </c>
      <c r="F22" s="14"/>
    </row>
    <row r="23" spans="1:12">
      <c r="F23" s="14"/>
    </row>
    <row r="26" spans="1:12" ht="12.75" customHeight="1"/>
    <row r="27" spans="1:12" ht="12.75" customHeight="1"/>
  </sheetData>
  <phoneticPr fontId="0" type="noConversion"/>
  <dataValidations count="3">
    <dataValidation type="whole" operator="greaterThanOrEqual" allowBlank="1" showInputMessage="1" showErrorMessage="1" prompt="Ввести как положительное число или 0." sqref="B11:B12 IX11:IX12 ST11:ST12 ACP11:ACP12 AML11:AML12 AWH11:AWH12 BGD11:BGD12 BPZ11:BPZ12 BZV11:BZV12 CJR11:CJR12 CTN11:CTN12 DDJ11:DDJ12 DNF11:DNF12 DXB11:DXB12 EGX11:EGX12 EQT11:EQT12 FAP11:FAP12 FKL11:FKL12 FUH11:FUH12 GED11:GED12 GNZ11:GNZ12 GXV11:GXV12 HHR11:HHR12 HRN11:HRN12 IBJ11:IBJ12 ILF11:ILF12 IVB11:IVB12 JEX11:JEX12 JOT11:JOT12 JYP11:JYP12 KIL11:KIL12 KSH11:KSH12 LCD11:LCD12 LLZ11:LLZ12 LVV11:LVV12 MFR11:MFR12 MPN11:MPN12 MZJ11:MZJ12 NJF11:NJF12 NTB11:NTB12 OCX11:OCX12 OMT11:OMT12 OWP11:OWP12 PGL11:PGL12 PQH11:PQH12 QAD11:QAD12 QJZ11:QJZ12 QTV11:QTV12 RDR11:RDR12 RNN11:RNN12 RXJ11:RXJ12 SHF11:SHF12 SRB11:SRB12 TAX11:TAX12 TKT11:TKT12 TUP11:TUP12 UEL11:UEL12 UOH11:UOH12 UYD11:UYD12 VHZ11:VHZ12 VRV11:VRV12 WBR11:WBR12 WLN11:WLN12 WVJ11:WVJ12 B65547:B65548 IX65547:IX65548 ST65547:ST65548 ACP65547:ACP65548 AML65547:AML65548 AWH65547:AWH65548 BGD65547:BGD65548 BPZ65547:BPZ65548 BZV65547:BZV65548 CJR65547:CJR65548 CTN65547:CTN65548 DDJ65547:DDJ65548 DNF65547:DNF65548 DXB65547:DXB65548 EGX65547:EGX65548 EQT65547:EQT65548 FAP65547:FAP65548 FKL65547:FKL65548 FUH65547:FUH65548 GED65547:GED65548 GNZ65547:GNZ65548 GXV65547:GXV65548 HHR65547:HHR65548 HRN65547:HRN65548 IBJ65547:IBJ65548 ILF65547:ILF65548 IVB65547:IVB65548 JEX65547:JEX65548 JOT65547:JOT65548 JYP65547:JYP65548 KIL65547:KIL65548 KSH65547:KSH65548 LCD65547:LCD65548 LLZ65547:LLZ65548 LVV65547:LVV65548 MFR65547:MFR65548 MPN65547:MPN65548 MZJ65547:MZJ65548 NJF65547:NJF65548 NTB65547:NTB65548 OCX65547:OCX65548 OMT65547:OMT65548 OWP65547:OWP65548 PGL65547:PGL65548 PQH65547:PQH65548 QAD65547:QAD65548 QJZ65547:QJZ65548 QTV65547:QTV65548 RDR65547:RDR65548 RNN65547:RNN65548 RXJ65547:RXJ65548 SHF65547:SHF65548 SRB65547:SRB65548 TAX65547:TAX65548 TKT65547:TKT65548 TUP65547:TUP65548 UEL65547:UEL65548 UOH65547:UOH65548 UYD65547:UYD65548 VHZ65547:VHZ65548 VRV65547:VRV65548 WBR65547:WBR65548 WLN65547:WLN65548 WVJ65547:WVJ65548 B131083:B131084 IX131083:IX131084 ST131083:ST131084 ACP131083:ACP131084 AML131083:AML131084 AWH131083:AWH131084 BGD131083:BGD131084 BPZ131083:BPZ131084 BZV131083:BZV131084 CJR131083:CJR131084 CTN131083:CTN131084 DDJ131083:DDJ131084 DNF131083:DNF131084 DXB131083:DXB131084 EGX131083:EGX131084 EQT131083:EQT131084 FAP131083:FAP131084 FKL131083:FKL131084 FUH131083:FUH131084 GED131083:GED131084 GNZ131083:GNZ131084 GXV131083:GXV131084 HHR131083:HHR131084 HRN131083:HRN131084 IBJ131083:IBJ131084 ILF131083:ILF131084 IVB131083:IVB131084 JEX131083:JEX131084 JOT131083:JOT131084 JYP131083:JYP131084 KIL131083:KIL131084 KSH131083:KSH131084 LCD131083:LCD131084 LLZ131083:LLZ131084 LVV131083:LVV131084 MFR131083:MFR131084 MPN131083:MPN131084 MZJ131083:MZJ131084 NJF131083:NJF131084 NTB131083:NTB131084 OCX131083:OCX131084 OMT131083:OMT131084 OWP131083:OWP131084 PGL131083:PGL131084 PQH131083:PQH131084 QAD131083:QAD131084 QJZ131083:QJZ131084 QTV131083:QTV131084 RDR131083:RDR131084 RNN131083:RNN131084 RXJ131083:RXJ131084 SHF131083:SHF131084 SRB131083:SRB131084 TAX131083:TAX131084 TKT131083:TKT131084 TUP131083:TUP131084 UEL131083:UEL131084 UOH131083:UOH131084 UYD131083:UYD131084 VHZ131083:VHZ131084 VRV131083:VRV131084 WBR131083:WBR131084 WLN131083:WLN131084 WVJ131083:WVJ131084 B196619:B196620 IX196619:IX196620 ST196619:ST196620 ACP196619:ACP196620 AML196619:AML196620 AWH196619:AWH196620 BGD196619:BGD196620 BPZ196619:BPZ196620 BZV196619:BZV196620 CJR196619:CJR196620 CTN196619:CTN196620 DDJ196619:DDJ196620 DNF196619:DNF196620 DXB196619:DXB196620 EGX196619:EGX196620 EQT196619:EQT196620 FAP196619:FAP196620 FKL196619:FKL196620 FUH196619:FUH196620 GED196619:GED196620 GNZ196619:GNZ196620 GXV196619:GXV196620 HHR196619:HHR196620 HRN196619:HRN196620 IBJ196619:IBJ196620 ILF196619:ILF196620 IVB196619:IVB196620 JEX196619:JEX196620 JOT196619:JOT196620 JYP196619:JYP196620 KIL196619:KIL196620 KSH196619:KSH196620 LCD196619:LCD196620 LLZ196619:LLZ196620 LVV196619:LVV196620 MFR196619:MFR196620 MPN196619:MPN196620 MZJ196619:MZJ196620 NJF196619:NJF196620 NTB196619:NTB196620 OCX196619:OCX196620 OMT196619:OMT196620 OWP196619:OWP196620 PGL196619:PGL196620 PQH196619:PQH196620 QAD196619:QAD196620 QJZ196619:QJZ196620 QTV196619:QTV196620 RDR196619:RDR196620 RNN196619:RNN196620 RXJ196619:RXJ196620 SHF196619:SHF196620 SRB196619:SRB196620 TAX196619:TAX196620 TKT196619:TKT196620 TUP196619:TUP196620 UEL196619:UEL196620 UOH196619:UOH196620 UYD196619:UYD196620 VHZ196619:VHZ196620 VRV196619:VRV196620 WBR196619:WBR196620 WLN196619:WLN196620 WVJ196619:WVJ196620 B262155:B262156 IX262155:IX262156 ST262155:ST262156 ACP262155:ACP262156 AML262155:AML262156 AWH262155:AWH262156 BGD262155:BGD262156 BPZ262155:BPZ262156 BZV262155:BZV262156 CJR262155:CJR262156 CTN262155:CTN262156 DDJ262155:DDJ262156 DNF262155:DNF262156 DXB262155:DXB262156 EGX262155:EGX262156 EQT262155:EQT262156 FAP262155:FAP262156 FKL262155:FKL262156 FUH262155:FUH262156 GED262155:GED262156 GNZ262155:GNZ262156 GXV262155:GXV262156 HHR262155:HHR262156 HRN262155:HRN262156 IBJ262155:IBJ262156 ILF262155:ILF262156 IVB262155:IVB262156 JEX262155:JEX262156 JOT262155:JOT262156 JYP262155:JYP262156 KIL262155:KIL262156 KSH262155:KSH262156 LCD262155:LCD262156 LLZ262155:LLZ262156 LVV262155:LVV262156 MFR262155:MFR262156 MPN262155:MPN262156 MZJ262155:MZJ262156 NJF262155:NJF262156 NTB262155:NTB262156 OCX262155:OCX262156 OMT262155:OMT262156 OWP262155:OWP262156 PGL262155:PGL262156 PQH262155:PQH262156 QAD262155:QAD262156 QJZ262155:QJZ262156 QTV262155:QTV262156 RDR262155:RDR262156 RNN262155:RNN262156 RXJ262155:RXJ262156 SHF262155:SHF262156 SRB262155:SRB262156 TAX262155:TAX262156 TKT262155:TKT262156 TUP262155:TUP262156 UEL262155:UEL262156 UOH262155:UOH262156 UYD262155:UYD262156 VHZ262155:VHZ262156 VRV262155:VRV262156 WBR262155:WBR262156 WLN262155:WLN262156 WVJ262155:WVJ262156 B327691:B327692 IX327691:IX327692 ST327691:ST327692 ACP327691:ACP327692 AML327691:AML327692 AWH327691:AWH327692 BGD327691:BGD327692 BPZ327691:BPZ327692 BZV327691:BZV327692 CJR327691:CJR327692 CTN327691:CTN327692 DDJ327691:DDJ327692 DNF327691:DNF327692 DXB327691:DXB327692 EGX327691:EGX327692 EQT327691:EQT327692 FAP327691:FAP327692 FKL327691:FKL327692 FUH327691:FUH327692 GED327691:GED327692 GNZ327691:GNZ327692 GXV327691:GXV327692 HHR327691:HHR327692 HRN327691:HRN327692 IBJ327691:IBJ327692 ILF327691:ILF327692 IVB327691:IVB327692 JEX327691:JEX327692 JOT327691:JOT327692 JYP327691:JYP327692 KIL327691:KIL327692 KSH327691:KSH327692 LCD327691:LCD327692 LLZ327691:LLZ327692 LVV327691:LVV327692 MFR327691:MFR327692 MPN327691:MPN327692 MZJ327691:MZJ327692 NJF327691:NJF327692 NTB327691:NTB327692 OCX327691:OCX327692 OMT327691:OMT327692 OWP327691:OWP327692 PGL327691:PGL327692 PQH327691:PQH327692 QAD327691:QAD327692 QJZ327691:QJZ327692 QTV327691:QTV327692 RDR327691:RDR327692 RNN327691:RNN327692 RXJ327691:RXJ327692 SHF327691:SHF327692 SRB327691:SRB327692 TAX327691:TAX327692 TKT327691:TKT327692 TUP327691:TUP327692 UEL327691:UEL327692 UOH327691:UOH327692 UYD327691:UYD327692 VHZ327691:VHZ327692 VRV327691:VRV327692 WBR327691:WBR327692 WLN327691:WLN327692 WVJ327691:WVJ327692 B393227:B393228 IX393227:IX393228 ST393227:ST393228 ACP393227:ACP393228 AML393227:AML393228 AWH393227:AWH393228 BGD393227:BGD393228 BPZ393227:BPZ393228 BZV393227:BZV393228 CJR393227:CJR393228 CTN393227:CTN393228 DDJ393227:DDJ393228 DNF393227:DNF393228 DXB393227:DXB393228 EGX393227:EGX393228 EQT393227:EQT393228 FAP393227:FAP393228 FKL393227:FKL393228 FUH393227:FUH393228 GED393227:GED393228 GNZ393227:GNZ393228 GXV393227:GXV393228 HHR393227:HHR393228 HRN393227:HRN393228 IBJ393227:IBJ393228 ILF393227:ILF393228 IVB393227:IVB393228 JEX393227:JEX393228 JOT393227:JOT393228 JYP393227:JYP393228 KIL393227:KIL393228 KSH393227:KSH393228 LCD393227:LCD393228 LLZ393227:LLZ393228 LVV393227:LVV393228 MFR393227:MFR393228 MPN393227:MPN393228 MZJ393227:MZJ393228 NJF393227:NJF393228 NTB393227:NTB393228 OCX393227:OCX393228 OMT393227:OMT393228 OWP393227:OWP393228 PGL393227:PGL393228 PQH393227:PQH393228 QAD393227:QAD393228 QJZ393227:QJZ393228 QTV393227:QTV393228 RDR393227:RDR393228 RNN393227:RNN393228 RXJ393227:RXJ393228 SHF393227:SHF393228 SRB393227:SRB393228 TAX393227:TAX393228 TKT393227:TKT393228 TUP393227:TUP393228 UEL393227:UEL393228 UOH393227:UOH393228 UYD393227:UYD393228 VHZ393227:VHZ393228 VRV393227:VRV393228 WBR393227:WBR393228 WLN393227:WLN393228 WVJ393227:WVJ393228 B458763:B458764 IX458763:IX458764 ST458763:ST458764 ACP458763:ACP458764 AML458763:AML458764 AWH458763:AWH458764 BGD458763:BGD458764 BPZ458763:BPZ458764 BZV458763:BZV458764 CJR458763:CJR458764 CTN458763:CTN458764 DDJ458763:DDJ458764 DNF458763:DNF458764 DXB458763:DXB458764 EGX458763:EGX458764 EQT458763:EQT458764 FAP458763:FAP458764 FKL458763:FKL458764 FUH458763:FUH458764 GED458763:GED458764 GNZ458763:GNZ458764 GXV458763:GXV458764 HHR458763:HHR458764 HRN458763:HRN458764 IBJ458763:IBJ458764 ILF458763:ILF458764 IVB458763:IVB458764 JEX458763:JEX458764 JOT458763:JOT458764 JYP458763:JYP458764 KIL458763:KIL458764 KSH458763:KSH458764 LCD458763:LCD458764 LLZ458763:LLZ458764 LVV458763:LVV458764 MFR458763:MFR458764 MPN458763:MPN458764 MZJ458763:MZJ458764 NJF458763:NJF458764 NTB458763:NTB458764 OCX458763:OCX458764 OMT458763:OMT458764 OWP458763:OWP458764 PGL458763:PGL458764 PQH458763:PQH458764 QAD458763:QAD458764 QJZ458763:QJZ458764 QTV458763:QTV458764 RDR458763:RDR458764 RNN458763:RNN458764 RXJ458763:RXJ458764 SHF458763:SHF458764 SRB458763:SRB458764 TAX458763:TAX458764 TKT458763:TKT458764 TUP458763:TUP458764 UEL458763:UEL458764 UOH458763:UOH458764 UYD458763:UYD458764 VHZ458763:VHZ458764 VRV458763:VRV458764 WBR458763:WBR458764 WLN458763:WLN458764 WVJ458763:WVJ458764 B524299:B524300 IX524299:IX524300 ST524299:ST524300 ACP524299:ACP524300 AML524299:AML524300 AWH524299:AWH524300 BGD524299:BGD524300 BPZ524299:BPZ524300 BZV524299:BZV524300 CJR524299:CJR524300 CTN524299:CTN524300 DDJ524299:DDJ524300 DNF524299:DNF524300 DXB524299:DXB524300 EGX524299:EGX524300 EQT524299:EQT524300 FAP524299:FAP524300 FKL524299:FKL524300 FUH524299:FUH524300 GED524299:GED524300 GNZ524299:GNZ524300 GXV524299:GXV524300 HHR524299:HHR524300 HRN524299:HRN524300 IBJ524299:IBJ524300 ILF524299:ILF524300 IVB524299:IVB524300 JEX524299:JEX524300 JOT524299:JOT524300 JYP524299:JYP524300 KIL524299:KIL524300 KSH524299:KSH524300 LCD524299:LCD524300 LLZ524299:LLZ524300 LVV524299:LVV524300 MFR524299:MFR524300 MPN524299:MPN524300 MZJ524299:MZJ524300 NJF524299:NJF524300 NTB524299:NTB524300 OCX524299:OCX524300 OMT524299:OMT524300 OWP524299:OWP524300 PGL524299:PGL524300 PQH524299:PQH524300 QAD524299:QAD524300 QJZ524299:QJZ524300 QTV524299:QTV524300 RDR524299:RDR524300 RNN524299:RNN524300 RXJ524299:RXJ524300 SHF524299:SHF524300 SRB524299:SRB524300 TAX524299:TAX524300 TKT524299:TKT524300 TUP524299:TUP524300 UEL524299:UEL524300 UOH524299:UOH524300 UYD524299:UYD524300 VHZ524299:VHZ524300 VRV524299:VRV524300 WBR524299:WBR524300 WLN524299:WLN524300 WVJ524299:WVJ524300 B589835:B589836 IX589835:IX589836 ST589835:ST589836 ACP589835:ACP589836 AML589835:AML589836 AWH589835:AWH589836 BGD589835:BGD589836 BPZ589835:BPZ589836 BZV589835:BZV589836 CJR589835:CJR589836 CTN589835:CTN589836 DDJ589835:DDJ589836 DNF589835:DNF589836 DXB589835:DXB589836 EGX589835:EGX589836 EQT589835:EQT589836 FAP589835:FAP589836 FKL589835:FKL589836 FUH589835:FUH589836 GED589835:GED589836 GNZ589835:GNZ589836 GXV589835:GXV589836 HHR589835:HHR589836 HRN589835:HRN589836 IBJ589835:IBJ589836 ILF589835:ILF589836 IVB589835:IVB589836 JEX589835:JEX589836 JOT589835:JOT589836 JYP589835:JYP589836 KIL589835:KIL589836 KSH589835:KSH589836 LCD589835:LCD589836 LLZ589835:LLZ589836 LVV589835:LVV589836 MFR589835:MFR589836 MPN589835:MPN589836 MZJ589835:MZJ589836 NJF589835:NJF589836 NTB589835:NTB589836 OCX589835:OCX589836 OMT589835:OMT589836 OWP589835:OWP589836 PGL589835:PGL589836 PQH589835:PQH589836 QAD589835:QAD589836 QJZ589835:QJZ589836 QTV589835:QTV589836 RDR589835:RDR589836 RNN589835:RNN589836 RXJ589835:RXJ589836 SHF589835:SHF589836 SRB589835:SRB589836 TAX589835:TAX589836 TKT589835:TKT589836 TUP589835:TUP589836 UEL589835:UEL589836 UOH589835:UOH589836 UYD589835:UYD589836 VHZ589835:VHZ589836 VRV589835:VRV589836 WBR589835:WBR589836 WLN589835:WLN589836 WVJ589835:WVJ589836 B655371:B655372 IX655371:IX655372 ST655371:ST655372 ACP655371:ACP655372 AML655371:AML655372 AWH655371:AWH655372 BGD655371:BGD655372 BPZ655371:BPZ655372 BZV655371:BZV655372 CJR655371:CJR655372 CTN655371:CTN655372 DDJ655371:DDJ655372 DNF655371:DNF655372 DXB655371:DXB655372 EGX655371:EGX655372 EQT655371:EQT655372 FAP655371:FAP655372 FKL655371:FKL655372 FUH655371:FUH655372 GED655371:GED655372 GNZ655371:GNZ655372 GXV655371:GXV655372 HHR655371:HHR655372 HRN655371:HRN655372 IBJ655371:IBJ655372 ILF655371:ILF655372 IVB655371:IVB655372 JEX655371:JEX655372 JOT655371:JOT655372 JYP655371:JYP655372 KIL655371:KIL655372 KSH655371:KSH655372 LCD655371:LCD655372 LLZ655371:LLZ655372 LVV655371:LVV655372 MFR655371:MFR655372 MPN655371:MPN655372 MZJ655371:MZJ655372 NJF655371:NJF655372 NTB655371:NTB655372 OCX655371:OCX655372 OMT655371:OMT655372 OWP655371:OWP655372 PGL655371:PGL655372 PQH655371:PQH655372 QAD655371:QAD655372 QJZ655371:QJZ655372 QTV655371:QTV655372 RDR655371:RDR655372 RNN655371:RNN655372 RXJ655371:RXJ655372 SHF655371:SHF655372 SRB655371:SRB655372 TAX655371:TAX655372 TKT655371:TKT655372 TUP655371:TUP655372 UEL655371:UEL655372 UOH655371:UOH655372 UYD655371:UYD655372 VHZ655371:VHZ655372 VRV655371:VRV655372 WBR655371:WBR655372 WLN655371:WLN655372 WVJ655371:WVJ655372 B720907:B720908 IX720907:IX720908 ST720907:ST720908 ACP720907:ACP720908 AML720907:AML720908 AWH720907:AWH720908 BGD720907:BGD720908 BPZ720907:BPZ720908 BZV720907:BZV720908 CJR720907:CJR720908 CTN720907:CTN720908 DDJ720907:DDJ720908 DNF720907:DNF720908 DXB720907:DXB720908 EGX720907:EGX720908 EQT720907:EQT720908 FAP720907:FAP720908 FKL720907:FKL720908 FUH720907:FUH720908 GED720907:GED720908 GNZ720907:GNZ720908 GXV720907:GXV720908 HHR720907:HHR720908 HRN720907:HRN720908 IBJ720907:IBJ720908 ILF720907:ILF720908 IVB720907:IVB720908 JEX720907:JEX720908 JOT720907:JOT720908 JYP720907:JYP720908 KIL720907:KIL720908 KSH720907:KSH720908 LCD720907:LCD720908 LLZ720907:LLZ720908 LVV720907:LVV720908 MFR720907:MFR720908 MPN720907:MPN720908 MZJ720907:MZJ720908 NJF720907:NJF720908 NTB720907:NTB720908 OCX720907:OCX720908 OMT720907:OMT720908 OWP720907:OWP720908 PGL720907:PGL720908 PQH720907:PQH720908 QAD720907:QAD720908 QJZ720907:QJZ720908 QTV720907:QTV720908 RDR720907:RDR720908 RNN720907:RNN720908 RXJ720907:RXJ720908 SHF720907:SHF720908 SRB720907:SRB720908 TAX720907:TAX720908 TKT720907:TKT720908 TUP720907:TUP720908 UEL720907:UEL720908 UOH720907:UOH720908 UYD720907:UYD720908 VHZ720907:VHZ720908 VRV720907:VRV720908 WBR720907:WBR720908 WLN720907:WLN720908 WVJ720907:WVJ720908 B786443:B786444 IX786443:IX786444 ST786443:ST786444 ACP786443:ACP786444 AML786443:AML786444 AWH786443:AWH786444 BGD786443:BGD786444 BPZ786443:BPZ786444 BZV786443:BZV786444 CJR786443:CJR786444 CTN786443:CTN786444 DDJ786443:DDJ786444 DNF786443:DNF786444 DXB786443:DXB786444 EGX786443:EGX786444 EQT786443:EQT786444 FAP786443:FAP786444 FKL786443:FKL786444 FUH786443:FUH786444 GED786443:GED786444 GNZ786443:GNZ786444 GXV786443:GXV786444 HHR786443:HHR786444 HRN786443:HRN786444 IBJ786443:IBJ786444 ILF786443:ILF786444 IVB786443:IVB786444 JEX786443:JEX786444 JOT786443:JOT786444 JYP786443:JYP786444 KIL786443:KIL786444 KSH786443:KSH786444 LCD786443:LCD786444 LLZ786443:LLZ786444 LVV786443:LVV786444 MFR786443:MFR786444 MPN786443:MPN786444 MZJ786443:MZJ786444 NJF786443:NJF786444 NTB786443:NTB786444 OCX786443:OCX786444 OMT786443:OMT786444 OWP786443:OWP786444 PGL786443:PGL786444 PQH786443:PQH786444 QAD786443:QAD786444 QJZ786443:QJZ786444 QTV786443:QTV786444 RDR786443:RDR786444 RNN786443:RNN786444 RXJ786443:RXJ786444 SHF786443:SHF786444 SRB786443:SRB786444 TAX786443:TAX786444 TKT786443:TKT786444 TUP786443:TUP786444 UEL786443:UEL786444 UOH786443:UOH786444 UYD786443:UYD786444 VHZ786443:VHZ786444 VRV786443:VRV786444 WBR786443:WBR786444 WLN786443:WLN786444 WVJ786443:WVJ786444 B851979:B851980 IX851979:IX851980 ST851979:ST851980 ACP851979:ACP851980 AML851979:AML851980 AWH851979:AWH851980 BGD851979:BGD851980 BPZ851979:BPZ851980 BZV851979:BZV851980 CJR851979:CJR851980 CTN851979:CTN851980 DDJ851979:DDJ851980 DNF851979:DNF851980 DXB851979:DXB851980 EGX851979:EGX851980 EQT851979:EQT851980 FAP851979:FAP851980 FKL851979:FKL851980 FUH851979:FUH851980 GED851979:GED851980 GNZ851979:GNZ851980 GXV851979:GXV851980 HHR851979:HHR851980 HRN851979:HRN851980 IBJ851979:IBJ851980 ILF851979:ILF851980 IVB851979:IVB851980 JEX851979:JEX851980 JOT851979:JOT851980 JYP851979:JYP851980 KIL851979:KIL851980 KSH851979:KSH851980 LCD851979:LCD851980 LLZ851979:LLZ851980 LVV851979:LVV851980 MFR851979:MFR851980 MPN851979:MPN851980 MZJ851979:MZJ851980 NJF851979:NJF851980 NTB851979:NTB851980 OCX851979:OCX851980 OMT851979:OMT851980 OWP851979:OWP851980 PGL851979:PGL851980 PQH851979:PQH851980 QAD851979:QAD851980 QJZ851979:QJZ851980 QTV851979:QTV851980 RDR851979:RDR851980 RNN851979:RNN851980 RXJ851979:RXJ851980 SHF851979:SHF851980 SRB851979:SRB851980 TAX851979:TAX851980 TKT851979:TKT851980 TUP851979:TUP851980 UEL851979:UEL851980 UOH851979:UOH851980 UYD851979:UYD851980 VHZ851979:VHZ851980 VRV851979:VRV851980 WBR851979:WBR851980 WLN851979:WLN851980 WVJ851979:WVJ851980 B917515:B917516 IX917515:IX917516 ST917515:ST917516 ACP917515:ACP917516 AML917515:AML917516 AWH917515:AWH917516 BGD917515:BGD917516 BPZ917515:BPZ917516 BZV917515:BZV917516 CJR917515:CJR917516 CTN917515:CTN917516 DDJ917515:DDJ917516 DNF917515:DNF917516 DXB917515:DXB917516 EGX917515:EGX917516 EQT917515:EQT917516 FAP917515:FAP917516 FKL917515:FKL917516 FUH917515:FUH917516 GED917515:GED917516 GNZ917515:GNZ917516 GXV917515:GXV917516 HHR917515:HHR917516 HRN917515:HRN917516 IBJ917515:IBJ917516 ILF917515:ILF917516 IVB917515:IVB917516 JEX917515:JEX917516 JOT917515:JOT917516 JYP917515:JYP917516 KIL917515:KIL917516 KSH917515:KSH917516 LCD917515:LCD917516 LLZ917515:LLZ917516 LVV917515:LVV917516 MFR917515:MFR917516 MPN917515:MPN917516 MZJ917515:MZJ917516 NJF917515:NJF917516 NTB917515:NTB917516 OCX917515:OCX917516 OMT917515:OMT917516 OWP917515:OWP917516 PGL917515:PGL917516 PQH917515:PQH917516 QAD917515:QAD917516 QJZ917515:QJZ917516 QTV917515:QTV917516 RDR917515:RDR917516 RNN917515:RNN917516 RXJ917515:RXJ917516 SHF917515:SHF917516 SRB917515:SRB917516 TAX917515:TAX917516 TKT917515:TKT917516 TUP917515:TUP917516 UEL917515:UEL917516 UOH917515:UOH917516 UYD917515:UYD917516 VHZ917515:VHZ917516 VRV917515:VRV917516 WBR917515:WBR917516 WLN917515:WLN917516 WVJ917515:WVJ917516 B983051:B983052 IX983051:IX983052 ST983051:ST983052 ACP983051:ACP983052 AML983051:AML983052 AWH983051:AWH983052 BGD983051:BGD983052 BPZ983051:BPZ983052 BZV983051:BZV983052 CJR983051:CJR983052 CTN983051:CTN983052 DDJ983051:DDJ983052 DNF983051:DNF983052 DXB983051:DXB983052 EGX983051:EGX983052 EQT983051:EQT983052 FAP983051:FAP983052 FKL983051:FKL983052 FUH983051:FUH983052 GED983051:GED983052 GNZ983051:GNZ983052 GXV983051:GXV983052 HHR983051:HHR983052 HRN983051:HRN983052 IBJ983051:IBJ983052 ILF983051:ILF983052 IVB983051:IVB983052 JEX983051:JEX983052 JOT983051:JOT983052 JYP983051:JYP983052 KIL983051:KIL983052 KSH983051:KSH983052 LCD983051:LCD983052 LLZ983051:LLZ983052 LVV983051:LVV983052 MFR983051:MFR983052 MPN983051:MPN983052 MZJ983051:MZJ983052 NJF983051:NJF983052 NTB983051:NTB983052 OCX983051:OCX983052 OMT983051:OMT983052 OWP983051:OWP983052 PGL983051:PGL983052 PQH983051:PQH983052 QAD983051:QAD983052 QJZ983051:QJZ983052 QTV983051:QTV983052 RDR983051:RDR983052 RNN983051:RNN983052 RXJ983051:RXJ983052 SHF983051:SHF983052 SRB983051:SRB983052 TAX983051:TAX983052 TKT983051:TKT983052 TUP983051:TUP983052 UEL983051:UEL983052 UOH983051:UOH983052 UYD983051:UYD983052 VHZ983051:VHZ983052 VRV983051:VRV983052 WBR983051:WBR983052 WLN983051:WLN983052 WVJ983051:WVJ983052">
      <formula1>0</formula1>
    </dataValidation>
    <dataValidation operator="greaterThan" allowBlank="1" showInputMessage="1" showErrorMessage="1" sqref="B10 IX10 ST10 ACP10 AML10 AWH10 BGD10 BPZ10 BZV10 CJR10 CTN10 DDJ10 DNF10 DXB10 EGX10 EQT10 FAP10 FKL10 FUH10 GED10 GNZ10 GXV10 HHR10 HRN10 IBJ10 ILF10 IVB10 JEX10 JOT10 JYP10 KIL10 KSH10 LCD10 LLZ10 LVV10 MFR10 MPN10 MZJ10 NJF10 NTB10 OCX10 OMT10 OWP10 PGL10 PQH10 QAD10 QJZ10 QTV10 RDR10 RNN10 RXJ10 SHF10 SRB10 TAX10 TKT10 TUP10 UEL10 UOH10 UYD10 VHZ10 VRV10 WBR10 WLN10 WVJ10 B65546 IX65546 ST65546 ACP65546 AML65546 AWH65546 BGD65546 BPZ65546 BZV65546 CJR65546 CTN65546 DDJ65546 DNF65546 DXB65546 EGX65546 EQT65546 FAP65546 FKL65546 FUH65546 GED65546 GNZ65546 GXV65546 HHR65546 HRN65546 IBJ65546 ILF65546 IVB65546 JEX65546 JOT65546 JYP65546 KIL65546 KSH65546 LCD65546 LLZ65546 LVV65546 MFR65546 MPN65546 MZJ65546 NJF65546 NTB65546 OCX65546 OMT65546 OWP65546 PGL65546 PQH65546 QAD65546 QJZ65546 QTV65546 RDR65546 RNN65546 RXJ65546 SHF65546 SRB65546 TAX65546 TKT65546 TUP65546 UEL65546 UOH65546 UYD65546 VHZ65546 VRV65546 WBR65546 WLN65546 WVJ65546 B131082 IX131082 ST131082 ACP131082 AML131082 AWH131082 BGD131082 BPZ131082 BZV131082 CJR131082 CTN131082 DDJ131082 DNF131082 DXB131082 EGX131082 EQT131082 FAP131082 FKL131082 FUH131082 GED131082 GNZ131082 GXV131082 HHR131082 HRN131082 IBJ131082 ILF131082 IVB131082 JEX131082 JOT131082 JYP131082 KIL131082 KSH131082 LCD131082 LLZ131082 LVV131082 MFR131082 MPN131082 MZJ131082 NJF131082 NTB131082 OCX131082 OMT131082 OWP131082 PGL131082 PQH131082 QAD131082 QJZ131082 QTV131082 RDR131082 RNN131082 RXJ131082 SHF131082 SRB131082 TAX131082 TKT131082 TUP131082 UEL131082 UOH131082 UYD131082 VHZ131082 VRV131082 WBR131082 WLN131082 WVJ131082 B196618 IX196618 ST196618 ACP196618 AML196618 AWH196618 BGD196618 BPZ196618 BZV196618 CJR196618 CTN196618 DDJ196618 DNF196618 DXB196618 EGX196618 EQT196618 FAP196618 FKL196618 FUH196618 GED196618 GNZ196618 GXV196618 HHR196618 HRN196618 IBJ196618 ILF196618 IVB196618 JEX196618 JOT196618 JYP196618 KIL196618 KSH196618 LCD196618 LLZ196618 LVV196618 MFR196618 MPN196618 MZJ196618 NJF196618 NTB196618 OCX196618 OMT196618 OWP196618 PGL196618 PQH196618 QAD196618 QJZ196618 QTV196618 RDR196618 RNN196618 RXJ196618 SHF196618 SRB196618 TAX196618 TKT196618 TUP196618 UEL196618 UOH196618 UYD196618 VHZ196618 VRV196618 WBR196618 WLN196618 WVJ196618 B262154 IX262154 ST262154 ACP262154 AML262154 AWH262154 BGD262154 BPZ262154 BZV262154 CJR262154 CTN262154 DDJ262154 DNF262154 DXB262154 EGX262154 EQT262154 FAP262154 FKL262154 FUH262154 GED262154 GNZ262154 GXV262154 HHR262154 HRN262154 IBJ262154 ILF262154 IVB262154 JEX262154 JOT262154 JYP262154 KIL262154 KSH262154 LCD262154 LLZ262154 LVV262154 MFR262154 MPN262154 MZJ262154 NJF262154 NTB262154 OCX262154 OMT262154 OWP262154 PGL262154 PQH262154 QAD262154 QJZ262154 QTV262154 RDR262154 RNN262154 RXJ262154 SHF262154 SRB262154 TAX262154 TKT262154 TUP262154 UEL262154 UOH262154 UYD262154 VHZ262154 VRV262154 WBR262154 WLN262154 WVJ262154 B327690 IX327690 ST327690 ACP327690 AML327690 AWH327690 BGD327690 BPZ327690 BZV327690 CJR327690 CTN327690 DDJ327690 DNF327690 DXB327690 EGX327690 EQT327690 FAP327690 FKL327690 FUH327690 GED327690 GNZ327690 GXV327690 HHR327690 HRN327690 IBJ327690 ILF327690 IVB327690 JEX327690 JOT327690 JYP327690 KIL327690 KSH327690 LCD327690 LLZ327690 LVV327690 MFR327690 MPN327690 MZJ327690 NJF327690 NTB327690 OCX327690 OMT327690 OWP327690 PGL327690 PQH327690 QAD327690 QJZ327690 QTV327690 RDR327690 RNN327690 RXJ327690 SHF327690 SRB327690 TAX327690 TKT327690 TUP327690 UEL327690 UOH327690 UYD327690 VHZ327690 VRV327690 WBR327690 WLN327690 WVJ327690 B393226 IX393226 ST393226 ACP393226 AML393226 AWH393226 BGD393226 BPZ393226 BZV393226 CJR393226 CTN393226 DDJ393226 DNF393226 DXB393226 EGX393226 EQT393226 FAP393226 FKL393226 FUH393226 GED393226 GNZ393226 GXV393226 HHR393226 HRN393226 IBJ393226 ILF393226 IVB393226 JEX393226 JOT393226 JYP393226 KIL393226 KSH393226 LCD393226 LLZ393226 LVV393226 MFR393226 MPN393226 MZJ393226 NJF393226 NTB393226 OCX393226 OMT393226 OWP393226 PGL393226 PQH393226 QAD393226 QJZ393226 QTV393226 RDR393226 RNN393226 RXJ393226 SHF393226 SRB393226 TAX393226 TKT393226 TUP393226 UEL393226 UOH393226 UYD393226 VHZ393226 VRV393226 WBR393226 WLN393226 WVJ393226 B458762 IX458762 ST458762 ACP458762 AML458762 AWH458762 BGD458762 BPZ458762 BZV458762 CJR458762 CTN458762 DDJ458762 DNF458762 DXB458762 EGX458762 EQT458762 FAP458762 FKL458762 FUH458762 GED458762 GNZ458762 GXV458762 HHR458762 HRN458762 IBJ458762 ILF458762 IVB458762 JEX458762 JOT458762 JYP458762 KIL458762 KSH458762 LCD458762 LLZ458762 LVV458762 MFR458762 MPN458762 MZJ458762 NJF458762 NTB458762 OCX458762 OMT458762 OWP458762 PGL458762 PQH458762 QAD458762 QJZ458762 QTV458762 RDR458762 RNN458762 RXJ458762 SHF458762 SRB458762 TAX458762 TKT458762 TUP458762 UEL458762 UOH458762 UYD458762 VHZ458762 VRV458762 WBR458762 WLN458762 WVJ458762 B524298 IX524298 ST524298 ACP524298 AML524298 AWH524298 BGD524298 BPZ524298 BZV524298 CJR524298 CTN524298 DDJ524298 DNF524298 DXB524298 EGX524298 EQT524298 FAP524298 FKL524298 FUH524298 GED524298 GNZ524298 GXV524298 HHR524298 HRN524298 IBJ524298 ILF524298 IVB524298 JEX524298 JOT524298 JYP524298 KIL524298 KSH524298 LCD524298 LLZ524298 LVV524298 MFR524298 MPN524298 MZJ524298 NJF524298 NTB524298 OCX524298 OMT524298 OWP524298 PGL524298 PQH524298 QAD524298 QJZ524298 QTV524298 RDR524298 RNN524298 RXJ524298 SHF524298 SRB524298 TAX524298 TKT524298 TUP524298 UEL524298 UOH524298 UYD524298 VHZ524298 VRV524298 WBR524298 WLN524298 WVJ524298 B589834 IX589834 ST589834 ACP589834 AML589834 AWH589834 BGD589834 BPZ589834 BZV589834 CJR589834 CTN589834 DDJ589834 DNF589834 DXB589834 EGX589834 EQT589834 FAP589834 FKL589834 FUH589834 GED589834 GNZ589834 GXV589834 HHR589834 HRN589834 IBJ589834 ILF589834 IVB589834 JEX589834 JOT589834 JYP589834 KIL589834 KSH589834 LCD589834 LLZ589834 LVV589834 MFR589834 MPN589834 MZJ589834 NJF589834 NTB589834 OCX589834 OMT589834 OWP589834 PGL589834 PQH589834 QAD589834 QJZ589834 QTV589834 RDR589834 RNN589834 RXJ589834 SHF589834 SRB589834 TAX589834 TKT589834 TUP589834 UEL589834 UOH589834 UYD589834 VHZ589834 VRV589834 WBR589834 WLN589834 WVJ589834 B655370 IX655370 ST655370 ACP655370 AML655370 AWH655370 BGD655370 BPZ655370 BZV655370 CJR655370 CTN655370 DDJ655370 DNF655370 DXB655370 EGX655370 EQT655370 FAP655370 FKL655370 FUH655370 GED655370 GNZ655370 GXV655370 HHR655370 HRN655370 IBJ655370 ILF655370 IVB655370 JEX655370 JOT655370 JYP655370 KIL655370 KSH655370 LCD655370 LLZ655370 LVV655370 MFR655370 MPN655370 MZJ655370 NJF655370 NTB655370 OCX655370 OMT655370 OWP655370 PGL655370 PQH655370 QAD655370 QJZ655370 QTV655370 RDR655370 RNN655370 RXJ655370 SHF655370 SRB655370 TAX655370 TKT655370 TUP655370 UEL655370 UOH655370 UYD655370 VHZ655370 VRV655370 WBR655370 WLN655370 WVJ655370 B720906 IX720906 ST720906 ACP720906 AML720906 AWH720906 BGD720906 BPZ720906 BZV720906 CJR720906 CTN720906 DDJ720906 DNF720906 DXB720906 EGX720906 EQT720906 FAP720906 FKL720906 FUH720906 GED720906 GNZ720906 GXV720906 HHR720906 HRN720906 IBJ720906 ILF720906 IVB720906 JEX720906 JOT720906 JYP720906 KIL720906 KSH720906 LCD720906 LLZ720906 LVV720906 MFR720906 MPN720906 MZJ720906 NJF720906 NTB720906 OCX720906 OMT720906 OWP720906 PGL720906 PQH720906 QAD720906 QJZ720906 QTV720906 RDR720906 RNN720906 RXJ720906 SHF720906 SRB720906 TAX720906 TKT720906 TUP720906 UEL720906 UOH720906 UYD720906 VHZ720906 VRV720906 WBR720906 WLN720906 WVJ720906 B786442 IX786442 ST786442 ACP786442 AML786442 AWH786442 BGD786442 BPZ786442 BZV786442 CJR786442 CTN786442 DDJ786442 DNF786442 DXB786442 EGX786442 EQT786442 FAP786442 FKL786442 FUH786442 GED786442 GNZ786442 GXV786442 HHR786442 HRN786442 IBJ786442 ILF786442 IVB786442 JEX786442 JOT786442 JYP786442 KIL786442 KSH786442 LCD786442 LLZ786442 LVV786442 MFR786442 MPN786442 MZJ786442 NJF786442 NTB786442 OCX786442 OMT786442 OWP786442 PGL786442 PQH786442 QAD786442 QJZ786442 QTV786442 RDR786442 RNN786442 RXJ786442 SHF786442 SRB786442 TAX786442 TKT786442 TUP786442 UEL786442 UOH786442 UYD786442 VHZ786442 VRV786442 WBR786442 WLN786442 WVJ786442 B851978 IX851978 ST851978 ACP851978 AML851978 AWH851978 BGD851978 BPZ851978 BZV851978 CJR851978 CTN851978 DDJ851978 DNF851978 DXB851978 EGX851978 EQT851978 FAP851978 FKL851978 FUH851978 GED851978 GNZ851978 GXV851978 HHR851978 HRN851978 IBJ851978 ILF851978 IVB851978 JEX851978 JOT851978 JYP851978 KIL851978 KSH851978 LCD851978 LLZ851978 LVV851978 MFR851978 MPN851978 MZJ851978 NJF851978 NTB851978 OCX851978 OMT851978 OWP851978 PGL851978 PQH851978 QAD851978 QJZ851978 QTV851978 RDR851978 RNN851978 RXJ851978 SHF851978 SRB851978 TAX851978 TKT851978 TUP851978 UEL851978 UOH851978 UYD851978 VHZ851978 VRV851978 WBR851978 WLN851978 WVJ851978 B917514 IX917514 ST917514 ACP917514 AML917514 AWH917514 BGD917514 BPZ917514 BZV917514 CJR917514 CTN917514 DDJ917514 DNF917514 DXB917514 EGX917514 EQT917514 FAP917514 FKL917514 FUH917514 GED917514 GNZ917514 GXV917514 HHR917514 HRN917514 IBJ917514 ILF917514 IVB917514 JEX917514 JOT917514 JYP917514 KIL917514 KSH917514 LCD917514 LLZ917514 LVV917514 MFR917514 MPN917514 MZJ917514 NJF917514 NTB917514 OCX917514 OMT917514 OWP917514 PGL917514 PQH917514 QAD917514 QJZ917514 QTV917514 RDR917514 RNN917514 RXJ917514 SHF917514 SRB917514 TAX917514 TKT917514 TUP917514 UEL917514 UOH917514 UYD917514 VHZ917514 VRV917514 WBR917514 WLN917514 WVJ917514 B983050 IX983050 ST983050 ACP983050 AML983050 AWH983050 BGD983050 BPZ983050 BZV983050 CJR983050 CTN983050 DDJ983050 DNF983050 DXB983050 EGX983050 EQT983050 FAP983050 FKL983050 FUH983050 GED983050 GNZ983050 GXV983050 HHR983050 HRN983050 IBJ983050 ILF983050 IVB983050 JEX983050 JOT983050 JYP983050 KIL983050 KSH983050 LCD983050 LLZ983050 LVV983050 MFR983050 MPN983050 MZJ983050 NJF983050 NTB983050 OCX983050 OMT983050 OWP983050 PGL983050 PQH983050 QAD983050 QJZ983050 QTV983050 RDR983050 RNN983050 RXJ983050 SHF983050 SRB983050 TAX983050 TKT983050 TUP983050 UEL983050 UOH983050 UYD983050 VHZ983050 VRV983050 WBR983050 WLN983050 WVJ983050"/>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B6 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B65542 IX65542 ST65542 ACP65542 AML65542 AWH65542 BGD65542 BPZ65542 BZV65542 CJR65542 CTN65542 DDJ65542 DNF65542 DXB65542 EGX65542 EQT65542 FAP65542 FKL65542 FUH65542 GED65542 GNZ65542 GXV65542 HHR65542 HRN65542 IBJ65542 ILF65542 IVB65542 JEX65542 JOT65542 JYP65542 KIL65542 KSH65542 LCD65542 LLZ65542 LVV65542 MFR65542 MPN65542 MZJ65542 NJF65542 NTB65542 OCX65542 OMT65542 OWP65542 PGL65542 PQH65542 QAD65542 QJZ65542 QTV65542 RDR65542 RNN65542 RXJ65542 SHF65542 SRB65542 TAX65542 TKT65542 TUP65542 UEL65542 UOH65542 UYD65542 VHZ65542 VRV65542 WBR65542 WLN65542 WVJ65542 B131078 IX131078 ST131078 ACP131078 AML131078 AWH131078 BGD131078 BPZ131078 BZV131078 CJR131078 CTN131078 DDJ131078 DNF131078 DXB131078 EGX131078 EQT131078 FAP131078 FKL131078 FUH131078 GED131078 GNZ131078 GXV131078 HHR131078 HRN131078 IBJ131078 ILF131078 IVB131078 JEX131078 JOT131078 JYP131078 KIL131078 KSH131078 LCD131078 LLZ131078 LVV131078 MFR131078 MPN131078 MZJ131078 NJF131078 NTB131078 OCX131078 OMT131078 OWP131078 PGL131078 PQH131078 QAD131078 QJZ131078 QTV131078 RDR131078 RNN131078 RXJ131078 SHF131078 SRB131078 TAX131078 TKT131078 TUP131078 UEL131078 UOH131078 UYD131078 VHZ131078 VRV131078 WBR131078 WLN131078 WVJ131078 B196614 IX196614 ST196614 ACP196614 AML196614 AWH196614 BGD196614 BPZ196614 BZV196614 CJR196614 CTN196614 DDJ196614 DNF196614 DXB196614 EGX196614 EQT196614 FAP196614 FKL196614 FUH196614 GED196614 GNZ196614 GXV196614 HHR196614 HRN196614 IBJ196614 ILF196614 IVB196614 JEX196614 JOT196614 JYP196614 KIL196614 KSH196614 LCD196614 LLZ196614 LVV196614 MFR196614 MPN196614 MZJ196614 NJF196614 NTB196614 OCX196614 OMT196614 OWP196614 PGL196614 PQH196614 QAD196614 QJZ196614 QTV196614 RDR196614 RNN196614 RXJ196614 SHF196614 SRB196614 TAX196614 TKT196614 TUP196614 UEL196614 UOH196614 UYD196614 VHZ196614 VRV196614 WBR196614 WLN196614 WVJ196614 B262150 IX262150 ST262150 ACP262150 AML262150 AWH262150 BGD262150 BPZ262150 BZV262150 CJR262150 CTN262150 DDJ262150 DNF262150 DXB262150 EGX262150 EQT262150 FAP262150 FKL262150 FUH262150 GED262150 GNZ262150 GXV262150 HHR262150 HRN262150 IBJ262150 ILF262150 IVB262150 JEX262150 JOT262150 JYP262150 KIL262150 KSH262150 LCD262150 LLZ262150 LVV262150 MFR262150 MPN262150 MZJ262150 NJF262150 NTB262150 OCX262150 OMT262150 OWP262150 PGL262150 PQH262150 QAD262150 QJZ262150 QTV262150 RDR262150 RNN262150 RXJ262150 SHF262150 SRB262150 TAX262150 TKT262150 TUP262150 UEL262150 UOH262150 UYD262150 VHZ262150 VRV262150 WBR262150 WLN262150 WVJ262150 B327686 IX327686 ST327686 ACP327686 AML327686 AWH327686 BGD327686 BPZ327686 BZV327686 CJR327686 CTN327686 DDJ327686 DNF327686 DXB327686 EGX327686 EQT327686 FAP327686 FKL327686 FUH327686 GED327686 GNZ327686 GXV327686 HHR327686 HRN327686 IBJ327686 ILF327686 IVB327686 JEX327686 JOT327686 JYP327686 KIL327686 KSH327686 LCD327686 LLZ327686 LVV327686 MFR327686 MPN327686 MZJ327686 NJF327686 NTB327686 OCX327686 OMT327686 OWP327686 PGL327686 PQH327686 QAD327686 QJZ327686 QTV327686 RDR327686 RNN327686 RXJ327686 SHF327686 SRB327686 TAX327686 TKT327686 TUP327686 UEL327686 UOH327686 UYD327686 VHZ327686 VRV327686 WBR327686 WLN327686 WVJ327686 B393222 IX393222 ST393222 ACP393222 AML393222 AWH393222 BGD393222 BPZ393222 BZV393222 CJR393222 CTN393222 DDJ393222 DNF393222 DXB393222 EGX393222 EQT393222 FAP393222 FKL393222 FUH393222 GED393222 GNZ393222 GXV393222 HHR393222 HRN393222 IBJ393222 ILF393222 IVB393222 JEX393222 JOT393222 JYP393222 KIL393222 KSH393222 LCD393222 LLZ393222 LVV393222 MFR393222 MPN393222 MZJ393222 NJF393222 NTB393222 OCX393222 OMT393222 OWP393222 PGL393222 PQH393222 QAD393222 QJZ393222 QTV393222 RDR393222 RNN393222 RXJ393222 SHF393222 SRB393222 TAX393222 TKT393222 TUP393222 UEL393222 UOH393222 UYD393222 VHZ393222 VRV393222 WBR393222 WLN393222 WVJ393222 B458758 IX458758 ST458758 ACP458758 AML458758 AWH458758 BGD458758 BPZ458758 BZV458758 CJR458758 CTN458758 DDJ458758 DNF458758 DXB458758 EGX458758 EQT458758 FAP458758 FKL458758 FUH458758 GED458758 GNZ458758 GXV458758 HHR458758 HRN458758 IBJ458758 ILF458758 IVB458758 JEX458758 JOT458758 JYP458758 KIL458758 KSH458758 LCD458758 LLZ458758 LVV458758 MFR458758 MPN458758 MZJ458758 NJF458758 NTB458758 OCX458758 OMT458758 OWP458758 PGL458758 PQH458758 QAD458758 QJZ458758 QTV458758 RDR458758 RNN458758 RXJ458758 SHF458758 SRB458758 TAX458758 TKT458758 TUP458758 UEL458758 UOH458758 UYD458758 VHZ458758 VRV458758 WBR458758 WLN458758 WVJ458758 B524294 IX524294 ST524294 ACP524294 AML524294 AWH524294 BGD524294 BPZ524294 BZV524294 CJR524294 CTN524294 DDJ524294 DNF524294 DXB524294 EGX524294 EQT524294 FAP524294 FKL524294 FUH524294 GED524294 GNZ524294 GXV524294 HHR524294 HRN524294 IBJ524294 ILF524294 IVB524294 JEX524294 JOT524294 JYP524294 KIL524294 KSH524294 LCD524294 LLZ524294 LVV524294 MFR524294 MPN524294 MZJ524294 NJF524294 NTB524294 OCX524294 OMT524294 OWP524294 PGL524294 PQH524294 QAD524294 QJZ524294 QTV524294 RDR524294 RNN524294 RXJ524294 SHF524294 SRB524294 TAX524294 TKT524294 TUP524294 UEL524294 UOH524294 UYD524294 VHZ524294 VRV524294 WBR524294 WLN524294 WVJ524294 B589830 IX589830 ST589830 ACP589830 AML589830 AWH589830 BGD589830 BPZ589830 BZV589830 CJR589830 CTN589830 DDJ589830 DNF589830 DXB589830 EGX589830 EQT589830 FAP589830 FKL589830 FUH589830 GED589830 GNZ589830 GXV589830 HHR589830 HRN589830 IBJ589830 ILF589830 IVB589830 JEX589830 JOT589830 JYP589830 KIL589830 KSH589830 LCD589830 LLZ589830 LVV589830 MFR589830 MPN589830 MZJ589830 NJF589830 NTB589830 OCX589830 OMT589830 OWP589830 PGL589830 PQH589830 QAD589830 QJZ589830 QTV589830 RDR589830 RNN589830 RXJ589830 SHF589830 SRB589830 TAX589830 TKT589830 TUP589830 UEL589830 UOH589830 UYD589830 VHZ589830 VRV589830 WBR589830 WLN589830 WVJ589830 B655366 IX655366 ST655366 ACP655366 AML655366 AWH655366 BGD655366 BPZ655366 BZV655366 CJR655366 CTN655366 DDJ655366 DNF655366 DXB655366 EGX655366 EQT655366 FAP655366 FKL655366 FUH655366 GED655366 GNZ655366 GXV655366 HHR655366 HRN655366 IBJ655366 ILF655366 IVB655366 JEX655366 JOT655366 JYP655366 KIL655366 KSH655366 LCD655366 LLZ655366 LVV655366 MFR655366 MPN655366 MZJ655366 NJF655366 NTB655366 OCX655366 OMT655366 OWP655366 PGL655366 PQH655366 QAD655366 QJZ655366 QTV655366 RDR655366 RNN655366 RXJ655366 SHF655366 SRB655366 TAX655366 TKT655366 TUP655366 UEL655366 UOH655366 UYD655366 VHZ655366 VRV655366 WBR655366 WLN655366 WVJ655366 B720902 IX720902 ST720902 ACP720902 AML720902 AWH720902 BGD720902 BPZ720902 BZV720902 CJR720902 CTN720902 DDJ720902 DNF720902 DXB720902 EGX720902 EQT720902 FAP720902 FKL720902 FUH720902 GED720902 GNZ720902 GXV720902 HHR720902 HRN720902 IBJ720902 ILF720902 IVB720902 JEX720902 JOT720902 JYP720902 KIL720902 KSH720902 LCD720902 LLZ720902 LVV720902 MFR720902 MPN720902 MZJ720902 NJF720902 NTB720902 OCX720902 OMT720902 OWP720902 PGL720902 PQH720902 QAD720902 QJZ720902 QTV720902 RDR720902 RNN720902 RXJ720902 SHF720902 SRB720902 TAX720902 TKT720902 TUP720902 UEL720902 UOH720902 UYD720902 VHZ720902 VRV720902 WBR720902 WLN720902 WVJ720902 B786438 IX786438 ST786438 ACP786438 AML786438 AWH786438 BGD786438 BPZ786438 BZV786438 CJR786438 CTN786438 DDJ786438 DNF786438 DXB786438 EGX786438 EQT786438 FAP786438 FKL786438 FUH786438 GED786438 GNZ786438 GXV786438 HHR786438 HRN786438 IBJ786438 ILF786438 IVB786438 JEX786438 JOT786438 JYP786438 KIL786438 KSH786438 LCD786438 LLZ786438 LVV786438 MFR786438 MPN786438 MZJ786438 NJF786438 NTB786438 OCX786438 OMT786438 OWP786438 PGL786438 PQH786438 QAD786438 QJZ786438 QTV786438 RDR786438 RNN786438 RXJ786438 SHF786438 SRB786438 TAX786438 TKT786438 TUP786438 UEL786438 UOH786438 UYD786438 VHZ786438 VRV786438 WBR786438 WLN786438 WVJ786438 B851974 IX851974 ST851974 ACP851974 AML851974 AWH851974 BGD851974 BPZ851974 BZV851974 CJR851974 CTN851974 DDJ851974 DNF851974 DXB851974 EGX851974 EQT851974 FAP851974 FKL851974 FUH851974 GED851974 GNZ851974 GXV851974 HHR851974 HRN851974 IBJ851974 ILF851974 IVB851974 JEX851974 JOT851974 JYP851974 KIL851974 KSH851974 LCD851974 LLZ851974 LVV851974 MFR851974 MPN851974 MZJ851974 NJF851974 NTB851974 OCX851974 OMT851974 OWP851974 PGL851974 PQH851974 QAD851974 QJZ851974 QTV851974 RDR851974 RNN851974 RXJ851974 SHF851974 SRB851974 TAX851974 TKT851974 TUP851974 UEL851974 UOH851974 UYD851974 VHZ851974 VRV851974 WBR851974 WLN851974 WVJ851974 B917510 IX917510 ST917510 ACP917510 AML917510 AWH917510 BGD917510 BPZ917510 BZV917510 CJR917510 CTN917510 DDJ917510 DNF917510 DXB917510 EGX917510 EQT917510 FAP917510 FKL917510 FUH917510 GED917510 GNZ917510 GXV917510 HHR917510 HRN917510 IBJ917510 ILF917510 IVB917510 JEX917510 JOT917510 JYP917510 KIL917510 KSH917510 LCD917510 LLZ917510 LVV917510 MFR917510 MPN917510 MZJ917510 NJF917510 NTB917510 OCX917510 OMT917510 OWP917510 PGL917510 PQH917510 QAD917510 QJZ917510 QTV917510 RDR917510 RNN917510 RXJ917510 SHF917510 SRB917510 TAX917510 TKT917510 TUP917510 UEL917510 UOH917510 UYD917510 VHZ917510 VRV917510 WBR917510 WLN917510 WVJ917510 B983046 IX983046 ST983046 ACP983046 AML983046 AWH983046 BGD983046 BPZ983046 BZV983046 CJR983046 CTN983046 DDJ983046 DNF983046 DXB983046 EGX983046 EQT983046 FAP983046 FKL983046 FUH983046 GED983046 GNZ983046 GXV983046 HHR983046 HRN983046 IBJ983046 ILF983046 IVB983046 JEX983046 JOT983046 JYP983046 KIL983046 KSH983046 LCD983046 LLZ983046 LVV983046 MFR983046 MPN983046 MZJ983046 NJF983046 NTB983046 OCX983046 OMT983046 OWP983046 PGL983046 PQH983046 QAD983046 QJZ983046 QTV983046 RDR983046 RNN983046 RXJ983046 SHF983046 SRB983046 TAX983046 TKT983046 TUP983046 UEL983046 UOH983046 UYD983046 VHZ983046 VRV983046 WBR983046 WLN983046 WVJ983046">
      <formula1>-1E+22</formula1>
      <formula2>1E+22</formula2>
    </dataValidation>
  </dataValidations>
  <pageMargins left="0.75" right="0.75" top="1" bottom="1" header="0.5" footer="0.5"/>
  <pageSetup paperSize="9" scale="80" orientation="portrait" r:id="rId1"/>
  <headerFooter alignWithMargins="0"/>
</worksheet>
</file>

<file path=xl/worksheets/sheet8.xml><?xml version="1.0" encoding="utf-8"?>
<worksheet xmlns="http://schemas.openxmlformats.org/spreadsheetml/2006/main" xmlns:r="http://schemas.openxmlformats.org/officeDocument/2006/relationships">
  <sheetPr codeName="Лист7"/>
  <dimension ref="A1:C18"/>
  <sheetViews>
    <sheetView workbookViewId="0"/>
  </sheetViews>
  <sheetFormatPr defaultColWidth="9" defaultRowHeight="12.75"/>
  <cols>
    <col min="1" max="1" width="87.85546875" style="14" customWidth="1"/>
    <col min="2" max="2" width="40" style="14" customWidth="1"/>
    <col min="3" max="3" width="11.7109375" style="14" customWidth="1"/>
    <col min="4" max="4" width="11.5703125" customWidth="1"/>
    <col min="5" max="5" width="13.85546875" customWidth="1"/>
  </cols>
  <sheetData>
    <row r="1" spans="1:2" ht="58.5" customHeight="1">
      <c r="B1" s="613" t="s">
        <v>2277</v>
      </c>
    </row>
    <row r="2" spans="1:2" ht="18" customHeight="1" thickBot="1">
      <c r="A2" s="35" t="s">
        <v>673</v>
      </c>
      <c r="B2" s="703" t="s">
        <v>2669</v>
      </c>
    </row>
    <row r="3" spans="1:2" ht="12.75" customHeight="1">
      <c r="A3" s="371" t="s">
        <v>379</v>
      </c>
      <c r="B3" s="284" t="s">
        <v>678</v>
      </c>
    </row>
    <row r="4" spans="1:2" ht="12.75" customHeight="1">
      <c r="A4" s="162" t="s">
        <v>924</v>
      </c>
      <c r="B4" s="14" t="s">
        <v>286</v>
      </c>
    </row>
    <row r="5" spans="1:2" ht="12.75" customHeight="1">
      <c r="A5" s="162" t="s">
        <v>923</v>
      </c>
      <c r="B5" s="271"/>
    </row>
    <row r="6" spans="1:2" ht="12.75" customHeight="1">
      <c r="A6" s="162" t="s">
        <v>1536</v>
      </c>
      <c r="B6" s="355">
        <f>SUM(B4:B5)</f>
        <v>0</v>
      </c>
    </row>
    <row r="7" spans="1:2" ht="12.75" customHeight="1">
      <c r="A7" s="162" t="s">
        <v>644</v>
      </c>
      <c r="B7" s="391" t="s">
        <v>1072</v>
      </c>
    </row>
    <row r="8" spans="1:2" ht="12.75" customHeight="1">
      <c r="A8" s="162" t="s">
        <v>645</v>
      </c>
      <c r="B8" s="474"/>
    </row>
    <row r="9" spans="1:2" ht="12.75" customHeight="1">
      <c r="A9" s="162" t="s">
        <v>1353</v>
      </c>
      <c r="B9" s="448"/>
    </row>
    <row r="10" spans="1:2" ht="12.75" customHeight="1">
      <c r="A10" s="162" t="s">
        <v>1354</v>
      </c>
      <c r="B10" s="285"/>
    </row>
    <row r="11" spans="1:2" ht="12.75" customHeight="1">
      <c r="A11" s="162" t="s">
        <v>1112</v>
      </c>
      <c r="B11" s="285"/>
    </row>
    <row r="12" spans="1:2" ht="12.75" customHeight="1">
      <c r="A12" s="162" t="s">
        <v>1474</v>
      </c>
      <c r="B12" s="414" t="e">
        <f>B13-B6-B7+B8+B9+B10+B11</f>
        <v>#VALUE!</v>
      </c>
    </row>
    <row r="13" spans="1:2" ht="12.75" customHeight="1" thickBot="1">
      <c r="A13" s="171" t="s">
        <v>494</v>
      </c>
      <c r="B13" s="14" t="s">
        <v>337</v>
      </c>
    </row>
    <row r="14" spans="1:2" ht="12.75" customHeight="1">
      <c r="A14" s="358"/>
    </row>
    <row r="15" spans="1:2" ht="12.75" customHeight="1">
      <c r="A15" s="24" t="s">
        <v>102</v>
      </c>
    </row>
    <row r="16" spans="1:2" ht="12.75" customHeight="1">
      <c r="A16" s="24" t="s">
        <v>1198</v>
      </c>
    </row>
    <row r="17" spans="2:3" ht="12.75" customHeight="1">
      <c r="B17" s="17"/>
      <c r="C17" s="14" t="s">
        <v>96</v>
      </c>
    </row>
    <row r="18" spans="2:3" ht="12.75" customHeight="1"/>
  </sheetData>
  <phoneticPr fontId="0" type="noConversion"/>
  <dataValidations disablePrompts="1" count="3">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formula1>-1E+22</formula1>
      <formula2>1E+22</formula2>
    </dataValidation>
    <dataValidation operator="greaterThan" allowBlank="1" showInputMessage="1" showErrorMessage="1" sqref="B9 IX9 ST9 ACP9 AML9 AWH9 BGD9 BPZ9 BZV9 CJR9 CTN9 DDJ9 DNF9 DXB9 EGX9 EQT9 FAP9 FKL9 FUH9 GED9 GNZ9 GXV9 HHR9 HRN9 IBJ9 ILF9 IVB9 JEX9 JOT9 JYP9 KIL9 KSH9 LCD9 LLZ9 LVV9 MFR9 MPN9 MZJ9 NJF9 NTB9 OCX9 OMT9 OWP9 PGL9 PQH9 QAD9 QJZ9 QTV9 RDR9 RNN9 RXJ9 SHF9 SRB9 TAX9 TKT9 TUP9 UEL9 UOH9 UYD9 VHZ9 VRV9 WBR9 WLN9 WVJ9 B65545 IX65545 ST65545 ACP65545 AML65545 AWH65545 BGD65545 BPZ65545 BZV65545 CJR65545 CTN65545 DDJ65545 DNF65545 DXB65545 EGX65545 EQT65545 FAP65545 FKL65545 FUH65545 GED65545 GNZ65545 GXV65545 HHR65545 HRN65545 IBJ65545 ILF65545 IVB65545 JEX65545 JOT65545 JYP65545 KIL65545 KSH65545 LCD65545 LLZ65545 LVV65545 MFR65545 MPN65545 MZJ65545 NJF65545 NTB65545 OCX65545 OMT65545 OWP65545 PGL65545 PQH65545 QAD65545 QJZ65545 QTV65545 RDR65545 RNN65545 RXJ65545 SHF65545 SRB65545 TAX65545 TKT65545 TUP65545 UEL65545 UOH65545 UYD65545 VHZ65545 VRV65545 WBR65545 WLN65545 WVJ65545 B131081 IX131081 ST131081 ACP131081 AML131081 AWH131081 BGD131081 BPZ131081 BZV131081 CJR131081 CTN131081 DDJ131081 DNF131081 DXB131081 EGX131081 EQT131081 FAP131081 FKL131081 FUH131081 GED131081 GNZ131081 GXV131081 HHR131081 HRN131081 IBJ131081 ILF131081 IVB131081 JEX131081 JOT131081 JYP131081 KIL131081 KSH131081 LCD131081 LLZ131081 LVV131081 MFR131081 MPN131081 MZJ131081 NJF131081 NTB131081 OCX131081 OMT131081 OWP131081 PGL131081 PQH131081 QAD131081 QJZ131081 QTV131081 RDR131081 RNN131081 RXJ131081 SHF131081 SRB131081 TAX131081 TKT131081 TUP131081 UEL131081 UOH131081 UYD131081 VHZ131081 VRV131081 WBR131081 WLN131081 WVJ131081 B196617 IX196617 ST196617 ACP196617 AML196617 AWH196617 BGD196617 BPZ196617 BZV196617 CJR196617 CTN196617 DDJ196617 DNF196617 DXB196617 EGX196617 EQT196617 FAP196617 FKL196617 FUH196617 GED196617 GNZ196617 GXV196617 HHR196617 HRN196617 IBJ196617 ILF196617 IVB196617 JEX196617 JOT196617 JYP196617 KIL196617 KSH196617 LCD196617 LLZ196617 LVV196617 MFR196617 MPN196617 MZJ196617 NJF196617 NTB196617 OCX196617 OMT196617 OWP196617 PGL196617 PQH196617 QAD196617 QJZ196617 QTV196617 RDR196617 RNN196617 RXJ196617 SHF196617 SRB196617 TAX196617 TKT196617 TUP196617 UEL196617 UOH196617 UYD196617 VHZ196617 VRV196617 WBR196617 WLN196617 WVJ196617 B262153 IX262153 ST262153 ACP262153 AML262153 AWH262153 BGD262153 BPZ262153 BZV262153 CJR262153 CTN262153 DDJ262153 DNF262153 DXB262153 EGX262153 EQT262153 FAP262153 FKL262153 FUH262153 GED262153 GNZ262153 GXV262153 HHR262153 HRN262153 IBJ262153 ILF262153 IVB262153 JEX262153 JOT262153 JYP262153 KIL262153 KSH262153 LCD262153 LLZ262153 LVV262153 MFR262153 MPN262153 MZJ262153 NJF262153 NTB262153 OCX262153 OMT262153 OWP262153 PGL262153 PQH262153 QAD262153 QJZ262153 QTV262153 RDR262153 RNN262153 RXJ262153 SHF262153 SRB262153 TAX262153 TKT262153 TUP262153 UEL262153 UOH262153 UYD262153 VHZ262153 VRV262153 WBR262153 WLN262153 WVJ262153 B327689 IX327689 ST327689 ACP327689 AML327689 AWH327689 BGD327689 BPZ327689 BZV327689 CJR327689 CTN327689 DDJ327689 DNF327689 DXB327689 EGX327689 EQT327689 FAP327689 FKL327689 FUH327689 GED327689 GNZ327689 GXV327689 HHR327689 HRN327689 IBJ327689 ILF327689 IVB327689 JEX327689 JOT327689 JYP327689 KIL327689 KSH327689 LCD327689 LLZ327689 LVV327689 MFR327689 MPN327689 MZJ327689 NJF327689 NTB327689 OCX327689 OMT327689 OWP327689 PGL327689 PQH327689 QAD327689 QJZ327689 QTV327689 RDR327689 RNN327689 RXJ327689 SHF327689 SRB327689 TAX327689 TKT327689 TUP327689 UEL327689 UOH327689 UYD327689 VHZ327689 VRV327689 WBR327689 WLN327689 WVJ327689 B393225 IX393225 ST393225 ACP393225 AML393225 AWH393225 BGD393225 BPZ393225 BZV393225 CJR393225 CTN393225 DDJ393225 DNF393225 DXB393225 EGX393225 EQT393225 FAP393225 FKL393225 FUH393225 GED393225 GNZ393225 GXV393225 HHR393225 HRN393225 IBJ393225 ILF393225 IVB393225 JEX393225 JOT393225 JYP393225 KIL393225 KSH393225 LCD393225 LLZ393225 LVV393225 MFR393225 MPN393225 MZJ393225 NJF393225 NTB393225 OCX393225 OMT393225 OWP393225 PGL393225 PQH393225 QAD393225 QJZ393225 QTV393225 RDR393225 RNN393225 RXJ393225 SHF393225 SRB393225 TAX393225 TKT393225 TUP393225 UEL393225 UOH393225 UYD393225 VHZ393225 VRV393225 WBR393225 WLN393225 WVJ393225 B458761 IX458761 ST458761 ACP458761 AML458761 AWH458761 BGD458761 BPZ458761 BZV458761 CJR458761 CTN458761 DDJ458761 DNF458761 DXB458761 EGX458761 EQT458761 FAP458761 FKL458761 FUH458761 GED458761 GNZ458761 GXV458761 HHR458761 HRN458761 IBJ458761 ILF458761 IVB458761 JEX458761 JOT458761 JYP458761 KIL458761 KSH458761 LCD458761 LLZ458761 LVV458761 MFR458761 MPN458761 MZJ458761 NJF458761 NTB458761 OCX458761 OMT458761 OWP458761 PGL458761 PQH458761 QAD458761 QJZ458761 QTV458761 RDR458761 RNN458761 RXJ458761 SHF458761 SRB458761 TAX458761 TKT458761 TUP458761 UEL458761 UOH458761 UYD458761 VHZ458761 VRV458761 WBR458761 WLN458761 WVJ458761 B524297 IX524297 ST524297 ACP524297 AML524297 AWH524297 BGD524297 BPZ524297 BZV524297 CJR524297 CTN524297 DDJ524297 DNF524297 DXB524297 EGX524297 EQT524297 FAP524297 FKL524297 FUH524297 GED524297 GNZ524297 GXV524297 HHR524297 HRN524297 IBJ524297 ILF524297 IVB524297 JEX524297 JOT524297 JYP524297 KIL524297 KSH524297 LCD524297 LLZ524297 LVV524297 MFR524297 MPN524297 MZJ524297 NJF524297 NTB524297 OCX524297 OMT524297 OWP524297 PGL524297 PQH524297 QAD524297 QJZ524297 QTV524297 RDR524297 RNN524297 RXJ524297 SHF524297 SRB524297 TAX524297 TKT524297 TUP524297 UEL524297 UOH524297 UYD524297 VHZ524297 VRV524297 WBR524297 WLN524297 WVJ524297 B589833 IX589833 ST589833 ACP589833 AML589833 AWH589833 BGD589833 BPZ589833 BZV589833 CJR589833 CTN589833 DDJ589833 DNF589833 DXB589833 EGX589833 EQT589833 FAP589833 FKL589833 FUH589833 GED589833 GNZ589833 GXV589833 HHR589833 HRN589833 IBJ589833 ILF589833 IVB589833 JEX589833 JOT589833 JYP589833 KIL589833 KSH589833 LCD589833 LLZ589833 LVV589833 MFR589833 MPN589833 MZJ589833 NJF589833 NTB589833 OCX589833 OMT589833 OWP589833 PGL589833 PQH589833 QAD589833 QJZ589833 QTV589833 RDR589833 RNN589833 RXJ589833 SHF589833 SRB589833 TAX589833 TKT589833 TUP589833 UEL589833 UOH589833 UYD589833 VHZ589833 VRV589833 WBR589833 WLN589833 WVJ589833 B655369 IX655369 ST655369 ACP655369 AML655369 AWH655369 BGD655369 BPZ655369 BZV655369 CJR655369 CTN655369 DDJ655369 DNF655369 DXB655369 EGX655369 EQT655369 FAP655369 FKL655369 FUH655369 GED655369 GNZ655369 GXV655369 HHR655369 HRN655369 IBJ655369 ILF655369 IVB655369 JEX655369 JOT655369 JYP655369 KIL655369 KSH655369 LCD655369 LLZ655369 LVV655369 MFR655369 MPN655369 MZJ655369 NJF655369 NTB655369 OCX655369 OMT655369 OWP655369 PGL655369 PQH655369 QAD655369 QJZ655369 QTV655369 RDR655369 RNN655369 RXJ655369 SHF655369 SRB655369 TAX655369 TKT655369 TUP655369 UEL655369 UOH655369 UYD655369 VHZ655369 VRV655369 WBR655369 WLN655369 WVJ655369 B720905 IX720905 ST720905 ACP720905 AML720905 AWH720905 BGD720905 BPZ720905 BZV720905 CJR720905 CTN720905 DDJ720905 DNF720905 DXB720905 EGX720905 EQT720905 FAP720905 FKL720905 FUH720905 GED720905 GNZ720905 GXV720905 HHR720905 HRN720905 IBJ720905 ILF720905 IVB720905 JEX720905 JOT720905 JYP720905 KIL720905 KSH720905 LCD720905 LLZ720905 LVV720905 MFR720905 MPN720905 MZJ720905 NJF720905 NTB720905 OCX720905 OMT720905 OWP720905 PGL720905 PQH720905 QAD720905 QJZ720905 QTV720905 RDR720905 RNN720905 RXJ720905 SHF720905 SRB720905 TAX720905 TKT720905 TUP720905 UEL720905 UOH720905 UYD720905 VHZ720905 VRV720905 WBR720905 WLN720905 WVJ720905 B786441 IX786441 ST786441 ACP786441 AML786441 AWH786441 BGD786441 BPZ786441 BZV786441 CJR786441 CTN786441 DDJ786441 DNF786441 DXB786441 EGX786441 EQT786441 FAP786441 FKL786441 FUH786441 GED786441 GNZ786441 GXV786441 HHR786441 HRN786441 IBJ786441 ILF786441 IVB786441 JEX786441 JOT786441 JYP786441 KIL786441 KSH786441 LCD786441 LLZ786441 LVV786441 MFR786441 MPN786441 MZJ786441 NJF786441 NTB786441 OCX786441 OMT786441 OWP786441 PGL786441 PQH786441 QAD786441 QJZ786441 QTV786441 RDR786441 RNN786441 RXJ786441 SHF786441 SRB786441 TAX786441 TKT786441 TUP786441 UEL786441 UOH786441 UYD786441 VHZ786441 VRV786441 WBR786441 WLN786441 WVJ786441 B851977 IX851977 ST851977 ACP851977 AML851977 AWH851977 BGD851977 BPZ851977 BZV851977 CJR851977 CTN851977 DDJ851977 DNF851977 DXB851977 EGX851977 EQT851977 FAP851977 FKL851977 FUH851977 GED851977 GNZ851977 GXV851977 HHR851977 HRN851977 IBJ851977 ILF851977 IVB851977 JEX851977 JOT851977 JYP851977 KIL851977 KSH851977 LCD851977 LLZ851977 LVV851977 MFR851977 MPN851977 MZJ851977 NJF851977 NTB851977 OCX851977 OMT851977 OWP851977 PGL851977 PQH851977 QAD851977 QJZ851977 QTV851977 RDR851977 RNN851977 RXJ851977 SHF851977 SRB851977 TAX851977 TKT851977 TUP851977 UEL851977 UOH851977 UYD851977 VHZ851977 VRV851977 WBR851977 WLN851977 WVJ851977 B917513 IX917513 ST917513 ACP917513 AML917513 AWH917513 BGD917513 BPZ917513 BZV917513 CJR917513 CTN917513 DDJ917513 DNF917513 DXB917513 EGX917513 EQT917513 FAP917513 FKL917513 FUH917513 GED917513 GNZ917513 GXV917513 HHR917513 HRN917513 IBJ917513 ILF917513 IVB917513 JEX917513 JOT917513 JYP917513 KIL917513 KSH917513 LCD917513 LLZ917513 LVV917513 MFR917513 MPN917513 MZJ917513 NJF917513 NTB917513 OCX917513 OMT917513 OWP917513 PGL917513 PQH917513 QAD917513 QJZ917513 QTV917513 RDR917513 RNN917513 RXJ917513 SHF917513 SRB917513 TAX917513 TKT917513 TUP917513 UEL917513 UOH917513 UYD917513 VHZ917513 VRV917513 WBR917513 WLN917513 WVJ917513 B983049 IX983049 ST983049 ACP983049 AML983049 AWH983049 BGD983049 BPZ983049 BZV983049 CJR983049 CTN983049 DDJ983049 DNF983049 DXB983049 EGX983049 EQT983049 FAP983049 FKL983049 FUH983049 GED983049 GNZ983049 GXV983049 HHR983049 HRN983049 IBJ983049 ILF983049 IVB983049 JEX983049 JOT983049 JYP983049 KIL983049 KSH983049 LCD983049 LLZ983049 LVV983049 MFR983049 MPN983049 MZJ983049 NJF983049 NTB983049 OCX983049 OMT983049 OWP983049 PGL983049 PQH983049 QAD983049 QJZ983049 QTV983049 RDR983049 RNN983049 RXJ983049 SHF983049 SRB983049 TAX983049 TKT983049 TUP983049 UEL983049 UOH983049 UYD983049 VHZ983049 VRV983049 WBR983049 WLN983049 WVJ983049"/>
    <dataValidation type="whole" operator="greaterThanOrEqual" allowBlank="1" showInputMessage="1" showErrorMessage="1" prompt="Ввести как положительное число или 0." sqref="B10:B11 IX10:IX11 ST10:ST11 ACP10:ACP11 AML10:AML11 AWH10:AWH11 BGD10:BGD11 BPZ10:BPZ11 BZV10:BZV11 CJR10:CJR11 CTN10:CTN11 DDJ10:DDJ11 DNF10:DNF11 DXB10:DXB11 EGX10:EGX11 EQT10:EQT11 FAP10:FAP11 FKL10:FKL11 FUH10:FUH11 GED10:GED11 GNZ10:GNZ11 GXV10:GXV11 HHR10:HHR11 HRN10:HRN11 IBJ10:IBJ11 ILF10:ILF11 IVB10:IVB11 JEX10:JEX11 JOT10:JOT11 JYP10:JYP11 KIL10:KIL11 KSH10:KSH11 LCD10:LCD11 LLZ10:LLZ11 LVV10:LVV11 MFR10:MFR11 MPN10:MPN11 MZJ10:MZJ11 NJF10:NJF11 NTB10:NTB11 OCX10:OCX11 OMT10:OMT11 OWP10:OWP11 PGL10:PGL11 PQH10:PQH11 QAD10:QAD11 QJZ10:QJZ11 QTV10:QTV11 RDR10:RDR11 RNN10:RNN11 RXJ10:RXJ11 SHF10:SHF11 SRB10:SRB11 TAX10:TAX11 TKT10:TKT11 TUP10:TUP11 UEL10:UEL11 UOH10:UOH11 UYD10:UYD11 VHZ10:VHZ11 VRV10:VRV11 WBR10:WBR11 WLN10:WLN11 WVJ10:WVJ11 B65546:B65547 IX65546:IX65547 ST65546:ST65547 ACP65546:ACP65547 AML65546:AML65547 AWH65546:AWH65547 BGD65546:BGD65547 BPZ65546:BPZ65547 BZV65546:BZV65547 CJR65546:CJR65547 CTN65546:CTN65547 DDJ65546:DDJ65547 DNF65546:DNF65547 DXB65546:DXB65547 EGX65546:EGX65547 EQT65546:EQT65547 FAP65546:FAP65547 FKL65546:FKL65547 FUH65546:FUH65547 GED65546:GED65547 GNZ65546:GNZ65547 GXV65546:GXV65547 HHR65546:HHR65547 HRN65546:HRN65547 IBJ65546:IBJ65547 ILF65546:ILF65547 IVB65546:IVB65547 JEX65546:JEX65547 JOT65546:JOT65547 JYP65546:JYP65547 KIL65546:KIL65547 KSH65546:KSH65547 LCD65546:LCD65547 LLZ65546:LLZ65547 LVV65546:LVV65547 MFR65546:MFR65547 MPN65546:MPN65547 MZJ65546:MZJ65547 NJF65546:NJF65547 NTB65546:NTB65547 OCX65546:OCX65547 OMT65546:OMT65547 OWP65546:OWP65547 PGL65546:PGL65547 PQH65546:PQH65547 QAD65546:QAD65547 QJZ65546:QJZ65547 QTV65546:QTV65547 RDR65546:RDR65547 RNN65546:RNN65547 RXJ65546:RXJ65547 SHF65546:SHF65547 SRB65546:SRB65547 TAX65546:TAX65547 TKT65546:TKT65547 TUP65546:TUP65547 UEL65546:UEL65547 UOH65546:UOH65547 UYD65546:UYD65547 VHZ65546:VHZ65547 VRV65546:VRV65547 WBR65546:WBR65547 WLN65546:WLN65547 WVJ65546:WVJ65547 B131082:B131083 IX131082:IX131083 ST131082:ST131083 ACP131082:ACP131083 AML131082:AML131083 AWH131082:AWH131083 BGD131082:BGD131083 BPZ131082:BPZ131083 BZV131082:BZV131083 CJR131082:CJR131083 CTN131082:CTN131083 DDJ131082:DDJ131083 DNF131082:DNF131083 DXB131082:DXB131083 EGX131082:EGX131083 EQT131082:EQT131083 FAP131082:FAP131083 FKL131082:FKL131083 FUH131082:FUH131083 GED131082:GED131083 GNZ131082:GNZ131083 GXV131082:GXV131083 HHR131082:HHR131083 HRN131082:HRN131083 IBJ131082:IBJ131083 ILF131082:ILF131083 IVB131082:IVB131083 JEX131082:JEX131083 JOT131082:JOT131083 JYP131082:JYP131083 KIL131082:KIL131083 KSH131082:KSH131083 LCD131082:LCD131083 LLZ131082:LLZ131083 LVV131082:LVV131083 MFR131082:MFR131083 MPN131082:MPN131083 MZJ131082:MZJ131083 NJF131082:NJF131083 NTB131082:NTB131083 OCX131082:OCX131083 OMT131082:OMT131083 OWP131082:OWP131083 PGL131082:PGL131083 PQH131082:PQH131083 QAD131082:QAD131083 QJZ131082:QJZ131083 QTV131082:QTV131083 RDR131082:RDR131083 RNN131082:RNN131083 RXJ131082:RXJ131083 SHF131082:SHF131083 SRB131082:SRB131083 TAX131082:TAX131083 TKT131082:TKT131083 TUP131082:TUP131083 UEL131082:UEL131083 UOH131082:UOH131083 UYD131082:UYD131083 VHZ131082:VHZ131083 VRV131082:VRV131083 WBR131082:WBR131083 WLN131082:WLN131083 WVJ131082:WVJ131083 B196618:B196619 IX196618:IX196619 ST196618:ST196619 ACP196618:ACP196619 AML196618:AML196619 AWH196618:AWH196619 BGD196618:BGD196619 BPZ196618:BPZ196619 BZV196618:BZV196619 CJR196618:CJR196619 CTN196618:CTN196619 DDJ196618:DDJ196619 DNF196618:DNF196619 DXB196618:DXB196619 EGX196618:EGX196619 EQT196618:EQT196619 FAP196618:FAP196619 FKL196618:FKL196619 FUH196618:FUH196619 GED196618:GED196619 GNZ196618:GNZ196619 GXV196618:GXV196619 HHR196618:HHR196619 HRN196618:HRN196619 IBJ196618:IBJ196619 ILF196618:ILF196619 IVB196618:IVB196619 JEX196618:JEX196619 JOT196618:JOT196619 JYP196618:JYP196619 KIL196618:KIL196619 KSH196618:KSH196619 LCD196618:LCD196619 LLZ196618:LLZ196619 LVV196618:LVV196619 MFR196618:MFR196619 MPN196618:MPN196619 MZJ196618:MZJ196619 NJF196618:NJF196619 NTB196618:NTB196619 OCX196618:OCX196619 OMT196618:OMT196619 OWP196618:OWP196619 PGL196618:PGL196619 PQH196618:PQH196619 QAD196618:QAD196619 QJZ196618:QJZ196619 QTV196618:QTV196619 RDR196618:RDR196619 RNN196618:RNN196619 RXJ196618:RXJ196619 SHF196618:SHF196619 SRB196618:SRB196619 TAX196618:TAX196619 TKT196618:TKT196619 TUP196618:TUP196619 UEL196618:UEL196619 UOH196618:UOH196619 UYD196618:UYD196619 VHZ196618:VHZ196619 VRV196618:VRV196619 WBR196618:WBR196619 WLN196618:WLN196619 WVJ196618:WVJ196619 B262154:B262155 IX262154:IX262155 ST262154:ST262155 ACP262154:ACP262155 AML262154:AML262155 AWH262154:AWH262155 BGD262154:BGD262155 BPZ262154:BPZ262155 BZV262154:BZV262155 CJR262154:CJR262155 CTN262154:CTN262155 DDJ262154:DDJ262155 DNF262154:DNF262155 DXB262154:DXB262155 EGX262154:EGX262155 EQT262154:EQT262155 FAP262154:FAP262155 FKL262154:FKL262155 FUH262154:FUH262155 GED262154:GED262155 GNZ262154:GNZ262155 GXV262154:GXV262155 HHR262154:HHR262155 HRN262154:HRN262155 IBJ262154:IBJ262155 ILF262154:ILF262155 IVB262154:IVB262155 JEX262154:JEX262155 JOT262154:JOT262155 JYP262154:JYP262155 KIL262154:KIL262155 KSH262154:KSH262155 LCD262154:LCD262155 LLZ262154:LLZ262155 LVV262154:LVV262155 MFR262154:MFR262155 MPN262154:MPN262155 MZJ262154:MZJ262155 NJF262154:NJF262155 NTB262154:NTB262155 OCX262154:OCX262155 OMT262154:OMT262155 OWP262154:OWP262155 PGL262154:PGL262155 PQH262154:PQH262155 QAD262154:QAD262155 QJZ262154:QJZ262155 QTV262154:QTV262155 RDR262154:RDR262155 RNN262154:RNN262155 RXJ262154:RXJ262155 SHF262154:SHF262155 SRB262154:SRB262155 TAX262154:TAX262155 TKT262154:TKT262155 TUP262154:TUP262155 UEL262154:UEL262155 UOH262154:UOH262155 UYD262154:UYD262155 VHZ262154:VHZ262155 VRV262154:VRV262155 WBR262154:WBR262155 WLN262154:WLN262155 WVJ262154:WVJ262155 B327690:B327691 IX327690:IX327691 ST327690:ST327691 ACP327690:ACP327691 AML327690:AML327691 AWH327690:AWH327691 BGD327690:BGD327691 BPZ327690:BPZ327691 BZV327690:BZV327691 CJR327690:CJR327691 CTN327690:CTN327691 DDJ327690:DDJ327691 DNF327690:DNF327691 DXB327690:DXB327691 EGX327690:EGX327691 EQT327690:EQT327691 FAP327690:FAP327691 FKL327690:FKL327691 FUH327690:FUH327691 GED327690:GED327691 GNZ327690:GNZ327691 GXV327690:GXV327691 HHR327690:HHR327691 HRN327690:HRN327691 IBJ327690:IBJ327691 ILF327690:ILF327691 IVB327690:IVB327691 JEX327690:JEX327691 JOT327690:JOT327691 JYP327690:JYP327691 KIL327690:KIL327691 KSH327690:KSH327691 LCD327690:LCD327691 LLZ327690:LLZ327691 LVV327690:LVV327691 MFR327690:MFR327691 MPN327690:MPN327691 MZJ327690:MZJ327691 NJF327690:NJF327691 NTB327690:NTB327691 OCX327690:OCX327691 OMT327690:OMT327691 OWP327690:OWP327691 PGL327690:PGL327691 PQH327690:PQH327691 QAD327690:QAD327691 QJZ327690:QJZ327691 QTV327690:QTV327691 RDR327690:RDR327691 RNN327690:RNN327691 RXJ327690:RXJ327691 SHF327690:SHF327691 SRB327690:SRB327691 TAX327690:TAX327691 TKT327690:TKT327691 TUP327690:TUP327691 UEL327690:UEL327691 UOH327690:UOH327691 UYD327690:UYD327691 VHZ327690:VHZ327691 VRV327690:VRV327691 WBR327690:WBR327691 WLN327690:WLN327691 WVJ327690:WVJ327691 B393226:B393227 IX393226:IX393227 ST393226:ST393227 ACP393226:ACP393227 AML393226:AML393227 AWH393226:AWH393227 BGD393226:BGD393227 BPZ393226:BPZ393227 BZV393226:BZV393227 CJR393226:CJR393227 CTN393226:CTN393227 DDJ393226:DDJ393227 DNF393226:DNF393227 DXB393226:DXB393227 EGX393226:EGX393227 EQT393226:EQT393227 FAP393226:FAP393227 FKL393226:FKL393227 FUH393226:FUH393227 GED393226:GED393227 GNZ393226:GNZ393227 GXV393226:GXV393227 HHR393226:HHR393227 HRN393226:HRN393227 IBJ393226:IBJ393227 ILF393226:ILF393227 IVB393226:IVB393227 JEX393226:JEX393227 JOT393226:JOT393227 JYP393226:JYP393227 KIL393226:KIL393227 KSH393226:KSH393227 LCD393226:LCD393227 LLZ393226:LLZ393227 LVV393226:LVV393227 MFR393226:MFR393227 MPN393226:MPN393227 MZJ393226:MZJ393227 NJF393226:NJF393227 NTB393226:NTB393227 OCX393226:OCX393227 OMT393226:OMT393227 OWP393226:OWP393227 PGL393226:PGL393227 PQH393226:PQH393227 QAD393226:QAD393227 QJZ393226:QJZ393227 QTV393226:QTV393227 RDR393226:RDR393227 RNN393226:RNN393227 RXJ393226:RXJ393227 SHF393226:SHF393227 SRB393226:SRB393227 TAX393226:TAX393227 TKT393226:TKT393227 TUP393226:TUP393227 UEL393226:UEL393227 UOH393226:UOH393227 UYD393226:UYD393227 VHZ393226:VHZ393227 VRV393226:VRV393227 WBR393226:WBR393227 WLN393226:WLN393227 WVJ393226:WVJ393227 B458762:B458763 IX458762:IX458763 ST458762:ST458763 ACP458762:ACP458763 AML458762:AML458763 AWH458762:AWH458763 BGD458762:BGD458763 BPZ458762:BPZ458763 BZV458762:BZV458763 CJR458762:CJR458763 CTN458762:CTN458763 DDJ458762:DDJ458763 DNF458762:DNF458763 DXB458762:DXB458763 EGX458762:EGX458763 EQT458762:EQT458763 FAP458762:FAP458763 FKL458762:FKL458763 FUH458762:FUH458763 GED458762:GED458763 GNZ458762:GNZ458763 GXV458762:GXV458763 HHR458762:HHR458763 HRN458762:HRN458763 IBJ458762:IBJ458763 ILF458762:ILF458763 IVB458762:IVB458763 JEX458762:JEX458763 JOT458762:JOT458763 JYP458762:JYP458763 KIL458762:KIL458763 KSH458762:KSH458763 LCD458762:LCD458763 LLZ458762:LLZ458763 LVV458762:LVV458763 MFR458762:MFR458763 MPN458762:MPN458763 MZJ458762:MZJ458763 NJF458762:NJF458763 NTB458762:NTB458763 OCX458762:OCX458763 OMT458762:OMT458763 OWP458762:OWP458763 PGL458762:PGL458763 PQH458762:PQH458763 QAD458762:QAD458763 QJZ458762:QJZ458763 QTV458762:QTV458763 RDR458762:RDR458763 RNN458762:RNN458763 RXJ458762:RXJ458763 SHF458762:SHF458763 SRB458762:SRB458763 TAX458762:TAX458763 TKT458762:TKT458763 TUP458762:TUP458763 UEL458762:UEL458763 UOH458762:UOH458763 UYD458762:UYD458763 VHZ458762:VHZ458763 VRV458762:VRV458763 WBR458762:WBR458763 WLN458762:WLN458763 WVJ458762:WVJ458763 B524298:B524299 IX524298:IX524299 ST524298:ST524299 ACP524298:ACP524299 AML524298:AML524299 AWH524298:AWH524299 BGD524298:BGD524299 BPZ524298:BPZ524299 BZV524298:BZV524299 CJR524298:CJR524299 CTN524298:CTN524299 DDJ524298:DDJ524299 DNF524298:DNF524299 DXB524298:DXB524299 EGX524298:EGX524299 EQT524298:EQT524299 FAP524298:FAP524299 FKL524298:FKL524299 FUH524298:FUH524299 GED524298:GED524299 GNZ524298:GNZ524299 GXV524298:GXV524299 HHR524298:HHR524299 HRN524298:HRN524299 IBJ524298:IBJ524299 ILF524298:ILF524299 IVB524298:IVB524299 JEX524298:JEX524299 JOT524298:JOT524299 JYP524298:JYP524299 KIL524298:KIL524299 KSH524298:KSH524299 LCD524298:LCD524299 LLZ524298:LLZ524299 LVV524298:LVV524299 MFR524298:MFR524299 MPN524298:MPN524299 MZJ524298:MZJ524299 NJF524298:NJF524299 NTB524298:NTB524299 OCX524298:OCX524299 OMT524298:OMT524299 OWP524298:OWP524299 PGL524298:PGL524299 PQH524298:PQH524299 QAD524298:QAD524299 QJZ524298:QJZ524299 QTV524298:QTV524299 RDR524298:RDR524299 RNN524298:RNN524299 RXJ524298:RXJ524299 SHF524298:SHF524299 SRB524298:SRB524299 TAX524298:TAX524299 TKT524298:TKT524299 TUP524298:TUP524299 UEL524298:UEL524299 UOH524298:UOH524299 UYD524298:UYD524299 VHZ524298:VHZ524299 VRV524298:VRV524299 WBR524298:WBR524299 WLN524298:WLN524299 WVJ524298:WVJ524299 B589834:B589835 IX589834:IX589835 ST589834:ST589835 ACP589834:ACP589835 AML589834:AML589835 AWH589834:AWH589835 BGD589834:BGD589835 BPZ589834:BPZ589835 BZV589834:BZV589835 CJR589834:CJR589835 CTN589834:CTN589835 DDJ589834:DDJ589835 DNF589834:DNF589835 DXB589834:DXB589835 EGX589834:EGX589835 EQT589834:EQT589835 FAP589834:FAP589835 FKL589834:FKL589835 FUH589834:FUH589835 GED589834:GED589835 GNZ589834:GNZ589835 GXV589834:GXV589835 HHR589834:HHR589835 HRN589834:HRN589835 IBJ589834:IBJ589835 ILF589834:ILF589835 IVB589834:IVB589835 JEX589834:JEX589835 JOT589834:JOT589835 JYP589834:JYP589835 KIL589834:KIL589835 KSH589834:KSH589835 LCD589834:LCD589835 LLZ589834:LLZ589835 LVV589834:LVV589835 MFR589834:MFR589835 MPN589834:MPN589835 MZJ589834:MZJ589835 NJF589834:NJF589835 NTB589834:NTB589835 OCX589834:OCX589835 OMT589834:OMT589835 OWP589834:OWP589835 PGL589834:PGL589835 PQH589834:PQH589835 QAD589834:QAD589835 QJZ589834:QJZ589835 QTV589834:QTV589835 RDR589834:RDR589835 RNN589834:RNN589835 RXJ589834:RXJ589835 SHF589834:SHF589835 SRB589834:SRB589835 TAX589834:TAX589835 TKT589834:TKT589835 TUP589834:TUP589835 UEL589834:UEL589835 UOH589834:UOH589835 UYD589834:UYD589835 VHZ589834:VHZ589835 VRV589834:VRV589835 WBR589834:WBR589835 WLN589834:WLN589835 WVJ589834:WVJ589835 B655370:B655371 IX655370:IX655371 ST655370:ST655371 ACP655370:ACP655371 AML655370:AML655371 AWH655370:AWH655371 BGD655370:BGD655371 BPZ655370:BPZ655371 BZV655370:BZV655371 CJR655370:CJR655371 CTN655370:CTN655371 DDJ655370:DDJ655371 DNF655370:DNF655371 DXB655370:DXB655371 EGX655370:EGX655371 EQT655370:EQT655371 FAP655370:FAP655371 FKL655370:FKL655371 FUH655370:FUH655371 GED655370:GED655371 GNZ655370:GNZ655371 GXV655370:GXV655371 HHR655370:HHR655371 HRN655370:HRN655371 IBJ655370:IBJ655371 ILF655370:ILF655371 IVB655370:IVB655371 JEX655370:JEX655371 JOT655370:JOT655371 JYP655370:JYP655371 KIL655370:KIL655371 KSH655370:KSH655371 LCD655370:LCD655371 LLZ655370:LLZ655371 LVV655370:LVV655371 MFR655370:MFR655371 MPN655370:MPN655371 MZJ655370:MZJ655371 NJF655370:NJF655371 NTB655370:NTB655371 OCX655370:OCX655371 OMT655370:OMT655371 OWP655370:OWP655371 PGL655370:PGL655371 PQH655370:PQH655371 QAD655370:QAD655371 QJZ655370:QJZ655371 QTV655370:QTV655371 RDR655370:RDR655371 RNN655370:RNN655371 RXJ655370:RXJ655371 SHF655370:SHF655371 SRB655370:SRB655371 TAX655370:TAX655371 TKT655370:TKT655371 TUP655370:TUP655371 UEL655370:UEL655371 UOH655370:UOH655371 UYD655370:UYD655371 VHZ655370:VHZ655371 VRV655370:VRV655371 WBR655370:WBR655371 WLN655370:WLN655371 WVJ655370:WVJ655371 B720906:B720907 IX720906:IX720907 ST720906:ST720907 ACP720906:ACP720907 AML720906:AML720907 AWH720906:AWH720907 BGD720906:BGD720907 BPZ720906:BPZ720907 BZV720906:BZV720907 CJR720906:CJR720907 CTN720906:CTN720907 DDJ720906:DDJ720907 DNF720906:DNF720907 DXB720906:DXB720907 EGX720906:EGX720907 EQT720906:EQT720907 FAP720906:FAP720907 FKL720906:FKL720907 FUH720906:FUH720907 GED720906:GED720907 GNZ720906:GNZ720907 GXV720906:GXV720907 HHR720906:HHR720907 HRN720906:HRN720907 IBJ720906:IBJ720907 ILF720906:ILF720907 IVB720906:IVB720907 JEX720906:JEX720907 JOT720906:JOT720907 JYP720906:JYP720907 KIL720906:KIL720907 KSH720906:KSH720907 LCD720906:LCD720907 LLZ720906:LLZ720907 LVV720906:LVV720907 MFR720906:MFR720907 MPN720906:MPN720907 MZJ720906:MZJ720907 NJF720906:NJF720907 NTB720906:NTB720907 OCX720906:OCX720907 OMT720906:OMT720907 OWP720906:OWP720907 PGL720906:PGL720907 PQH720906:PQH720907 QAD720906:QAD720907 QJZ720906:QJZ720907 QTV720906:QTV720907 RDR720906:RDR720907 RNN720906:RNN720907 RXJ720906:RXJ720907 SHF720906:SHF720907 SRB720906:SRB720907 TAX720906:TAX720907 TKT720906:TKT720907 TUP720906:TUP720907 UEL720906:UEL720907 UOH720906:UOH720907 UYD720906:UYD720907 VHZ720906:VHZ720907 VRV720906:VRV720907 WBR720906:WBR720907 WLN720906:WLN720907 WVJ720906:WVJ720907 B786442:B786443 IX786442:IX786443 ST786442:ST786443 ACP786442:ACP786443 AML786442:AML786443 AWH786442:AWH786443 BGD786442:BGD786443 BPZ786442:BPZ786443 BZV786442:BZV786443 CJR786442:CJR786443 CTN786442:CTN786443 DDJ786442:DDJ786443 DNF786442:DNF786443 DXB786442:DXB786443 EGX786442:EGX786443 EQT786442:EQT786443 FAP786442:FAP786443 FKL786442:FKL786443 FUH786442:FUH786443 GED786442:GED786443 GNZ786442:GNZ786443 GXV786442:GXV786443 HHR786442:HHR786443 HRN786442:HRN786443 IBJ786442:IBJ786443 ILF786442:ILF786443 IVB786442:IVB786443 JEX786442:JEX786443 JOT786442:JOT786443 JYP786442:JYP786443 KIL786442:KIL786443 KSH786442:KSH786443 LCD786442:LCD786443 LLZ786442:LLZ786443 LVV786442:LVV786443 MFR786442:MFR786443 MPN786442:MPN786443 MZJ786442:MZJ786443 NJF786442:NJF786443 NTB786442:NTB786443 OCX786442:OCX786443 OMT786442:OMT786443 OWP786442:OWP786443 PGL786442:PGL786443 PQH786442:PQH786443 QAD786442:QAD786443 QJZ786442:QJZ786443 QTV786442:QTV786443 RDR786442:RDR786443 RNN786442:RNN786443 RXJ786442:RXJ786443 SHF786442:SHF786443 SRB786442:SRB786443 TAX786442:TAX786443 TKT786442:TKT786443 TUP786442:TUP786443 UEL786442:UEL786443 UOH786442:UOH786443 UYD786442:UYD786443 VHZ786442:VHZ786443 VRV786442:VRV786443 WBR786442:WBR786443 WLN786442:WLN786443 WVJ786442:WVJ786443 B851978:B851979 IX851978:IX851979 ST851978:ST851979 ACP851978:ACP851979 AML851978:AML851979 AWH851978:AWH851979 BGD851978:BGD851979 BPZ851978:BPZ851979 BZV851978:BZV851979 CJR851978:CJR851979 CTN851978:CTN851979 DDJ851978:DDJ851979 DNF851978:DNF851979 DXB851978:DXB851979 EGX851978:EGX851979 EQT851978:EQT851979 FAP851978:FAP851979 FKL851978:FKL851979 FUH851978:FUH851979 GED851978:GED851979 GNZ851978:GNZ851979 GXV851978:GXV851979 HHR851978:HHR851979 HRN851978:HRN851979 IBJ851978:IBJ851979 ILF851978:ILF851979 IVB851978:IVB851979 JEX851978:JEX851979 JOT851978:JOT851979 JYP851978:JYP851979 KIL851978:KIL851979 KSH851978:KSH851979 LCD851978:LCD851979 LLZ851978:LLZ851979 LVV851978:LVV851979 MFR851978:MFR851979 MPN851978:MPN851979 MZJ851978:MZJ851979 NJF851978:NJF851979 NTB851978:NTB851979 OCX851978:OCX851979 OMT851978:OMT851979 OWP851978:OWP851979 PGL851978:PGL851979 PQH851978:PQH851979 QAD851978:QAD851979 QJZ851978:QJZ851979 QTV851978:QTV851979 RDR851978:RDR851979 RNN851978:RNN851979 RXJ851978:RXJ851979 SHF851978:SHF851979 SRB851978:SRB851979 TAX851978:TAX851979 TKT851978:TKT851979 TUP851978:TUP851979 UEL851978:UEL851979 UOH851978:UOH851979 UYD851978:UYD851979 VHZ851978:VHZ851979 VRV851978:VRV851979 WBR851978:WBR851979 WLN851978:WLN851979 WVJ851978:WVJ851979 B917514:B917515 IX917514:IX917515 ST917514:ST917515 ACP917514:ACP917515 AML917514:AML917515 AWH917514:AWH917515 BGD917514:BGD917515 BPZ917514:BPZ917515 BZV917514:BZV917515 CJR917514:CJR917515 CTN917514:CTN917515 DDJ917514:DDJ917515 DNF917514:DNF917515 DXB917514:DXB917515 EGX917514:EGX917515 EQT917514:EQT917515 FAP917514:FAP917515 FKL917514:FKL917515 FUH917514:FUH917515 GED917514:GED917515 GNZ917514:GNZ917515 GXV917514:GXV917515 HHR917514:HHR917515 HRN917514:HRN917515 IBJ917514:IBJ917515 ILF917514:ILF917515 IVB917514:IVB917515 JEX917514:JEX917515 JOT917514:JOT917515 JYP917514:JYP917515 KIL917514:KIL917515 KSH917514:KSH917515 LCD917514:LCD917515 LLZ917514:LLZ917515 LVV917514:LVV917515 MFR917514:MFR917515 MPN917514:MPN917515 MZJ917514:MZJ917515 NJF917514:NJF917515 NTB917514:NTB917515 OCX917514:OCX917515 OMT917514:OMT917515 OWP917514:OWP917515 PGL917514:PGL917515 PQH917514:PQH917515 QAD917514:QAD917515 QJZ917514:QJZ917515 QTV917514:QTV917515 RDR917514:RDR917515 RNN917514:RNN917515 RXJ917514:RXJ917515 SHF917514:SHF917515 SRB917514:SRB917515 TAX917514:TAX917515 TKT917514:TKT917515 TUP917514:TUP917515 UEL917514:UEL917515 UOH917514:UOH917515 UYD917514:UYD917515 VHZ917514:VHZ917515 VRV917514:VRV917515 WBR917514:WBR917515 WLN917514:WLN917515 WVJ917514:WVJ917515 B983050:B983051 IX983050:IX983051 ST983050:ST983051 ACP983050:ACP983051 AML983050:AML983051 AWH983050:AWH983051 BGD983050:BGD983051 BPZ983050:BPZ983051 BZV983050:BZV983051 CJR983050:CJR983051 CTN983050:CTN983051 DDJ983050:DDJ983051 DNF983050:DNF983051 DXB983050:DXB983051 EGX983050:EGX983051 EQT983050:EQT983051 FAP983050:FAP983051 FKL983050:FKL983051 FUH983050:FUH983051 GED983050:GED983051 GNZ983050:GNZ983051 GXV983050:GXV983051 HHR983050:HHR983051 HRN983050:HRN983051 IBJ983050:IBJ983051 ILF983050:ILF983051 IVB983050:IVB983051 JEX983050:JEX983051 JOT983050:JOT983051 JYP983050:JYP983051 KIL983050:KIL983051 KSH983050:KSH983051 LCD983050:LCD983051 LLZ983050:LLZ983051 LVV983050:LVV983051 MFR983050:MFR983051 MPN983050:MPN983051 MZJ983050:MZJ983051 NJF983050:NJF983051 NTB983050:NTB983051 OCX983050:OCX983051 OMT983050:OMT983051 OWP983050:OWP983051 PGL983050:PGL983051 PQH983050:PQH983051 QAD983050:QAD983051 QJZ983050:QJZ983051 QTV983050:QTV983051 RDR983050:RDR983051 RNN983050:RNN983051 RXJ983050:RXJ983051 SHF983050:SHF983051 SRB983050:SRB983051 TAX983050:TAX983051 TKT983050:TKT983051 TUP983050:TUP983051 UEL983050:UEL983051 UOH983050:UOH983051 UYD983050:UYD983051 VHZ983050:VHZ983051 VRV983050:VRV983051 WBR983050:WBR983051 WLN983050:WLN983051 WVJ983050:WVJ983051">
      <formula1>0</formula1>
    </dataValidation>
  </dataValidations>
  <pageMargins left="0.27" right="0.26" top="1" bottom="1" header="0.5" footer="0.5"/>
  <pageSetup paperSize="9" scale="88" orientation="portrait" r:id="rId1"/>
  <headerFooter alignWithMargins="0"/>
</worksheet>
</file>

<file path=xl/worksheets/sheet9.xml><?xml version="1.0" encoding="utf-8"?>
<worksheet xmlns="http://schemas.openxmlformats.org/spreadsheetml/2006/main" xmlns:r="http://schemas.openxmlformats.org/officeDocument/2006/relationships">
  <sheetPr codeName="Лист8"/>
  <dimension ref="A1:AU313"/>
  <sheetViews>
    <sheetView workbookViewId="0">
      <pane xSplit="2" ySplit="6" topLeftCell="C18" activePane="bottomRight" state="frozen"/>
      <selection pane="topRight" activeCell="C1" sqref="C1"/>
      <selection pane="bottomLeft" activeCell="A6" sqref="A6"/>
      <selection pane="bottomRight" activeCell="D9" sqref="D9"/>
    </sheetView>
  </sheetViews>
  <sheetFormatPr defaultRowHeight="12.75"/>
  <cols>
    <col min="1" max="1" width="7" style="14" customWidth="1"/>
    <col min="2" max="2" width="46.28515625" style="14" customWidth="1"/>
    <col min="3" max="3" width="16.7109375" style="14" customWidth="1"/>
    <col min="4" max="4" width="21" style="14" customWidth="1"/>
    <col min="5" max="5" width="17.85546875" style="14" customWidth="1"/>
    <col min="6" max="6" width="35.140625" style="14" customWidth="1"/>
    <col min="7" max="7" width="36.85546875" style="14" customWidth="1"/>
    <col min="8" max="13" width="12" style="14" customWidth="1"/>
    <col min="14" max="14" width="8.7109375" style="14" customWidth="1"/>
    <col min="15" max="15" width="12" style="14" customWidth="1"/>
    <col min="16" max="16" width="7.85546875" style="14" customWidth="1"/>
    <col min="17" max="17" width="8.7109375" style="14" customWidth="1"/>
    <col min="18" max="22" width="12" style="14" customWidth="1"/>
    <col min="23" max="23" width="9.140625" style="14"/>
    <col min="24" max="24" width="16.140625" style="14" customWidth="1"/>
    <col min="25" max="25" width="9.140625" style="71"/>
    <col min="26" max="46" width="9.140625" style="14"/>
    <col min="47" max="47" width="14.140625" style="473" customWidth="1"/>
    <col min="48" max="16384" width="9.140625" style="14"/>
  </cols>
  <sheetData>
    <row r="1" spans="1:47" ht="85.5" customHeight="1">
      <c r="D1" s="934"/>
      <c r="R1" s="984" t="s">
        <v>2277</v>
      </c>
      <c r="S1" s="984"/>
      <c r="T1" s="984"/>
      <c r="U1" s="984"/>
    </row>
    <row r="2" spans="1:47" s="639" customFormat="1" ht="18.75" thickBot="1">
      <c r="A2" s="636" t="s">
        <v>2585</v>
      </c>
      <c r="B2" s="637"/>
      <c r="C2" s="637"/>
      <c r="D2" s="637"/>
      <c r="E2" s="637"/>
      <c r="F2" s="638"/>
      <c r="G2" s="637"/>
      <c r="H2" s="637"/>
      <c r="I2" s="637"/>
      <c r="J2" s="637"/>
      <c r="K2" s="637"/>
      <c r="L2" s="637"/>
      <c r="M2" s="637"/>
      <c r="N2" s="637"/>
      <c r="O2" s="637"/>
      <c r="P2" s="637"/>
      <c r="Q2" s="637"/>
      <c r="R2" s="636" t="s">
        <v>2586</v>
      </c>
      <c r="S2" s="637"/>
      <c r="T2" s="637"/>
    </row>
    <row r="3" spans="1:47" ht="15.75">
      <c r="A3" s="73"/>
      <c r="B3" s="704" t="s">
        <v>379</v>
      </c>
      <c r="C3" s="74"/>
      <c r="D3" s="75"/>
      <c r="E3" s="75"/>
      <c r="F3" s="75"/>
      <c r="G3" s="76"/>
      <c r="H3" s="76"/>
      <c r="I3" s="354"/>
      <c r="J3" s="77"/>
      <c r="K3" s="599"/>
      <c r="L3" s="77"/>
      <c r="M3" s="77"/>
      <c r="N3" s="77"/>
      <c r="O3" s="77"/>
      <c r="P3" s="77"/>
      <c r="Q3" s="77"/>
      <c r="R3" s="77"/>
      <c r="S3" s="77"/>
      <c r="T3" s="77"/>
      <c r="U3" s="77"/>
      <c r="V3" s="76"/>
      <c r="X3" s="14" t="s">
        <v>99</v>
      </c>
      <c r="AU3" s="464"/>
    </row>
    <row r="4" spans="1:47" ht="13.5" thickBot="1">
      <c r="A4" s="78"/>
      <c r="B4" s="705"/>
      <c r="C4" s="79"/>
      <c r="D4" s="80"/>
      <c r="E4" s="80"/>
      <c r="F4" s="608"/>
      <c r="G4" s="81"/>
      <c r="H4" s="82"/>
      <c r="I4" s="616"/>
      <c r="J4" s="617"/>
      <c r="K4" s="617"/>
      <c r="L4" s="617"/>
      <c r="M4" s="617"/>
      <c r="N4" s="617"/>
      <c r="O4" s="617"/>
      <c r="P4" s="617"/>
      <c r="Q4" s="617"/>
      <c r="R4" s="617"/>
      <c r="S4" s="617"/>
      <c r="T4" s="617"/>
      <c r="U4" s="617"/>
      <c r="V4" s="618"/>
      <c r="AU4" s="465"/>
    </row>
    <row r="5" spans="1:47">
      <c r="A5" s="83"/>
      <c r="B5" s="84"/>
      <c r="C5" s="85" t="s">
        <v>613</v>
      </c>
      <c r="D5" s="86" t="s">
        <v>639</v>
      </c>
      <c r="E5" s="86"/>
      <c r="F5" s="86"/>
      <c r="G5" s="87" t="s">
        <v>1666</v>
      </c>
      <c r="H5" s="88"/>
      <c r="I5" s="89"/>
      <c r="J5" s="89"/>
      <c r="K5" s="615" t="s">
        <v>495</v>
      </c>
      <c r="L5" s="89"/>
      <c r="M5" s="89"/>
      <c r="N5" s="89"/>
      <c r="O5" s="89"/>
      <c r="P5" s="89"/>
      <c r="Q5" s="89"/>
      <c r="R5" s="89"/>
      <c r="S5" s="89"/>
      <c r="T5" s="89"/>
      <c r="U5" s="89"/>
      <c r="V5" s="90"/>
      <c r="AU5" s="466" t="s">
        <v>1666</v>
      </c>
    </row>
    <row r="6" spans="1:47" ht="72.75" customHeight="1" thickBot="1">
      <c r="A6" s="91"/>
      <c r="B6" s="92" t="s">
        <v>52</v>
      </c>
      <c r="C6" s="93" t="s">
        <v>2344</v>
      </c>
      <c r="D6" s="94" t="s">
        <v>2345</v>
      </c>
      <c r="E6" s="94" t="s">
        <v>295</v>
      </c>
      <c r="F6" s="94" t="s">
        <v>105</v>
      </c>
      <c r="G6" s="95" t="s">
        <v>2346</v>
      </c>
      <c r="H6" s="96" t="s">
        <v>296</v>
      </c>
      <c r="I6" s="97" t="s">
        <v>297</v>
      </c>
      <c r="J6" s="99" t="s">
        <v>982</v>
      </c>
      <c r="K6" s="98" t="s">
        <v>2343</v>
      </c>
      <c r="L6" s="98" t="s">
        <v>1129</v>
      </c>
      <c r="M6" s="98" t="s">
        <v>1215</v>
      </c>
      <c r="N6" s="98" t="s">
        <v>1216</v>
      </c>
      <c r="O6" s="98" t="s">
        <v>1146</v>
      </c>
      <c r="P6" s="98" t="s">
        <v>1375</v>
      </c>
      <c r="Q6" s="98" t="s">
        <v>290</v>
      </c>
      <c r="R6" s="98" t="s">
        <v>291</v>
      </c>
      <c r="S6" s="98" t="s">
        <v>2347</v>
      </c>
      <c r="T6" s="99" t="s">
        <v>2496</v>
      </c>
      <c r="U6" s="99" t="s">
        <v>1430</v>
      </c>
      <c r="V6" s="100" t="s">
        <v>750</v>
      </c>
      <c r="X6" s="101"/>
      <c r="Y6" s="455"/>
      <c r="AU6" s="467" t="s">
        <v>2346</v>
      </c>
    </row>
    <row r="7" spans="1:47" s="761" customFormat="1">
      <c r="A7" s="632" t="s">
        <v>751</v>
      </c>
      <c r="B7" s="633" t="s">
        <v>330</v>
      </c>
      <c r="C7" s="633" t="s">
        <v>2186</v>
      </c>
      <c r="D7" s="634" t="s">
        <v>2187</v>
      </c>
      <c r="E7" s="634"/>
      <c r="F7" s="634"/>
      <c r="G7" s="633" t="s">
        <v>2188</v>
      </c>
      <c r="H7" s="634" t="s">
        <v>2189</v>
      </c>
      <c r="I7" s="634" t="s">
        <v>459</v>
      </c>
      <c r="J7" s="634" t="s">
        <v>460</v>
      </c>
      <c r="K7" s="633" t="s">
        <v>2573</v>
      </c>
      <c r="L7" s="634" t="s">
        <v>2574</v>
      </c>
      <c r="M7" s="634" t="s">
        <v>2575</v>
      </c>
      <c r="N7" s="634" t="s">
        <v>2576</v>
      </c>
      <c r="O7" s="634" t="s">
        <v>2577</v>
      </c>
      <c r="P7" s="634" t="s">
        <v>2578</v>
      </c>
      <c r="Q7" s="634" t="s">
        <v>2579</v>
      </c>
      <c r="R7" s="634" t="s">
        <v>2580</v>
      </c>
      <c r="S7" s="634" t="s">
        <v>2581</v>
      </c>
      <c r="T7" s="634" t="s">
        <v>2582</v>
      </c>
      <c r="U7" s="634" t="s">
        <v>2583</v>
      </c>
      <c r="V7" s="635" t="s">
        <v>2584</v>
      </c>
    </row>
    <row r="8" spans="1:47">
      <c r="A8" s="286"/>
      <c r="B8" s="102" t="s">
        <v>81</v>
      </c>
      <c r="C8" s="103"/>
      <c r="D8" s="104"/>
      <c r="E8" s="104"/>
      <c r="F8" s="104"/>
      <c r="G8" s="104"/>
      <c r="H8" s="104"/>
      <c r="I8" s="104"/>
      <c r="J8" s="104"/>
      <c r="K8" s="104"/>
      <c r="L8" s="104"/>
      <c r="M8" s="104"/>
      <c r="N8" s="104"/>
      <c r="O8" s="104"/>
      <c r="P8" s="104"/>
      <c r="Q8" s="104"/>
      <c r="R8" s="104"/>
      <c r="S8" s="104"/>
      <c r="T8" s="104"/>
      <c r="U8" s="104"/>
      <c r="V8" s="287"/>
      <c r="X8" s="69"/>
      <c r="AU8" s="468"/>
    </row>
    <row r="9" spans="1:47">
      <c r="A9" s="288">
        <f>A8+10</f>
        <v>10</v>
      </c>
      <c r="B9" s="70" t="s">
        <v>1203</v>
      </c>
      <c r="C9" s="410" t="e">
        <f t="shared" ref="C9:C17" si="0">D9+G9</f>
        <v>#VALUE!</v>
      </c>
      <c r="D9" s="410" t="s">
        <v>896</v>
      </c>
      <c r="E9" s="410" t="s">
        <v>813</v>
      </c>
      <c r="F9" s="410" t="s">
        <v>1791</v>
      </c>
      <c r="G9" s="410" t="e">
        <f t="shared" ref="G9:G17" si="1">E9+F9</f>
        <v>#VALUE!</v>
      </c>
      <c r="H9" s="437" t="s">
        <v>496</v>
      </c>
      <c r="I9" s="410" t="s">
        <v>590</v>
      </c>
      <c r="J9" s="410" t="s">
        <v>1249</v>
      </c>
      <c r="K9" s="410"/>
      <c r="L9" s="410" t="s">
        <v>591</v>
      </c>
      <c r="M9" s="410" t="s">
        <v>492</v>
      </c>
      <c r="N9" s="410" t="s">
        <v>1042</v>
      </c>
      <c r="O9" s="410" t="s">
        <v>493</v>
      </c>
      <c r="P9" s="410" t="s">
        <v>416</v>
      </c>
      <c r="Q9" s="410" t="s">
        <v>417</v>
      </c>
      <c r="R9" s="410" t="s">
        <v>2348</v>
      </c>
      <c r="S9" s="410" t="s">
        <v>2422</v>
      </c>
      <c r="T9" s="410" t="s">
        <v>2497</v>
      </c>
      <c r="U9" s="410" t="s">
        <v>1225</v>
      </c>
      <c r="V9" s="135" t="e">
        <f>C9-I9-J9-L9-M9-N9-O9-P9-Q9-R9-S9-T9-U9</f>
        <v>#VALUE!</v>
      </c>
      <c r="X9" s="105" t="e">
        <f t="shared" ref="X9:X14" si="2">SUM(I9:V9)</f>
        <v>#VALUE!</v>
      </c>
      <c r="Y9" s="456" t="e">
        <f t="shared" ref="Y9:Y14" si="3">C9-X9</f>
        <v>#VALUE!</v>
      </c>
      <c r="AE9" s="106"/>
      <c r="AU9" s="469" t="s">
        <v>1763</v>
      </c>
    </row>
    <row r="10" spans="1:47" ht="12.75" customHeight="1">
      <c r="A10" s="288">
        <f>A9+10</f>
        <v>20</v>
      </c>
      <c r="B10" s="70" t="s">
        <v>1204</v>
      </c>
      <c r="C10" s="410" t="e">
        <f t="shared" si="0"/>
        <v>#VALUE!</v>
      </c>
      <c r="D10" s="410" t="s">
        <v>2194</v>
      </c>
      <c r="E10" s="410" t="s">
        <v>815</v>
      </c>
      <c r="F10" s="410" t="s">
        <v>1793</v>
      </c>
      <c r="G10" s="410" t="e">
        <f t="shared" si="1"/>
        <v>#VALUE!</v>
      </c>
      <c r="H10" s="437" t="s">
        <v>1195</v>
      </c>
      <c r="I10" s="410" t="s">
        <v>528</v>
      </c>
      <c r="J10" s="410" t="s">
        <v>722</v>
      </c>
      <c r="K10" s="410"/>
      <c r="L10" s="410" t="s">
        <v>529</v>
      </c>
      <c r="M10" s="410" t="s">
        <v>748</v>
      </c>
      <c r="N10" s="410" t="s">
        <v>1044</v>
      </c>
      <c r="O10" s="410" t="s">
        <v>719</v>
      </c>
      <c r="P10" s="410" t="s">
        <v>720</v>
      </c>
      <c r="Q10" s="410" t="s">
        <v>721</v>
      </c>
      <c r="R10" s="410" t="s">
        <v>2349</v>
      </c>
      <c r="S10" s="410" t="s">
        <v>2423</v>
      </c>
      <c r="T10" s="410" t="s">
        <v>2498</v>
      </c>
      <c r="U10" s="410" t="s">
        <v>723</v>
      </c>
      <c r="V10" s="135" t="e">
        <f t="shared" ref="V10:V73" si="4">C10-I10-J10-L10-M10-N10-O10-P10-Q10-R10-S10-T10-U10</f>
        <v>#VALUE!</v>
      </c>
      <c r="X10" s="105" t="e">
        <f t="shared" si="2"/>
        <v>#VALUE!</v>
      </c>
      <c r="Y10" s="456" t="e">
        <f t="shared" si="3"/>
        <v>#VALUE!</v>
      </c>
      <c r="AU10" s="469" t="s">
        <v>1765</v>
      </c>
    </row>
    <row r="11" spans="1:47" s="71" customFormat="1">
      <c r="A11" s="288">
        <v>30</v>
      </c>
      <c r="B11" s="70" t="s">
        <v>2018</v>
      </c>
      <c r="C11" s="410" t="e">
        <f t="shared" si="0"/>
        <v>#VALUE!</v>
      </c>
      <c r="D11" s="410" t="s">
        <v>2195</v>
      </c>
      <c r="E11" s="410" t="s">
        <v>816</v>
      </c>
      <c r="F11" s="410" t="s">
        <v>1794</v>
      </c>
      <c r="G11" s="410" t="e">
        <f t="shared" si="1"/>
        <v>#VALUE!</v>
      </c>
      <c r="H11" s="437" t="s">
        <v>715</v>
      </c>
      <c r="I11" s="410" t="s">
        <v>132</v>
      </c>
      <c r="J11" s="410" t="s">
        <v>1703</v>
      </c>
      <c r="K11" s="410"/>
      <c r="L11" s="410" t="s">
        <v>133</v>
      </c>
      <c r="M11" s="410" t="s">
        <v>134</v>
      </c>
      <c r="N11" s="410" t="s">
        <v>568</v>
      </c>
      <c r="O11" s="410" t="s">
        <v>135</v>
      </c>
      <c r="P11" s="410" t="s">
        <v>1252</v>
      </c>
      <c r="Q11" s="410" t="s">
        <v>1253</v>
      </c>
      <c r="R11" s="410" t="s">
        <v>2350</v>
      </c>
      <c r="S11" s="410" t="s">
        <v>2424</v>
      </c>
      <c r="T11" s="410" t="s">
        <v>2499</v>
      </c>
      <c r="U11" s="410" t="s">
        <v>1704</v>
      </c>
      <c r="V11" s="135" t="e">
        <f t="shared" si="4"/>
        <v>#VALUE!</v>
      </c>
      <c r="X11" s="105" t="e">
        <f t="shared" si="2"/>
        <v>#VALUE!</v>
      </c>
      <c r="Y11" s="456" t="e">
        <f t="shared" si="3"/>
        <v>#VALUE!</v>
      </c>
      <c r="AU11" s="469" t="s">
        <v>1766</v>
      </c>
    </row>
    <row r="12" spans="1:47" s="71" customFormat="1">
      <c r="A12" s="288">
        <v>40</v>
      </c>
      <c r="B12" s="70" t="s">
        <v>2019</v>
      </c>
      <c r="C12" s="410" t="e">
        <f t="shared" si="0"/>
        <v>#VALUE!</v>
      </c>
      <c r="D12" s="410" t="s">
        <v>2197</v>
      </c>
      <c r="E12" s="410" t="s">
        <v>136</v>
      </c>
      <c r="F12" s="410" t="s">
        <v>1796</v>
      </c>
      <c r="G12" s="410" t="e">
        <f t="shared" si="1"/>
        <v>#VALUE!</v>
      </c>
      <c r="H12" s="437" t="s">
        <v>717</v>
      </c>
      <c r="I12" s="410" t="s">
        <v>653</v>
      </c>
      <c r="J12" s="410" t="s">
        <v>659</v>
      </c>
      <c r="K12" s="410"/>
      <c r="L12" s="410" t="s">
        <v>654</v>
      </c>
      <c r="M12" s="410" t="s">
        <v>655</v>
      </c>
      <c r="N12" s="410" t="s">
        <v>570</v>
      </c>
      <c r="O12" s="410" t="s">
        <v>656</v>
      </c>
      <c r="P12" s="410" t="s">
        <v>657</v>
      </c>
      <c r="Q12" s="410" t="s">
        <v>658</v>
      </c>
      <c r="R12" s="410" t="s">
        <v>2351</v>
      </c>
      <c r="S12" s="410" t="s">
        <v>2425</v>
      </c>
      <c r="T12" s="410" t="s">
        <v>2500</v>
      </c>
      <c r="U12" s="410" t="s">
        <v>660</v>
      </c>
      <c r="V12" s="135" t="e">
        <f t="shared" si="4"/>
        <v>#VALUE!</v>
      </c>
      <c r="X12" s="105" t="e">
        <f t="shared" si="2"/>
        <v>#VALUE!</v>
      </c>
      <c r="Y12" s="456" t="e">
        <f t="shared" si="3"/>
        <v>#VALUE!</v>
      </c>
      <c r="AU12" s="469" t="s">
        <v>520</v>
      </c>
    </row>
    <row r="13" spans="1:47" s="71" customFormat="1">
      <c r="A13" s="288">
        <v>50</v>
      </c>
      <c r="B13" s="107" t="s">
        <v>705</v>
      </c>
      <c r="C13" s="410" t="e">
        <f t="shared" si="0"/>
        <v>#VALUE!</v>
      </c>
      <c r="D13" s="410" t="s">
        <v>2199</v>
      </c>
      <c r="E13" s="410" t="s">
        <v>138</v>
      </c>
      <c r="F13" s="410" t="s">
        <v>1798</v>
      </c>
      <c r="G13" s="410" t="e">
        <f t="shared" si="1"/>
        <v>#VALUE!</v>
      </c>
      <c r="H13" s="437" t="s">
        <v>1383</v>
      </c>
      <c r="I13" s="410" t="s">
        <v>1820</v>
      </c>
      <c r="J13" s="410" t="s">
        <v>1610</v>
      </c>
      <c r="K13" s="410"/>
      <c r="L13" s="410" t="s">
        <v>1821</v>
      </c>
      <c r="M13" s="410" t="s">
        <v>1822</v>
      </c>
      <c r="N13" s="410" t="s">
        <v>572</v>
      </c>
      <c r="O13" s="410" t="s">
        <v>1268</v>
      </c>
      <c r="P13" s="410" t="s">
        <v>1269</v>
      </c>
      <c r="Q13" s="410" t="s">
        <v>1270</v>
      </c>
      <c r="R13" s="410" t="s">
        <v>2352</v>
      </c>
      <c r="S13" s="410" t="s">
        <v>2426</v>
      </c>
      <c r="T13" s="410" t="s">
        <v>2501</v>
      </c>
      <c r="U13" s="410" t="s">
        <v>1611</v>
      </c>
      <c r="V13" s="135" t="e">
        <f t="shared" si="4"/>
        <v>#VALUE!</v>
      </c>
      <c r="X13" s="105" t="e">
        <f t="shared" si="2"/>
        <v>#VALUE!</v>
      </c>
      <c r="Y13" s="456" t="e">
        <f t="shared" si="3"/>
        <v>#VALUE!</v>
      </c>
      <c r="AU13" s="469" t="s">
        <v>540</v>
      </c>
    </row>
    <row r="14" spans="1:47" s="487" customFormat="1" hidden="1">
      <c r="A14" s="483"/>
      <c r="B14" s="484" t="s">
        <v>925</v>
      </c>
      <c r="C14" s="485" t="e">
        <f t="shared" si="0"/>
        <v>#VALUE!</v>
      </c>
      <c r="D14" s="485" t="s">
        <v>895</v>
      </c>
      <c r="E14" s="485" t="s">
        <v>812</v>
      </c>
      <c r="F14" s="485" t="s">
        <v>1790</v>
      </c>
      <c r="G14" s="485" t="e">
        <f t="shared" si="1"/>
        <v>#VALUE!</v>
      </c>
      <c r="H14" s="486" t="s">
        <v>1149</v>
      </c>
      <c r="I14" s="485" t="s">
        <v>800</v>
      </c>
      <c r="J14" s="485" t="s">
        <v>74</v>
      </c>
      <c r="K14" s="485"/>
      <c r="L14" s="485" t="s">
        <v>801</v>
      </c>
      <c r="M14" s="485" t="s">
        <v>70</v>
      </c>
      <c r="N14" s="485" t="s">
        <v>1041</v>
      </c>
      <c r="O14" s="485" t="s">
        <v>71</v>
      </c>
      <c r="P14" s="485" t="s">
        <v>72</v>
      </c>
      <c r="Q14" s="485" t="s">
        <v>73</v>
      </c>
      <c r="R14" s="485" t="s">
        <v>2353</v>
      </c>
      <c r="S14" s="485" t="s">
        <v>2427</v>
      </c>
      <c r="T14" s="485" t="s">
        <v>2502</v>
      </c>
      <c r="U14" s="485" t="s">
        <v>190</v>
      </c>
      <c r="V14" s="135" t="e">
        <f t="shared" si="4"/>
        <v>#VALUE!</v>
      </c>
      <c r="X14" s="488" t="e">
        <f t="shared" si="2"/>
        <v>#VALUE!</v>
      </c>
      <c r="Y14" s="488" t="e">
        <f t="shared" si="3"/>
        <v>#VALUE!</v>
      </c>
      <c r="AU14" s="485" t="s">
        <v>1762</v>
      </c>
    </row>
    <row r="15" spans="1:47" s="487" customFormat="1" hidden="1">
      <c r="A15" s="483"/>
      <c r="B15" s="484" t="s">
        <v>371</v>
      </c>
      <c r="C15" s="485" t="e">
        <f t="shared" si="0"/>
        <v>#VALUE!</v>
      </c>
      <c r="D15" s="485" t="s">
        <v>2193</v>
      </c>
      <c r="E15" s="485" t="s">
        <v>814</v>
      </c>
      <c r="F15" s="485" t="s">
        <v>1792</v>
      </c>
      <c r="G15" s="485" t="e">
        <f t="shared" si="1"/>
        <v>#VALUE!</v>
      </c>
      <c r="H15" s="486" t="s">
        <v>1194</v>
      </c>
      <c r="I15" s="485" t="s">
        <v>1226</v>
      </c>
      <c r="J15" s="485" t="s">
        <v>1232</v>
      </c>
      <c r="K15" s="485"/>
      <c r="L15" s="485" t="s">
        <v>1227</v>
      </c>
      <c r="M15" s="485" t="s">
        <v>1228</v>
      </c>
      <c r="N15" s="485" t="s">
        <v>1043</v>
      </c>
      <c r="O15" s="485" t="s">
        <v>1229</v>
      </c>
      <c r="P15" s="485" t="s">
        <v>1230</v>
      </c>
      <c r="Q15" s="485" t="s">
        <v>1231</v>
      </c>
      <c r="R15" s="485" t="s">
        <v>2354</v>
      </c>
      <c r="S15" s="485" t="s">
        <v>2428</v>
      </c>
      <c r="T15" s="485" t="s">
        <v>2503</v>
      </c>
      <c r="U15" s="485" t="s">
        <v>1233</v>
      </c>
      <c r="V15" s="135" t="e">
        <f t="shared" si="4"/>
        <v>#VALUE!</v>
      </c>
      <c r="X15" s="488" t="e">
        <f>SUM(I15:V15)</f>
        <v>#VALUE!</v>
      </c>
      <c r="Y15" s="488" t="e">
        <f>C15-X15</f>
        <v>#VALUE!</v>
      </c>
      <c r="AU15" s="485" t="s">
        <v>1764</v>
      </c>
    </row>
    <row r="16" spans="1:47" s="487" customFormat="1" hidden="1">
      <c r="A16" s="483"/>
      <c r="B16" s="484" t="s">
        <v>926</v>
      </c>
      <c r="C16" s="485" t="e">
        <f t="shared" si="0"/>
        <v>#VALUE!</v>
      </c>
      <c r="D16" s="485" t="s">
        <v>2196</v>
      </c>
      <c r="E16" s="485" t="s">
        <v>1034</v>
      </c>
      <c r="F16" s="485" t="s">
        <v>1795</v>
      </c>
      <c r="G16" s="485" t="e">
        <f t="shared" si="1"/>
        <v>#VALUE!</v>
      </c>
      <c r="H16" s="486" t="s">
        <v>716</v>
      </c>
      <c r="I16" s="485" t="s">
        <v>1705</v>
      </c>
      <c r="J16" s="485" t="s">
        <v>651</v>
      </c>
      <c r="K16" s="485"/>
      <c r="L16" s="485" t="s">
        <v>646</v>
      </c>
      <c r="M16" s="485" t="s">
        <v>647</v>
      </c>
      <c r="N16" s="485" t="s">
        <v>569</v>
      </c>
      <c r="O16" s="485" t="s">
        <v>648</v>
      </c>
      <c r="P16" s="485" t="s">
        <v>649</v>
      </c>
      <c r="Q16" s="485" t="s">
        <v>650</v>
      </c>
      <c r="R16" s="485" t="s">
        <v>2355</v>
      </c>
      <c r="S16" s="485" t="s">
        <v>2429</v>
      </c>
      <c r="T16" s="485" t="s">
        <v>2504</v>
      </c>
      <c r="U16" s="485" t="s">
        <v>652</v>
      </c>
      <c r="V16" s="135" t="e">
        <f t="shared" si="4"/>
        <v>#VALUE!</v>
      </c>
      <c r="X16" s="488" t="e">
        <f>SUM(I16:V16)</f>
        <v>#VALUE!</v>
      </c>
      <c r="Y16" s="488" t="e">
        <f>C16-X16</f>
        <v>#VALUE!</v>
      </c>
      <c r="AA16" s="488"/>
      <c r="AB16" s="488"/>
      <c r="AU16" s="485" t="s">
        <v>519</v>
      </c>
    </row>
    <row r="17" spans="1:47" s="487" customFormat="1" hidden="1">
      <c r="A17" s="483"/>
      <c r="B17" s="484" t="s">
        <v>370</v>
      </c>
      <c r="C17" s="485" t="e">
        <f t="shared" si="0"/>
        <v>#VALUE!</v>
      </c>
      <c r="D17" s="485" t="s">
        <v>2198</v>
      </c>
      <c r="E17" s="485" t="s">
        <v>137</v>
      </c>
      <c r="F17" s="485" t="s">
        <v>1797</v>
      </c>
      <c r="G17" s="485" t="e">
        <f t="shared" si="1"/>
        <v>#VALUE!</v>
      </c>
      <c r="H17" s="486" t="s">
        <v>718</v>
      </c>
      <c r="I17" s="485" t="s">
        <v>661</v>
      </c>
      <c r="J17" s="485" t="s">
        <v>1818</v>
      </c>
      <c r="K17" s="485"/>
      <c r="L17" s="485" t="s">
        <v>1813</v>
      </c>
      <c r="M17" s="485" t="s">
        <v>1814</v>
      </c>
      <c r="N17" s="485" t="s">
        <v>571</v>
      </c>
      <c r="O17" s="485" t="s">
        <v>1815</v>
      </c>
      <c r="P17" s="485" t="s">
        <v>1816</v>
      </c>
      <c r="Q17" s="485" t="s">
        <v>1817</v>
      </c>
      <c r="R17" s="485" t="s">
        <v>2356</v>
      </c>
      <c r="S17" s="485" t="s">
        <v>2430</v>
      </c>
      <c r="T17" s="485" t="s">
        <v>2505</v>
      </c>
      <c r="U17" s="485" t="s">
        <v>1819</v>
      </c>
      <c r="V17" s="135" t="e">
        <f t="shared" si="4"/>
        <v>#VALUE!</v>
      </c>
      <c r="X17" s="488" t="e">
        <f>SUM(I17:V17)</f>
        <v>#VALUE!</v>
      </c>
      <c r="Y17" s="488" t="e">
        <f>C17-X17</f>
        <v>#VALUE!</v>
      </c>
      <c r="AU17" s="485" t="s">
        <v>521</v>
      </c>
    </row>
    <row r="18" spans="1:47" s="71" customFormat="1">
      <c r="A18" s="288">
        <v>60</v>
      </c>
      <c r="B18" s="489" t="s">
        <v>1834</v>
      </c>
      <c r="C18" s="410" t="e">
        <f>SUM(C14:C17)</f>
        <v>#VALUE!</v>
      </c>
      <c r="D18" s="410">
        <f t="shared" ref="D18:U18" si="5">SUM(D14:D17)</f>
        <v>0</v>
      </c>
      <c r="E18" s="410">
        <f t="shared" si="5"/>
        <v>0</v>
      </c>
      <c r="F18" s="410">
        <f t="shared" si="5"/>
        <v>0</v>
      </c>
      <c r="G18" s="410" t="e">
        <f t="shared" si="5"/>
        <v>#VALUE!</v>
      </c>
      <c r="H18" s="490" t="e">
        <f>IF(C18=0,0,(H14*(C14/C18))+(H15*(C15/C18))+(H16*(C16/C18))+(H17*(C17/C18)))</f>
        <v>#VALUE!</v>
      </c>
      <c r="I18" s="410">
        <f t="shared" si="5"/>
        <v>0</v>
      </c>
      <c r="J18" s="410">
        <f>SUM(J14:J17)</f>
        <v>0</v>
      </c>
      <c r="K18" s="410"/>
      <c r="L18" s="410">
        <f t="shared" si="5"/>
        <v>0</v>
      </c>
      <c r="M18" s="410">
        <f t="shared" si="5"/>
        <v>0</v>
      </c>
      <c r="N18" s="410">
        <f t="shared" si="5"/>
        <v>0</v>
      </c>
      <c r="O18" s="410">
        <f t="shared" si="5"/>
        <v>0</v>
      </c>
      <c r="P18" s="410">
        <f t="shared" si="5"/>
        <v>0</v>
      </c>
      <c r="Q18" s="410">
        <f t="shared" si="5"/>
        <v>0</v>
      </c>
      <c r="R18" s="410">
        <f t="shared" si="5"/>
        <v>0</v>
      </c>
      <c r="S18" s="410">
        <f t="shared" si="5"/>
        <v>0</v>
      </c>
      <c r="T18" s="410">
        <f t="shared" si="5"/>
        <v>0</v>
      </c>
      <c r="U18" s="410">
        <f t="shared" si="5"/>
        <v>0</v>
      </c>
      <c r="V18" s="135" t="e">
        <f t="shared" si="4"/>
        <v>#VALUE!</v>
      </c>
      <c r="X18" s="105" t="e">
        <f>SUM(I18:V18)</f>
        <v>#VALUE!</v>
      </c>
      <c r="Y18" s="456" t="e">
        <f>C18-X18</f>
        <v>#VALUE!</v>
      </c>
      <c r="AU18" s="469"/>
    </row>
    <row r="19" spans="1:47" s="71" customFormat="1">
      <c r="A19" s="286">
        <v>70</v>
      </c>
      <c r="B19" s="102" t="s">
        <v>1808</v>
      </c>
      <c r="C19" s="104" t="e">
        <f>SUM(C9:C13)+C18</f>
        <v>#VALUE!</v>
      </c>
      <c r="D19" s="104">
        <f t="shared" ref="D19:U19" si="6">SUM(D9:D13)+D18</f>
        <v>0</v>
      </c>
      <c r="E19" s="104">
        <f t="shared" si="6"/>
        <v>0</v>
      </c>
      <c r="F19" s="104">
        <f t="shared" si="6"/>
        <v>0</v>
      </c>
      <c r="G19" s="104" t="e">
        <f t="shared" si="6"/>
        <v>#VALUE!</v>
      </c>
      <c r="H19" s="108" t="e">
        <f>IF(C19=0,"",(H9*(C9/C19))+(H10*(C10/C19))+(H11*(C11/C19))+(H12*(C12/C19))+(H13*(C13/C19)))</f>
        <v>#VALUE!</v>
      </c>
      <c r="I19" s="104">
        <f t="shared" si="6"/>
        <v>0</v>
      </c>
      <c r="J19" s="104">
        <f>SUM(J9:J13)+J18</f>
        <v>0</v>
      </c>
      <c r="K19" s="104"/>
      <c r="L19" s="104">
        <f t="shared" si="6"/>
        <v>0</v>
      </c>
      <c r="M19" s="104">
        <f t="shared" si="6"/>
        <v>0</v>
      </c>
      <c r="N19" s="104">
        <f t="shared" si="6"/>
        <v>0</v>
      </c>
      <c r="O19" s="104">
        <f t="shared" si="6"/>
        <v>0</v>
      </c>
      <c r="P19" s="104">
        <f t="shared" si="6"/>
        <v>0</v>
      </c>
      <c r="Q19" s="104">
        <f t="shared" si="6"/>
        <v>0</v>
      </c>
      <c r="R19" s="104">
        <f t="shared" si="6"/>
        <v>0</v>
      </c>
      <c r="S19" s="104">
        <f t="shared" si="6"/>
        <v>0</v>
      </c>
      <c r="T19" s="104">
        <f t="shared" si="6"/>
        <v>0</v>
      </c>
      <c r="U19" s="104">
        <f t="shared" si="6"/>
        <v>0</v>
      </c>
      <c r="V19" s="619" t="e">
        <f t="shared" si="4"/>
        <v>#VALUE!</v>
      </c>
      <c r="X19" s="105" t="e">
        <f>SUM(I19:V19)</f>
        <v>#VALUE!</v>
      </c>
      <c r="Y19" s="456" t="e">
        <f>C19-X19</f>
        <v>#VALUE!</v>
      </c>
      <c r="AU19" s="436">
        <f>SUM(AU9:AU17)</f>
        <v>0</v>
      </c>
    </row>
    <row r="20" spans="1:47" s="71" customFormat="1">
      <c r="A20" s="286"/>
      <c r="B20" s="102" t="s">
        <v>1809</v>
      </c>
      <c r="C20" s="103"/>
      <c r="D20" s="103"/>
      <c r="E20" s="103"/>
      <c r="F20" s="103"/>
      <c r="G20" s="103"/>
      <c r="H20" s="108"/>
      <c r="I20" s="103"/>
      <c r="J20" s="103"/>
      <c r="K20" s="103"/>
      <c r="L20" s="103"/>
      <c r="M20" s="103"/>
      <c r="N20" s="103"/>
      <c r="O20" s="103"/>
      <c r="P20" s="103"/>
      <c r="Q20" s="103"/>
      <c r="R20" s="103"/>
      <c r="S20" s="103"/>
      <c r="T20" s="103"/>
      <c r="U20" s="103"/>
      <c r="V20" s="289"/>
      <c r="X20" s="105"/>
      <c r="Y20" s="456"/>
      <c r="AU20" s="470"/>
    </row>
    <row r="21" spans="1:47">
      <c r="A21" s="288">
        <v>80</v>
      </c>
      <c r="B21" s="70" t="s">
        <v>1203</v>
      </c>
      <c r="C21" s="410" t="e">
        <f t="shared" ref="C21:C30" si="7">D21+G21</f>
        <v>#VALUE!</v>
      </c>
      <c r="D21" s="410" t="str">
        <f>D162</f>
        <v>#FNECTC{12501,12509,14901,14905,11101,13301,13309,14301,14305,15603;08;2;;E}</v>
      </c>
      <c r="E21" s="410" t="str">
        <f>E162</f>
        <v>#FNECTC{15701,15705;08;2;;E}</v>
      </c>
      <c r="F21" s="410" t="str">
        <f>F162</f>
        <v>#FNECTCP{12501,12509,14901,14905,11101,13301,13309,14301,14305,15603;08;2;;E}</v>
      </c>
      <c r="G21" s="410" t="e">
        <f>G162</f>
        <v>#VALUE!</v>
      </c>
      <c r="H21" s="410" t="str">
        <f t="shared" ref="H21:U21" si="8">H162</f>
        <v>#FN4{;12501-12509,14901,14905}</v>
      </c>
      <c r="I21" s="410" t="str">
        <f t="shared" si="8"/>
        <v>#FNOBES{12501,12509,14901,14905,11101,13301,13309,14301,14305,15603;08;2;25;;E}</v>
      </c>
      <c r="J21" s="410" t="str">
        <f>J162</f>
        <v>#FNOBES{12501,12509,14901,14905,11101,13301,13309,14301,14305,15603;08;2;42;;E}</v>
      </c>
      <c r="K21" s="410"/>
      <c r="L21" s="410" t="str">
        <f t="shared" si="8"/>
        <v>#FNOBES{12501,12509,14901,14905,11101,13301,13309,14301,14305,15603;08;2;23;;E}</v>
      </c>
      <c r="M21" s="410" t="str">
        <f t="shared" si="8"/>
        <v>#FNOBES{12501,12509,14901,14905,11101,13301,13309,14301,14305,15603;08;2;26;;E}</v>
      </c>
      <c r="N21" s="410" t="str">
        <f t="shared" si="8"/>
        <v>#FNOBES{12501,12509,14901,14905,11101,13301,13309,14301,14305,15603;08;2;21,22;;E}</v>
      </c>
      <c r="O21" s="410" t="str">
        <f t="shared" si="8"/>
        <v>#FNOBES{12501,12509,14901,14905,11101,13301,13309,14301,14305,15603;08;2;24;;E}</v>
      </c>
      <c r="P21" s="410" t="str">
        <f t="shared" si="8"/>
        <v>#FNOBES{12501,12509,14901,14905,11101,13301,13309,14301,14305,15603;08;2;31,32,33,34,35,36,37;;E}</v>
      </c>
      <c r="Q21" s="410" t="str">
        <f t="shared" si="8"/>
        <v>#FNOBES{12501,12509,14901,14905,11101,13301,13309,14301,14305,15603;08;2;29;;E}</v>
      </c>
      <c r="R21" s="410" t="str">
        <f t="shared" si="8"/>
        <v>#FNOBES{12501,12509,14901,14905,11101,13301,13309,14301,14305,15603;08;2;43;;E}</v>
      </c>
      <c r="S21" s="410" t="str">
        <f t="shared" si="8"/>
        <v>#FNOBES{12501,12509,14901,14905,11101,13301,13309,14301,14305,15603;08;2;41;;E}</v>
      </c>
      <c r="T21" s="410" t="str">
        <f t="shared" si="8"/>
        <v>#FNOBES{12501,12509,14901,14905,11101,13301,13309,14301,14305,15603;08;2;51;;E}</v>
      </c>
      <c r="U21" s="410" t="str">
        <f t="shared" si="8"/>
        <v>#FNOBES{12501,12509,14901,14905,11101,13301,13309,14301,14305,15603;08;2;61;;E}</v>
      </c>
      <c r="V21" s="135" t="e">
        <f t="shared" si="4"/>
        <v>#VALUE!</v>
      </c>
      <c r="X21" s="105" t="e">
        <f>SUM(I21:V21)</f>
        <v>#VALUE!</v>
      </c>
      <c r="Y21" s="456" t="e">
        <f>C21-X21</f>
        <v>#VALUE!</v>
      </c>
      <c r="AE21" s="106"/>
      <c r="AU21" s="469" t="s">
        <v>664</v>
      </c>
    </row>
    <row r="22" spans="1:47" ht="12.75" customHeight="1">
      <c r="A22" s="288">
        <v>90</v>
      </c>
      <c r="B22" s="70" t="s">
        <v>1204</v>
      </c>
      <c r="C22" s="410" t="e">
        <f t="shared" si="7"/>
        <v>#VALUE!</v>
      </c>
      <c r="D22" s="410" t="e">
        <f>D165</f>
        <v>#VALUE!</v>
      </c>
      <c r="E22" s="410" t="e">
        <f>E165</f>
        <v>#VALUE!</v>
      </c>
      <c r="F22" s="410" t="e">
        <f>F165</f>
        <v>#VALUE!</v>
      </c>
      <c r="G22" s="410" t="e">
        <f>G165</f>
        <v>#VALUE!</v>
      </c>
      <c r="H22" s="410" t="e">
        <f t="shared" ref="H22:U22" si="9">H165</f>
        <v>#VALUE!</v>
      </c>
      <c r="I22" s="410" t="e">
        <f t="shared" si="9"/>
        <v>#VALUE!</v>
      </c>
      <c r="J22" s="410" t="e">
        <f>J165</f>
        <v>#VALUE!</v>
      </c>
      <c r="K22" s="410"/>
      <c r="L22" s="410" t="e">
        <f t="shared" si="9"/>
        <v>#VALUE!</v>
      </c>
      <c r="M22" s="410" t="e">
        <f t="shared" si="9"/>
        <v>#VALUE!</v>
      </c>
      <c r="N22" s="410" t="e">
        <f t="shared" si="9"/>
        <v>#VALUE!</v>
      </c>
      <c r="O22" s="410" t="e">
        <f t="shared" si="9"/>
        <v>#VALUE!</v>
      </c>
      <c r="P22" s="410" t="e">
        <f t="shared" si="9"/>
        <v>#VALUE!</v>
      </c>
      <c r="Q22" s="410" t="e">
        <f t="shared" si="9"/>
        <v>#VALUE!</v>
      </c>
      <c r="R22" s="410" t="e">
        <f t="shared" si="9"/>
        <v>#VALUE!</v>
      </c>
      <c r="S22" s="410" t="e">
        <f t="shared" si="9"/>
        <v>#VALUE!</v>
      </c>
      <c r="T22" s="410" t="e">
        <f t="shared" si="9"/>
        <v>#VALUE!</v>
      </c>
      <c r="U22" s="410" t="e">
        <f t="shared" si="9"/>
        <v>#VALUE!</v>
      </c>
      <c r="V22" s="135" t="e">
        <f t="shared" si="4"/>
        <v>#VALUE!</v>
      </c>
      <c r="X22" s="105" t="e">
        <f>SUM(I22:V22)</f>
        <v>#VALUE!</v>
      </c>
      <c r="Y22" s="456" t="e">
        <f>C22-X22</f>
        <v>#VALUE!</v>
      </c>
      <c r="AU22" s="469" t="s">
        <v>666</v>
      </c>
    </row>
    <row r="23" spans="1:47" s="71" customFormat="1">
      <c r="A23" s="288">
        <v>100</v>
      </c>
      <c r="B23" s="70" t="s">
        <v>2018</v>
      </c>
      <c r="C23" s="410" t="e">
        <f t="shared" si="7"/>
        <v>#VALUE!</v>
      </c>
      <c r="D23" s="410" t="e">
        <f>D168</f>
        <v>#VALUE!</v>
      </c>
      <c r="E23" s="410" t="e">
        <f t="shared" ref="E23:U23" si="10">E168</f>
        <v>#VALUE!</v>
      </c>
      <c r="F23" s="410" t="e">
        <f t="shared" si="10"/>
        <v>#VALUE!</v>
      </c>
      <c r="G23" s="410" t="e">
        <f t="shared" si="10"/>
        <v>#VALUE!</v>
      </c>
      <c r="H23" s="410" t="e">
        <f t="shared" si="10"/>
        <v>#VALUE!</v>
      </c>
      <c r="I23" s="410" t="e">
        <f t="shared" si="10"/>
        <v>#VALUE!</v>
      </c>
      <c r="J23" s="410" t="e">
        <f>J168</f>
        <v>#VALUE!</v>
      </c>
      <c r="K23" s="410"/>
      <c r="L23" s="410" t="e">
        <f t="shared" si="10"/>
        <v>#VALUE!</v>
      </c>
      <c r="M23" s="410" t="e">
        <f t="shared" si="10"/>
        <v>#VALUE!</v>
      </c>
      <c r="N23" s="410" t="e">
        <f t="shared" si="10"/>
        <v>#VALUE!</v>
      </c>
      <c r="O23" s="410" t="e">
        <f t="shared" si="10"/>
        <v>#VALUE!</v>
      </c>
      <c r="P23" s="410" t="e">
        <f t="shared" si="10"/>
        <v>#VALUE!</v>
      </c>
      <c r="Q23" s="410" t="e">
        <f t="shared" si="10"/>
        <v>#VALUE!</v>
      </c>
      <c r="R23" s="410" t="e">
        <f t="shared" si="10"/>
        <v>#VALUE!</v>
      </c>
      <c r="S23" s="410" t="e">
        <f t="shared" si="10"/>
        <v>#VALUE!</v>
      </c>
      <c r="T23" s="410" t="e">
        <f t="shared" si="10"/>
        <v>#VALUE!</v>
      </c>
      <c r="U23" s="410" t="e">
        <f t="shared" si="10"/>
        <v>#VALUE!</v>
      </c>
      <c r="V23" s="135" t="e">
        <f t="shared" si="4"/>
        <v>#VALUE!</v>
      </c>
      <c r="X23" s="105" t="e">
        <f>SUM(I23:V23)</f>
        <v>#VALUE!</v>
      </c>
      <c r="Y23" s="456" t="e">
        <f>C23-X23</f>
        <v>#VALUE!</v>
      </c>
      <c r="AU23" s="469" t="s">
        <v>1177</v>
      </c>
    </row>
    <row r="24" spans="1:47" s="71" customFormat="1">
      <c r="A24" s="288">
        <v>110</v>
      </c>
      <c r="B24" s="70" t="s">
        <v>2019</v>
      </c>
      <c r="C24" s="410" t="e">
        <f t="shared" si="7"/>
        <v>#VALUE!</v>
      </c>
      <c r="D24" s="410" t="e">
        <f>D171</f>
        <v>#VALUE!</v>
      </c>
      <c r="E24" s="410" t="e">
        <f>E171</f>
        <v>#VALUE!</v>
      </c>
      <c r="F24" s="410" t="e">
        <f>F171</f>
        <v>#VALUE!</v>
      </c>
      <c r="G24" s="410" t="e">
        <f>G171</f>
        <v>#VALUE!</v>
      </c>
      <c r="H24" s="410" t="e">
        <f t="shared" ref="H24:U24" si="11">H171</f>
        <v>#VALUE!</v>
      </c>
      <c r="I24" s="410" t="e">
        <f t="shared" si="11"/>
        <v>#VALUE!</v>
      </c>
      <c r="J24" s="410" t="e">
        <f>J171</f>
        <v>#VALUE!</v>
      </c>
      <c r="K24" s="410"/>
      <c r="L24" s="410" t="e">
        <f t="shared" si="11"/>
        <v>#VALUE!</v>
      </c>
      <c r="M24" s="410" t="e">
        <f t="shared" si="11"/>
        <v>#VALUE!</v>
      </c>
      <c r="N24" s="410" t="e">
        <f t="shared" si="11"/>
        <v>#VALUE!</v>
      </c>
      <c r="O24" s="410" t="e">
        <f t="shared" si="11"/>
        <v>#VALUE!</v>
      </c>
      <c r="P24" s="410" t="e">
        <f t="shared" si="11"/>
        <v>#VALUE!</v>
      </c>
      <c r="Q24" s="410" t="e">
        <f t="shared" si="11"/>
        <v>#VALUE!</v>
      </c>
      <c r="R24" s="410" t="e">
        <f t="shared" si="11"/>
        <v>#VALUE!</v>
      </c>
      <c r="S24" s="410" t="e">
        <f t="shared" si="11"/>
        <v>#VALUE!</v>
      </c>
      <c r="T24" s="410" t="e">
        <f t="shared" si="11"/>
        <v>#VALUE!</v>
      </c>
      <c r="U24" s="410" t="e">
        <f t="shared" si="11"/>
        <v>#VALUE!</v>
      </c>
      <c r="V24" s="135" t="e">
        <f t="shared" si="4"/>
        <v>#VALUE!</v>
      </c>
      <c r="X24" s="105" t="e">
        <f>SUM(I24:V24)</f>
        <v>#VALUE!</v>
      </c>
      <c r="Y24" s="456" t="e">
        <f>C24-X24</f>
        <v>#VALUE!</v>
      </c>
      <c r="AU24" s="469" t="s">
        <v>535</v>
      </c>
    </row>
    <row r="25" spans="1:47" s="71" customFormat="1">
      <c r="A25" s="505">
        <v>120</v>
      </c>
      <c r="B25" s="70" t="s">
        <v>1835</v>
      </c>
      <c r="C25" s="410">
        <f t="shared" si="7"/>
        <v>0</v>
      </c>
      <c r="D25" s="410">
        <f>D158</f>
        <v>0</v>
      </c>
      <c r="E25" s="410">
        <f>E158</f>
        <v>0</v>
      </c>
      <c r="F25" s="410">
        <f>F158</f>
        <v>0</v>
      </c>
      <c r="G25" s="410">
        <f>G158</f>
        <v>0</v>
      </c>
      <c r="H25" s="410">
        <f t="shared" ref="H25:U25" si="12">H158</f>
        <v>0</v>
      </c>
      <c r="I25" s="410">
        <f t="shared" si="12"/>
        <v>0</v>
      </c>
      <c r="J25" s="410">
        <f>J158</f>
        <v>0</v>
      </c>
      <c r="K25" s="410"/>
      <c r="L25" s="410">
        <f t="shared" si="12"/>
        <v>0</v>
      </c>
      <c r="M25" s="410">
        <f t="shared" si="12"/>
        <v>0</v>
      </c>
      <c r="N25" s="410">
        <f t="shared" si="12"/>
        <v>0</v>
      </c>
      <c r="O25" s="410">
        <f t="shared" si="12"/>
        <v>0</v>
      </c>
      <c r="P25" s="410">
        <f t="shared" si="12"/>
        <v>0</v>
      </c>
      <c r="Q25" s="410">
        <f t="shared" si="12"/>
        <v>0</v>
      </c>
      <c r="R25" s="410">
        <f t="shared" si="12"/>
        <v>0</v>
      </c>
      <c r="S25" s="410">
        <f t="shared" si="12"/>
        <v>0</v>
      </c>
      <c r="T25" s="410">
        <f t="shared" si="12"/>
        <v>0</v>
      </c>
      <c r="U25" s="410">
        <f t="shared" si="12"/>
        <v>0</v>
      </c>
      <c r="V25" s="135">
        <f t="shared" si="4"/>
        <v>0</v>
      </c>
      <c r="W25" s="14"/>
      <c r="X25" s="105"/>
      <c r="Y25" s="456"/>
      <c r="Z25" s="14"/>
      <c r="AA25" s="14"/>
      <c r="AU25" s="469"/>
    </row>
    <row r="26" spans="1:47" s="71" customFormat="1">
      <c r="A26" s="288">
        <v>130</v>
      </c>
      <c r="B26" s="107" t="s">
        <v>705</v>
      </c>
      <c r="C26" s="410" t="e">
        <f t="shared" si="7"/>
        <v>#VALUE!</v>
      </c>
      <c r="D26" s="410" t="e">
        <f>D145</f>
        <v>#VALUE!</v>
      </c>
      <c r="E26" s="410" t="e">
        <f>E145</f>
        <v>#VALUE!</v>
      </c>
      <c r="F26" s="410" t="e">
        <f>F145</f>
        <v>#VALUE!</v>
      </c>
      <c r="G26" s="410" t="e">
        <f>G145</f>
        <v>#VALUE!</v>
      </c>
      <c r="H26" s="410" t="e">
        <f t="shared" ref="H26:U26" si="13">H145</f>
        <v>#VALUE!</v>
      </c>
      <c r="I26" s="410" t="e">
        <f t="shared" si="13"/>
        <v>#VALUE!</v>
      </c>
      <c r="J26" s="410" t="e">
        <f>J145</f>
        <v>#VALUE!</v>
      </c>
      <c r="K26" s="410"/>
      <c r="L26" s="410" t="e">
        <f t="shared" si="13"/>
        <v>#VALUE!</v>
      </c>
      <c r="M26" s="410" t="e">
        <f t="shared" si="13"/>
        <v>#VALUE!</v>
      </c>
      <c r="N26" s="410" t="e">
        <f t="shared" si="13"/>
        <v>#VALUE!</v>
      </c>
      <c r="O26" s="410" t="e">
        <f t="shared" si="13"/>
        <v>#VALUE!</v>
      </c>
      <c r="P26" s="410" t="e">
        <f t="shared" si="13"/>
        <v>#VALUE!</v>
      </c>
      <c r="Q26" s="410" t="e">
        <f t="shared" si="13"/>
        <v>#VALUE!</v>
      </c>
      <c r="R26" s="410" t="e">
        <f t="shared" si="13"/>
        <v>#VALUE!</v>
      </c>
      <c r="S26" s="410" t="e">
        <f t="shared" si="13"/>
        <v>#VALUE!</v>
      </c>
      <c r="T26" s="410" t="e">
        <f t="shared" si="13"/>
        <v>#VALUE!</v>
      </c>
      <c r="U26" s="410" t="e">
        <f t="shared" si="13"/>
        <v>#VALUE!</v>
      </c>
      <c r="V26" s="135" t="e">
        <f t="shared" si="4"/>
        <v>#VALUE!</v>
      </c>
      <c r="X26" s="105" t="e">
        <f>SUM(I26:V26)</f>
        <v>#VALUE!</v>
      </c>
      <c r="Y26" s="456" t="e">
        <f t="shared" ref="Y26:Y32" si="14">C26-X26</f>
        <v>#VALUE!</v>
      </c>
      <c r="AU26" s="469" t="s">
        <v>562</v>
      </c>
    </row>
    <row r="27" spans="1:47" s="487" customFormat="1" hidden="1">
      <c r="A27" s="483"/>
      <c r="B27" s="491" t="s">
        <v>925</v>
      </c>
      <c r="C27" s="485" t="e">
        <f t="shared" si="7"/>
        <v>#VALUE!</v>
      </c>
      <c r="D27" s="485" t="e">
        <f>D154</f>
        <v>#VALUE!</v>
      </c>
      <c r="E27" s="485" t="e">
        <f>E154</f>
        <v>#VALUE!</v>
      </c>
      <c r="F27" s="485" t="e">
        <f>F154</f>
        <v>#VALUE!</v>
      </c>
      <c r="G27" s="485" t="e">
        <f>G154</f>
        <v>#VALUE!</v>
      </c>
      <c r="H27" s="485" t="e">
        <f t="shared" ref="H27:U27" si="15">H154</f>
        <v>#VALUE!</v>
      </c>
      <c r="I27" s="485" t="e">
        <f t="shared" si="15"/>
        <v>#VALUE!</v>
      </c>
      <c r="J27" s="485" t="e">
        <f>J154</f>
        <v>#VALUE!</v>
      </c>
      <c r="K27" s="485"/>
      <c r="L27" s="485" t="e">
        <f t="shared" si="15"/>
        <v>#VALUE!</v>
      </c>
      <c r="M27" s="485" t="e">
        <f t="shared" si="15"/>
        <v>#VALUE!</v>
      </c>
      <c r="N27" s="485" t="e">
        <f t="shared" si="15"/>
        <v>#VALUE!</v>
      </c>
      <c r="O27" s="485" t="e">
        <f t="shared" si="15"/>
        <v>#VALUE!</v>
      </c>
      <c r="P27" s="485" t="e">
        <f t="shared" si="15"/>
        <v>#VALUE!</v>
      </c>
      <c r="Q27" s="485" t="e">
        <f t="shared" si="15"/>
        <v>#VALUE!</v>
      </c>
      <c r="R27" s="485" t="e">
        <f t="shared" si="15"/>
        <v>#VALUE!</v>
      </c>
      <c r="S27" s="485" t="e">
        <f t="shared" si="15"/>
        <v>#VALUE!</v>
      </c>
      <c r="T27" s="485" t="e">
        <f t="shared" si="15"/>
        <v>#VALUE!</v>
      </c>
      <c r="U27" s="485" t="e">
        <f t="shared" si="15"/>
        <v>#VALUE!</v>
      </c>
      <c r="V27" s="135" t="e">
        <f t="shared" si="4"/>
        <v>#VALUE!</v>
      </c>
      <c r="W27" s="492"/>
      <c r="X27" s="493" t="e">
        <f t="shared" ref="X27:X32" si="16">SUM(I27:V27)</f>
        <v>#VALUE!</v>
      </c>
      <c r="Y27" s="488" t="e">
        <f t="shared" si="14"/>
        <v>#VALUE!</v>
      </c>
      <c r="Z27" s="492"/>
      <c r="AA27" s="492"/>
      <c r="AU27" s="485" t="s">
        <v>69</v>
      </c>
    </row>
    <row r="28" spans="1:47" s="492" customFormat="1" hidden="1">
      <c r="A28" s="494"/>
      <c r="B28" s="491" t="s">
        <v>371</v>
      </c>
      <c r="C28" s="485" t="e">
        <f t="shared" si="7"/>
        <v>#VALUE!</v>
      </c>
      <c r="D28" s="485" t="e">
        <f>D190</f>
        <v>#VALUE!</v>
      </c>
      <c r="E28" s="485" t="e">
        <f>E190</f>
        <v>#VALUE!</v>
      </c>
      <c r="F28" s="485" t="e">
        <f>F190</f>
        <v>#VALUE!</v>
      </c>
      <c r="G28" s="485" t="e">
        <f>G190</f>
        <v>#VALUE!</v>
      </c>
      <c r="H28" s="485" t="e">
        <f t="shared" ref="H28:U28" si="17">H190</f>
        <v>#VALUE!</v>
      </c>
      <c r="I28" s="485" t="e">
        <f t="shared" si="17"/>
        <v>#VALUE!</v>
      </c>
      <c r="J28" s="485" t="e">
        <f>J190</f>
        <v>#VALUE!</v>
      </c>
      <c r="K28" s="485"/>
      <c r="L28" s="485" t="e">
        <f t="shared" si="17"/>
        <v>#VALUE!</v>
      </c>
      <c r="M28" s="485" t="e">
        <f t="shared" si="17"/>
        <v>#VALUE!</v>
      </c>
      <c r="N28" s="485" t="e">
        <f t="shared" si="17"/>
        <v>#VALUE!</v>
      </c>
      <c r="O28" s="485" t="e">
        <f t="shared" si="17"/>
        <v>#VALUE!</v>
      </c>
      <c r="P28" s="485" t="e">
        <f t="shared" si="17"/>
        <v>#VALUE!</v>
      </c>
      <c r="Q28" s="485" t="e">
        <f t="shared" si="17"/>
        <v>#VALUE!</v>
      </c>
      <c r="R28" s="485" t="e">
        <f t="shared" si="17"/>
        <v>#VALUE!</v>
      </c>
      <c r="S28" s="485" t="e">
        <f t="shared" si="17"/>
        <v>#VALUE!</v>
      </c>
      <c r="T28" s="485" t="e">
        <f t="shared" si="17"/>
        <v>#VALUE!</v>
      </c>
      <c r="U28" s="485" t="e">
        <f t="shared" si="17"/>
        <v>#VALUE!</v>
      </c>
      <c r="V28" s="135" t="e">
        <f t="shared" si="4"/>
        <v>#VALUE!</v>
      </c>
      <c r="W28" s="487"/>
      <c r="X28" s="493" t="e">
        <f t="shared" si="16"/>
        <v>#VALUE!</v>
      </c>
      <c r="Y28" s="488" t="e">
        <f t="shared" si="14"/>
        <v>#VALUE!</v>
      </c>
      <c r="Z28" s="487"/>
      <c r="AA28" s="487"/>
      <c r="AB28" s="487"/>
      <c r="AC28" s="487"/>
      <c r="AD28" s="487"/>
      <c r="AE28" s="487"/>
      <c r="AF28" s="487"/>
      <c r="AU28" s="485" t="s">
        <v>665</v>
      </c>
    </row>
    <row r="29" spans="1:47" s="487" customFormat="1" hidden="1">
      <c r="A29" s="494"/>
      <c r="B29" s="491" t="s">
        <v>926</v>
      </c>
      <c r="C29" s="485" t="e">
        <f t="shared" si="7"/>
        <v>#VALUE!</v>
      </c>
      <c r="D29" s="485" t="e">
        <f>D184</f>
        <v>#VALUE!</v>
      </c>
      <c r="E29" s="485" t="e">
        <f>E184</f>
        <v>#VALUE!</v>
      </c>
      <c r="F29" s="485" t="e">
        <f>F184</f>
        <v>#VALUE!</v>
      </c>
      <c r="G29" s="485" t="e">
        <f>G184</f>
        <v>#VALUE!</v>
      </c>
      <c r="H29" s="485" t="e">
        <f t="shared" ref="H29:U29" si="18">H184</f>
        <v>#VALUE!</v>
      </c>
      <c r="I29" s="485" t="e">
        <f t="shared" si="18"/>
        <v>#VALUE!</v>
      </c>
      <c r="J29" s="485" t="e">
        <f>J184</f>
        <v>#VALUE!</v>
      </c>
      <c r="K29" s="485"/>
      <c r="L29" s="485" t="e">
        <f t="shared" si="18"/>
        <v>#VALUE!</v>
      </c>
      <c r="M29" s="485" t="e">
        <f t="shared" si="18"/>
        <v>#VALUE!</v>
      </c>
      <c r="N29" s="485" t="e">
        <f t="shared" si="18"/>
        <v>#VALUE!</v>
      </c>
      <c r="O29" s="485" t="e">
        <f t="shared" si="18"/>
        <v>#VALUE!</v>
      </c>
      <c r="P29" s="485" t="e">
        <f t="shared" si="18"/>
        <v>#VALUE!</v>
      </c>
      <c r="Q29" s="485" t="e">
        <f t="shared" si="18"/>
        <v>#VALUE!</v>
      </c>
      <c r="R29" s="485" t="e">
        <f t="shared" si="18"/>
        <v>#VALUE!</v>
      </c>
      <c r="S29" s="485" t="e">
        <f t="shared" si="18"/>
        <v>#VALUE!</v>
      </c>
      <c r="T29" s="485" t="e">
        <f t="shared" si="18"/>
        <v>#VALUE!</v>
      </c>
      <c r="U29" s="485" t="e">
        <f t="shared" si="18"/>
        <v>#VALUE!</v>
      </c>
      <c r="V29" s="135" t="e">
        <f t="shared" si="4"/>
        <v>#VALUE!</v>
      </c>
      <c r="X29" s="493" t="e">
        <f t="shared" si="16"/>
        <v>#VALUE!</v>
      </c>
      <c r="Y29" s="488" t="e">
        <f t="shared" si="14"/>
        <v>#VALUE!</v>
      </c>
      <c r="AA29" s="493"/>
      <c r="AB29" s="493"/>
      <c r="AU29" s="485" t="s">
        <v>2092</v>
      </c>
    </row>
    <row r="30" spans="1:47" s="487" customFormat="1" hidden="1">
      <c r="A30" s="494"/>
      <c r="B30" s="491" t="s">
        <v>370</v>
      </c>
      <c r="C30" s="485" t="e">
        <f t="shared" si="7"/>
        <v>#VALUE!</v>
      </c>
      <c r="D30" s="485" t="e">
        <f>D181</f>
        <v>#VALUE!</v>
      </c>
      <c r="E30" s="485" t="e">
        <f>E181</f>
        <v>#VALUE!</v>
      </c>
      <c r="F30" s="485" t="e">
        <f>F181</f>
        <v>#VALUE!</v>
      </c>
      <c r="G30" s="485" t="e">
        <f>G181</f>
        <v>#VALUE!</v>
      </c>
      <c r="H30" s="485" t="e">
        <f t="shared" ref="H30:U30" si="19">H181</f>
        <v>#VALUE!</v>
      </c>
      <c r="I30" s="485" t="e">
        <f t="shared" si="19"/>
        <v>#VALUE!</v>
      </c>
      <c r="J30" s="485" t="e">
        <f>J181</f>
        <v>#VALUE!</v>
      </c>
      <c r="K30" s="485"/>
      <c r="L30" s="485" t="e">
        <f t="shared" si="19"/>
        <v>#VALUE!</v>
      </c>
      <c r="M30" s="485" t="e">
        <f t="shared" si="19"/>
        <v>#VALUE!</v>
      </c>
      <c r="N30" s="485" t="e">
        <f t="shared" si="19"/>
        <v>#VALUE!</v>
      </c>
      <c r="O30" s="485" t="e">
        <f t="shared" si="19"/>
        <v>#VALUE!</v>
      </c>
      <c r="P30" s="485" t="e">
        <f t="shared" si="19"/>
        <v>#VALUE!</v>
      </c>
      <c r="Q30" s="485" t="e">
        <f t="shared" si="19"/>
        <v>#VALUE!</v>
      </c>
      <c r="R30" s="485" t="e">
        <f t="shared" si="19"/>
        <v>#VALUE!</v>
      </c>
      <c r="S30" s="485" t="e">
        <f t="shared" si="19"/>
        <v>#VALUE!</v>
      </c>
      <c r="T30" s="485" t="e">
        <f t="shared" si="19"/>
        <v>#VALUE!</v>
      </c>
      <c r="U30" s="485" t="e">
        <f t="shared" si="19"/>
        <v>#VALUE!</v>
      </c>
      <c r="V30" s="135" t="e">
        <f t="shared" si="4"/>
        <v>#VALUE!</v>
      </c>
      <c r="X30" s="493" t="e">
        <f t="shared" si="16"/>
        <v>#VALUE!</v>
      </c>
      <c r="Y30" s="488" t="e">
        <f t="shared" si="14"/>
        <v>#VALUE!</v>
      </c>
      <c r="AU30" s="485" t="s">
        <v>561</v>
      </c>
    </row>
    <row r="31" spans="1:47" s="71" customFormat="1">
      <c r="A31" s="288">
        <v>140</v>
      </c>
      <c r="B31" s="70" t="s">
        <v>1836</v>
      </c>
      <c r="C31" s="410" t="e">
        <f>SUM(C27:C30)</f>
        <v>#VALUE!</v>
      </c>
      <c r="D31" s="410" t="e">
        <f t="shared" ref="D31:U31" si="20">SUM(D27:D30)</f>
        <v>#VALUE!</v>
      </c>
      <c r="E31" s="410" t="e">
        <f t="shared" si="20"/>
        <v>#VALUE!</v>
      </c>
      <c r="F31" s="410" t="e">
        <f t="shared" si="20"/>
        <v>#VALUE!</v>
      </c>
      <c r="G31" s="410" t="e">
        <f t="shared" si="20"/>
        <v>#VALUE!</v>
      </c>
      <c r="H31" s="490" t="e">
        <f>IF(C31=0,0,(H27*(C27/C31))+(H28*(C28/C31))+(H29*(C29/C31))+(H30*(C30/C31)))</f>
        <v>#VALUE!</v>
      </c>
      <c r="I31" s="410" t="e">
        <f t="shared" si="20"/>
        <v>#VALUE!</v>
      </c>
      <c r="J31" s="410" t="e">
        <f>SUM(J27:J30)</f>
        <v>#VALUE!</v>
      </c>
      <c r="K31" s="410"/>
      <c r="L31" s="410" t="e">
        <f t="shared" si="20"/>
        <v>#VALUE!</v>
      </c>
      <c r="M31" s="410" t="e">
        <f t="shared" si="20"/>
        <v>#VALUE!</v>
      </c>
      <c r="N31" s="410" t="e">
        <f t="shared" si="20"/>
        <v>#VALUE!</v>
      </c>
      <c r="O31" s="410" t="e">
        <f t="shared" si="20"/>
        <v>#VALUE!</v>
      </c>
      <c r="P31" s="410" t="e">
        <f t="shared" si="20"/>
        <v>#VALUE!</v>
      </c>
      <c r="Q31" s="410" t="e">
        <f t="shared" si="20"/>
        <v>#VALUE!</v>
      </c>
      <c r="R31" s="410" t="e">
        <f t="shared" si="20"/>
        <v>#VALUE!</v>
      </c>
      <c r="S31" s="410" t="e">
        <f>SUM(S27:S30)</f>
        <v>#VALUE!</v>
      </c>
      <c r="T31" s="410" t="e">
        <f>SUM(T27:T30)</f>
        <v>#VALUE!</v>
      </c>
      <c r="U31" s="410" t="e">
        <f t="shared" si="20"/>
        <v>#VALUE!</v>
      </c>
      <c r="V31" s="135" t="e">
        <f t="shared" si="4"/>
        <v>#VALUE!</v>
      </c>
      <c r="X31" s="105" t="e">
        <f t="shared" si="16"/>
        <v>#VALUE!</v>
      </c>
      <c r="Y31" s="456" t="e">
        <f t="shared" si="14"/>
        <v>#VALUE!</v>
      </c>
      <c r="AU31" s="469"/>
    </row>
    <row r="32" spans="1:47">
      <c r="A32" s="286">
        <v>150</v>
      </c>
      <c r="B32" s="102" t="s">
        <v>987</v>
      </c>
      <c r="C32" s="104" t="e">
        <f>SUM(C21:C26)+C31</f>
        <v>#VALUE!</v>
      </c>
      <c r="D32" s="104" t="e">
        <f t="shared" ref="D32:U32" si="21">SUM(D21:D26)+D31</f>
        <v>#VALUE!</v>
      </c>
      <c r="E32" s="104" t="e">
        <f t="shared" si="21"/>
        <v>#VALUE!</v>
      </c>
      <c r="F32" s="104" t="e">
        <f t="shared" si="21"/>
        <v>#VALUE!</v>
      </c>
      <c r="G32" s="104" t="e">
        <f t="shared" si="21"/>
        <v>#VALUE!</v>
      </c>
      <c r="H32" s="108" t="e">
        <f>IF(C32=0,"",(H21*(C21/C32))+(H22*(C22/C32))+(H23*(C23/C32))+(H24*(C24/C32))+(H25*(C25/C32))+(H26*(C26/C32)))</f>
        <v>#VALUE!</v>
      </c>
      <c r="I32" s="104" t="e">
        <f t="shared" si="21"/>
        <v>#VALUE!</v>
      </c>
      <c r="J32" s="104" t="e">
        <f>SUM(J21:J26)+J31</f>
        <v>#VALUE!</v>
      </c>
      <c r="K32" s="104"/>
      <c r="L32" s="104" t="e">
        <f t="shared" si="21"/>
        <v>#VALUE!</v>
      </c>
      <c r="M32" s="104" t="e">
        <f t="shared" si="21"/>
        <v>#VALUE!</v>
      </c>
      <c r="N32" s="104" t="e">
        <f t="shared" si="21"/>
        <v>#VALUE!</v>
      </c>
      <c r="O32" s="104" t="e">
        <f t="shared" si="21"/>
        <v>#VALUE!</v>
      </c>
      <c r="P32" s="104" t="e">
        <f t="shared" si="21"/>
        <v>#VALUE!</v>
      </c>
      <c r="Q32" s="104" t="e">
        <f t="shared" si="21"/>
        <v>#VALUE!</v>
      </c>
      <c r="R32" s="104" t="e">
        <f t="shared" si="21"/>
        <v>#VALUE!</v>
      </c>
      <c r="S32" s="104" t="e">
        <f t="shared" si="21"/>
        <v>#VALUE!</v>
      </c>
      <c r="T32" s="104" t="e">
        <f t="shared" si="21"/>
        <v>#VALUE!</v>
      </c>
      <c r="U32" s="104" t="e">
        <f t="shared" si="21"/>
        <v>#VALUE!</v>
      </c>
      <c r="V32" s="619" t="e">
        <f t="shared" si="4"/>
        <v>#VALUE!</v>
      </c>
      <c r="W32" s="436"/>
      <c r="X32" s="105" t="e">
        <f t="shared" si="16"/>
        <v>#VALUE!</v>
      </c>
      <c r="Y32" s="456" t="e">
        <f t="shared" si="14"/>
        <v>#VALUE!</v>
      </c>
      <c r="AU32" s="468">
        <f>SUM(AU27:AU30)</f>
        <v>0</v>
      </c>
    </row>
    <row r="33" spans="1:47">
      <c r="A33" s="286"/>
      <c r="B33" s="102" t="s">
        <v>407</v>
      </c>
      <c r="C33" s="103"/>
      <c r="D33" s="103"/>
      <c r="E33" s="103"/>
      <c r="F33" s="103"/>
      <c r="G33" s="103"/>
      <c r="H33" s="108"/>
      <c r="I33" s="103"/>
      <c r="J33" s="103"/>
      <c r="K33" s="103"/>
      <c r="L33" s="103"/>
      <c r="M33" s="103"/>
      <c r="N33" s="103"/>
      <c r="O33" s="103"/>
      <c r="P33" s="103"/>
      <c r="Q33" s="103"/>
      <c r="R33" s="103"/>
      <c r="S33" s="103"/>
      <c r="T33" s="103"/>
      <c r="U33" s="103"/>
      <c r="V33" s="289"/>
      <c r="X33" s="105"/>
      <c r="Y33" s="456"/>
      <c r="AU33" s="470"/>
    </row>
    <row r="34" spans="1:47">
      <c r="A34" s="288">
        <v>160</v>
      </c>
      <c r="B34" s="70" t="s">
        <v>1203</v>
      </c>
      <c r="C34" s="410" t="e">
        <f t="shared" ref="C34:C42" si="22">D34+G34</f>
        <v>#VALUE!</v>
      </c>
      <c r="D34" s="410" t="s">
        <v>1688</v>
      </c>
      <c r="E34" s="410" t="s">
        <v>488</v>
      </c>
      <c r="F34" s="410" t="s">
        <v>1164</v>
      </c>
      <c r="G34" s="410" t="e">
        <f t="shared" ref="G34:G42" si="23">E34+F34</f>
        <v>#VALUE!</v>
      </c>
      <c r="H34" s="437" t="s">
        <v>496</v>
      </c>
      <c r="I34" s="410" t="s">
        <v>2063</v>
      </c>
      <c r="J34" s="410" t="s">
        <v>1236</v>
      </c>
      <c r="K34" s="410"/>
      <c r="L34" s="410" t="s">
        <v>2064</v>
      </c>
      <c r="M34" s="410" t="s">
        <v>1126</v>
      </c>
      <c r="N34" s="410" t="s">
        <v>583</v>
      </c>
      <c r="O34" s="410" t="s">
        <v>1127</v>
      </c>
      <c r="P34" s="410" t="s">
        <v>1234</v>
      </c>
      <c r="Q34" s="410" t="s">
        <v>1235</v>
      </c>
      <c r="R34" s="410" t="s">
        <v>2357</v>
      </c>
      <c r="S34" s="410" t="s">
        <v>2431</v>
      </c>
      <c r="T34" s="410" t="s">
        <v>2506</v>
      </c>
      <c r="U34" s="410" t="s">
        <v>1237</v>
      </c>
      <c r="V34" s="135" t="e">
        <f t="shared" si="4"/>
        <v>#VALUE!</v>
      </c>
      <c r="X34" s="105" t="e">
        <f>SUM(I34:V34)</f>
        <v>#VALUE!</v>
      </c>
      <c r="Y34" s="456" t="e">
        <f t="shared" ref="Y34:Y44" si="24">C34-X34</f>
        <v>#VALUE!</v>
      </c>
      <c r="AE34" s="106"/>
      <c r="AU34" s="469" t="s">
        <v>564</v>
      </c>
    </row>
    <row r="35" spans="1:47" ht="12.75" customHeight="1">
      <c r="A35" s="288">
        <v>170</v>
      </c>
      <c r="B35" s="70" t="s">
        <v>1204</v>
      </c>
      <c r="C35" s="410" t="e">
        <f t="shared" si="22"/>
        <v>#VALUE!</v>
      </c>
      <c r="D35" s="410" t="s">
        <v>2005</v>
      </c>
      <c r="E35" s="410" t="s">
        <v>106</v>
      </c>
      <c r="F35" s="410" t="s">
        <v>1166</v>
      </c>
      <c r="G35" s="410" t="e">
        <f t="shared" si="23"/>
        <v>#VALUE!</v>
      </c>
      <c r="H35" s="437" t="s">
        <v>316</v>
      </c>
      <c r="I35" s="410" t="s">
        <v>1250</v>
      </c>
      <c r="J35" s="410" t="s">
        <v>1029</v>
      </c>
      <c r="K35" s="410"/>
      <c r="L35" s="410" t="s">
        <v>1251</v>
      </c>
      <c r="M35" s="410" t="s">
        <v>411</v>
      </c>
      <c r="N35" s="410" t="s">
        <v>724</v>
      </c>
      <c r="O35" s="410" t="s">
        <v>412</v>
      </c>
      <c r="P35" s="410" t="s">
        <v>1027</v>
      </c>
      <c r="Q35" s="410" t="s">
        <v>1028</v>
      </c>
      <c r="R35" s="410" t="s">
        <v>2358</v>
      </c>
      <c r="S35" s="410" t="s">
        <v>2432</v>
      </c>
      <c r="T35" s="410" t="s">
        <v>2507</v>
      </c>
      <c r="U35" s="410" t="s">
        <v>1030</v>
      </c>
      <c r="V35" s="135" t="e">
        <f t="shared" si="4"/>
        <v>#VALUE!</v>
      </c>
      <c r="X35" s="105" t="e">
        <f>SUM(I35:V35)</f>
        <v>#VALUE!</v>
      </c>
      <c r="Y35" s="456" t="e">
        <f t="shared" si="24"/>
        <v>#VALUE!</v>
      </c>
      <c r="AU35" s="469" t="s">
        <v>566</v>
      </c>
    </row>
    <row r="36" spans="1:47" s="71" customFormat="1">
      <c r="A36" s="288">
        <v>180</v>
      </c>
      <c r="B36" s="70" t="s">
        <v>2018</v>
      </c>
      <c r="C36" s="410" t="e">
        <f t="shared" si="22"/>
        <v>#VALUE!</v>
      </c>
      <c r="D36" s="410" t="s">
        <v>2006</v>
      </c>
      <c r="E36" s="410" t="s">
        <v>107</v>
      </c>
      <c r="F36" s="410" t="s">
        <v>1167</v>
      </c>
      <c r="G36" s="410" t="e">
        <f t="shared" si="23"/>
        <v>#VALUE!</v>
      </c>
      <c r="H36" s="437" t="s">
        <v>1518</v>
      </c>
      <c r="I36" s="410" t="s">
        <v>1031</v>
      </c>
      <c r="J36" s="410" t="s">
        <v>130</v>
      </c>
      <c r="K36" s="410"/>
      <c r="L36" s="410" t="s">
        <v>1032</v>
      </c>
      <c r="M36" s="410" t="s">
        <v>1033</v>
      </c>
      <c r="N36" s="410" t="s">
        <v>725</v>
      </c>
      <c r="O36" s="410" t="s">
        <v>622</v>
      </c>
      <c r="P36" s="410" t="s">
        <v>623</v>
      </c>
      <c r="Q36" s="410" t="s">
        <v>624</v>
      </c>
      <c r="R36" s="410" t="s">
        <v>2359</v>
      </c>
      <c r="S36" s="410" t="s">
        <v>2433</v>
      </c>
      <c r="T36" s="410" t="s">
        <v>2508</v>
      </c>
      <c r="U36" s="410" t="s">
        <v>625</v>
      </c>
      <c r="V36" s="135" t="e">
        <f t="shared" si="4"/>
        <v>#VALUE!</v>
      </c>
      <c r="X36" s="105" t="e">
        <f>SUM(I36:V36)</f>
        <v>#VALUE!</v>
      </c>
      <c r="Y36" s="456" t="e">
        <f t="shared" si="24"/>
        <v>#VALUE!</v>
      </c>
      <c r="AU36" s="469" t="s">
        <v>567</v>
      </c>
    </row>
    <row r="37" spans="1:47" s="71" customFormat="1">
      <c r="A37" s="288">
        <v>190</v>
      </c>
      <c r="B37" s="70" t="s">
        <v>2019</v>
      </c>
      <c r="C37" s="410" t="e">
        <f t="shared" si="22"/>
        <v>#VALUE!</v>
      </c>
      <c r="D37" s="410" t="s">
        <v>2008</v>
      </c>
      <c r="E37" s="410" t="s">
        <v>109</v>
      </c>
      <c r="F37" s="410" t="s">
        <v>1169</v>
      </c>
      <c r="G37" s="410" t="e">
        <f t="shared" si="23"/>
        <v>#VALUE!</v>
      </c>
      <c r="H37" s="437" t="s">
        <v>1520</v>
      </c>
      <c r="I37" s="410" t="s">
        <v>2012</v>
      </c>
      <c r="J37" s="410" t="s">
        <v>793</v>
      </c>
      <c r="K37" s="410"/>
      <c r="L37" s="410" t="s">
        <v>2013</v>
      </c>
      <c r="M37" s="410" t="s">
        <v>2014</v>
      </c>
      <c r="N37" s="410" t="s">
        <v>727</v>
      </c>
      <c r="O37" s="410" t="s">
        <v>2015</v>
      </c>
      <c r="P37" s="410" t="s">
        <v>54</v>
      </c>
      <c r="Q37" s="410" t="s">
        <v>792</v>
      </c>
      <c r="R37" s="410" t="s">
        <v>2360</v>
      </c>
      <c r="S37" s="410" t="s">
        <v>2434</v>
      </c>
      <c r="T37" s="410" t="s">
        <v>2509</v>
      </c>
      <c r="U37" s="410" t="s">
        <v>794</v>
      </c>
      <c r="V37" s="135" t="e">
        <f t="shared" si="4"/>
        <v>#VALUE!</v>
      </c>
      <c r="X37" s="105" t="e">
        <f>SUM(I37:V37)</f>
        <v>#VALUE!</v>
      </c>
      <c r="Y37" s="456" t="e">
        <f t="shared" si="24"/>
        <v>#VALUE!</v>
      </c>
      <c r="AU37" s="469" t="s">
        <v>1597</v>
      </c>
    </row>
    <row r="38" spans="1:47" s="71" customFormat="1">
      <c r="A38" s="288">
        <v>200</v>
      </c>
      <c r="B38" s="107" t="s">
        <v>705</v>
      </c>
      <c r="C38" s="410" t="e">
        <f t="shared" si="22"/>
        <v>#VALUE!</v>
      </c>
      <c r="D38" s="410" t="s">
        <v>115</v>
      </c>
      <c r="E38" s="410" t="s">
        <v>111</v>
      </c>
      <c r="F38" s="410" t="s">
        <v>1171</v>
      </c>
      <c r="G38" s="410" t="e">
        <f t="shared" si="23"/>
        <v>#VALUE!</v>
      </c>
      <c r="H38" s="437" t="s">
        <v>1522</v>
      </c>
      <c r="I38" s="410" t="s">
        <v>445</v>
      </c>
      <c r="J38" s="410" t="s">
        <v>451</v>
      </c>
      <c r="K38" s="410"/>
      <c r="L38" s="410" t="s">
        <v>446</v>
      </c>
      <c r="M38" s="410" t="s">
        <v>447</v>
      </c>
      <c r="N38" s="410" t="s">
        <v>729</v>
      </c>
      <c r="O38" s="410" t="s">
        <v>448</v>
      </c>
      <c r="P38" s="410" t="s">
        <v>449</v>
      </c>
      <c r="Q38" s="410" t="s">
        <v>450</v>
      </c>
      <c r="R38" s="410" t="s">
        <v>2361</v>
      </c>
      <c r="S38" s="410" t="s">
        <v>2435</v>
      </c>
      <c r="T38" s="410" t="s">
        <v>2510</v>
      </c>
      <c r="U38" s="410" t="s">
        <v>452</v>
      </c>
      <c r="V38" s="135" t="e">
        <f t="shared" si="4"/>
        <v>#VALUE!</v>
      </c>
      <c r="X38" s="105" t="e">
        <f>SUM(I38:V38)</f>
        <v>#VALUE!</v>
      </c>
      <c r="Y38" s="456" t="e">
        <f t="shared" si="24"/>
        <v>#VALUE!</v>
      </c>
      <c r="AU38" s="469" t="s">
        <v>1599</v>
      </c>
    </row>
    <row r="39" spans="1:47" s="487" customFormat="1" hidden="1">
      <c r="A39" s="483"/>
      <c r="B39" s="491" t="s">
        <v>925</v>
      </c>
      <c r="C39" s="485" t="e">
        <f t="shared" si="22"/>
        <v>#VALUE!</v>
      </c>
      <c r="D39" s="485" t="s">
        <v>1687</v>
      </c>
      <c r="E39" s="485" t="s">
        <v>487</v>
      </c>
      <c r="F39" s="485" t="s">
        <v>1163</v>
      </c>
      <c r="G39" s="485" t="e">
        <f t="shared" si="23"/>
        <v>#VALUE!</v>
      </c>
      <c r="H39" s="486" t="s">
        <v>1039</v>
      </c>
      <c r="I39" s="485" t="s">
        <v>1547</v>
      </c>
      <c r="J39" s="485" t="s">
        <v>1553</v>
      </c>
      <c r="K39" s="485"/>
      <c r="L39" s="485" t="s">
        <v>1548</v>
      </c>
      <c r="M39" s="485" t="s">
        <v>1549</v>
      </c>
      <c r="N39" s="485" t="s">
        <v>582</v>
      </c>
      <c r="O39" s="485" t="s">
        <v>1550</v>
      </c>
      <c r="P39" s="485" t="s">
        <v>1551</v>
      </c>
      <c r="Q39" s="485" t="s">
        <v>1552</v>
      </c>
      <c r="R39" s="485" t="s">
        <v>2362</v>
      </c>
      <c r="S39" s="485" t="s">
        <v>2436</v>
      </c>
      <c r="T39" s="485" t="s">
        <v>2511</v>
      </c>
      <c r="U39" s="485" t="s">
        <v>1554</v>
      </c>
      <c r="V39" s="135" t="e">
        <f t="shared" si="4"/>
        <v>#VALUE!</v>
      </c>
      <c r="W39" s="492"/>
      <c r="X39" s="493" t="e">
        <f t="shared" ref="X39:X44" si="25">SUM(I39:V39)</f>
        <v>#VALUE!</v>
      </c>
      <c r="Y39" s="488" t="e">
        <f t="shared" si="24"/>
        <v>#VALUE!</v>
      </c>
      <c r="Z39" s="492"/>
      <c r="AA39" s="492"/>
      <c r="AU39" s="485" t="s">
        <v>563</v>
      </c>
    </row>
    <row r="40" spans="1:47" s="492" customFormat="1" hidden="1">
      <c r="A40" s="494"/>
      <c r="B40" s="491" t="s">
        <v>371</v>
      </c>
      <c r="C40" s="485" t="e">
        <f t="shared" si="22"/>
        <v>#VALUE!</v>
      </c>
      <c r="D40" s="485" t="s">
        <v>2004</v>
      </c>
      <c r="E40" s="485" t="s">
        <v>489</v>
      </c>
      <c r="F40" s="485" t="s">
        <v>1165</v>
      </c>
      <c r="G40" s="485" t="e">
        <f t="shared" si="23"/>
        <v>#VALUE!</v>
      </c>
      <c r="H40" s="486" t="s">
        <v>1761</v>
      </c>
      <c r="I40" s="485" t="s">
        <v>1238</v>
      </c>
      <c r="J40" s="485" t="s">
        <v>986</v>
      </c>
      <c r="K40" s="485"/>
      <c r="L40" s="485" t="s">
        <v>1239</v>
      </c>
      <c r="M40" s="485" t="s">
        <v>611</v>
      </c>
      <c r="N40" s="485" t="s">
        <v>584</v>
      </c>
      <c r="O40" s="485" t="s">
        <v>612</v>
      </c>
      <c r="P40" s="485" t="s">
        <v>1709</v>
      </c>
      <c r="Q40" s="485" t="s">
        <v>1710</v>
      </c>
      <c r="R40" s="485" t="s">
        <v>2363</v>
      </c>
      <c r="S40" s="485" t="s">
        <v>2437</v>
      </c>
      <c r="T40" s="485" t="s">
        <v>2512</v>
      </c>
      <c r="U40" s="485" t="s">
        <v>2190</v>
      </c>
      <c r="V40" s="135" t="e">
        <f t="shared" si="4"/>
        <v>#VALUE!</v>
      </c>
      <c r="W40" s="487"/>
      <c r="X40" s="493" t="e">
        <f t="shared" si="25"/>
        <v>#VALUE!</v>
      </c>
      <c r="Y40" s="488" t="e">
        <f t="shared" si="24"/>
        <v>#VALUE!</v>
      </c>
      <c r="Z40" s="487"/>
      <c r="AA40" s="487"/>
      <c r="AB40" s="487"/>
      <c r="AC40" s="487"/>
      <c r="AD40" s="487"/>
      <c r="AE40" s="487"/>
      <c r="AF40" s="487"/>
      <c r="AU40" s="485" t="s">
        <v>565</v>
      </c>
    </row>
    <row r="41" spans="1:47" s="487" customFormat="1" hidden="1">
      <c r="A41" s="494"/>
      <c r="B41" s="491" t="s">
        <v>926</v>
      </c>
      <c r="C41" s="485" t="e">
        <f t="shared" si="22"/>
        <v>#VALUE!</v>
      </c>
      <c r="D41" s="485" t="s">
        <v>2007</v>
      </c>
      <c r="E41" s="485" t="s">
        <v>108</v>
      </c>
      <c r="F41" s="485" t="s">
        <v>1168</v>
      </c>
      <c r="G41" s="485" t="e">
        <f t="shared" si="23"/>
        <v>#VALUE!</v>
      </c>
      <c r="H41" s="486" t="s">
        <v>1519</v>
      </c>
      <c r="I41" s="485" t="s">
        <v>2228</v>
      </c>
      <c r="J41" s="485" t="s">
        <v>2010</v>
      </c>
      <c r="K41" s="485"/>
      <c r="L41" s="485" t="s">
        <v>2229</v>
      </c>
      <c r="M41" s="485" t="s">
        <v>2230</v>
      </c>
      <c r="N41" s="485" t="s">
        <v>726</v>
      </c>
      <c r="O41" s="485" t="s">
        <v>393</v>
      </c>
      <c r="P41" s="485" t="s">
        <v>394</v>
      </c>
      <c r="Q41" s="485" t="s">
        <v>395</v>
      </c>
      <c r="R41" s="485" t="s">
        <v>2364</v>
      </c>
      <c r="S41" s="485" t="s">
        <v>2438</v>
      </c>
      <c r="T41" s="485" t="s">
        <v>2513</v>
      </c>
      <c r="U41" s="485" t="s">
        <v>2011</v>
      </c>
      <c r="V41" s="135" t="e">
        <f t="shared" si="4"/>
        <v>#VALUE!</v>
      </c>
      <c r="X41" s="493" t="e">
        <f t="shared" si="25"/>
        <v>#VALUE!</v>
      </c>
      <c r="Y41" s="488" t="e">
        <f t="shared" si="24"/>
        <v>#VALUE!</v>
      </c>
      <c r="AA41" s="493"/>
      <c r="AB41" s="493"/>
      <c r="AU41" s="485" t="s">
        <v>1596</v>
      </c>
    </row>
    <row r="42" spans="1:47" s="487" customFormat="1" hidden="1">
      <c r="A42" s="494"/>
      <c r="B42" s="491" t="s">
        <v>370</v>
      </c>
      <c r="C42" s="485" t="e">
        <f t="shared" si="22"/>
        <v>#VALUE!</v>
      </c>
      <c r="D42" s="485" t="s">
        <v>114</v>
      </c>
      <c r="E42" s="485" t="s">
        <v>110</v>
      </c>
      <c r="F42" s="485" t="s">
        <v>1170</v>
      </c>
      <c r="G42" s="485" t="e">
        <f t="shared" si="23"/>
        <v>#VALUE!</v>
      </c>
      <c r="H42" s="486" t="s">
        <v>1521</v>
      </c>
      <c r="I42" s="485" t="s">
        <v>795</v>
      </c>
      <c r="J42" s="485" t="s">
        <v>443</v>
      </c>
      <c r="K42" s="485"/>
      <c r="L42" s="485" t="s">
        <v>796</v>
      </c>
      <c r="M42" s="485" t="s">
        <v>797</v>
      </c>
      <c r="N42" s="485" t="s">
        <v>728</v>
      </c>
      <c r="O42" s="485" t="s">
        <v>440</v>
      </c>
      <c r="P42" s="485" t="s">
        <v>441</v>
      </c>
      <c r="Q42" s="485" t="s">
        <v>442</v>
      </c>
      <c r="R42" s="485" t="s">
        <v>2365</v>
      </c>
      <c r="S42" s="485" t="s">
        <v>2439</v>
      </c>
      <c r="T42" s="485" t="s">
        <v>2514</v>
      </c>
      <c r="U42" s="485" t="s">
        <v>444</v>
      </c>
      <c r="V42" s="135" t="e">
        <f t="shared" si="4"/>
        <v>#VALUE!</v>
      </c>
      <c r="X42" s="493" t="e">
        <f t="shared" si="25"/>
        <v>#VALUE!</v>
      </c>
      <c r="Y42" s="488" t="e">
        <f t="shared" si="24"/>
        <v>#VALUE!</v>
      </c>
      <c r="AU42" s="485" t="s">
        <v>1598</v>
      </c>
    </row>
    <row r="43" spans="1:47">
      <c r="A43" s="288">
        <v>210</v>
      </c>
      <c r="B43" s="70" t="s">
        <v>1836</v>
      </c>
      <c r="C43" s="105" t="e">
        <f>SUM(C39:C42)</f>
        <v>#VALUE!</v>
      </c>
      <c r="D43" s="105">
        <f t="shared" ref="D43:U43" si="26">SUM(D39:D42)</f>
        <v>0</v>
      </c>
      <c r="E43" s="105">
        <f t="shared" si="26"/>
        <v>0</v>
      </c>
      <c r="F43" s="105">
        <f t="shared" si="26"/>
        <v>0</v>
      </c>
      <c r="G43" s="105" t="e">
        <f t="shared" si="26"/>
        <v>#VALUE!</v>
      </c>
      <c r="H43" s="490" t="e">
        <f>IF(C43=0,0,(H39*(C39/C43))+(H40*(C40/C43))+(H41*(C41/C43))+(H42*(C42/C43)))</f>
        <v>#VALUE!</v>
      </c>
      <c r="I43" s="105">
        <f t="shared" si="26"/>
        <v>0</v>
      </c>
      <c r="J43" s="105">
        <f>SUM(J39:J42)</f>
        <v>0</v>
      </c>
      <c r="K43" s="105"/>
      <c r="L43" s="105">
        <f t="shared" si="26"/>
        <v>0</v>
      </c>
      <c r="M43" s="105">
        <f t="shared" si="26"/>
        <v>0</v>
      </c>
      <c r="N43" s="105">
        <f t="shared" si="26"/>
        <v>0</v>
      </c>
      <c r="O43" s="105">
        <f t="shared" si="26"/>
        <v>0</v>
      </c>
      <c r="P43" s="105">
        <f t="shared" si="26"/>
        <v>0</v>
      </c>
      <c r="Q43" s="105">
        <f t="shared" si="26"/>
        <v>0</v>
      </c>
      <c r="R43" s="105">
        <f t="shared" si="26"/>
        <v>0</v>
      </c>
      <c r="S43" s="105">
        <f>SUM(S39:S42)</f>
        <v>0</v>
      </c>
      <c r="T43" s="105">
        <f>SUM(T39:T42)</f>
        <v>0</v>
      </c>
      <c r="U43" s="105">
        <f t="shared" si="26"/>
        <v>0</v>
      </c>
      <c r="V43" s="135" t="e">
        <f t="shared" si="4"/>
        <v>#VALUE!</v>
      </c>
      <c r="X43" s="105" t="e">
        <f t="shared" si="25"/>
        <v>#VALUE!</v>
      </c>
      <c r="Y43" s="456" t="e">
        <f t="shared" si="24"/>
        <v>#VALUE!</v>
      </c>
    </row>
    <row r="44" spans="1:47">
      <c r="A44" s="286">
        <v>220</v>
      </c>
      <c r="B44" s="102" t="s">
        <v>1950</v>
      </c>
      <c r="C44" s="104" t="e">
        <f>SUM(C34:C38)+C43</f>
        <v>#VALUE!</v>
      </c>
      <c r="D44" s="104">
        <f t="shared" ref="D44:U44" si="27">SUM(D34:D38)+D43</f>
        <v>0</v>
      </c>
      <c r="E44" s="104">
        <f t="shared" si="27"/>
        <v>0</v>
      </c>
      <c r="F44" s="104">
        <f t="shared" si="27"/>
        <v>0</v>
      </c>
      <c r="G44" s="104" t="e">
        <f t="shared" si="27"/>
        <v>#VALUE!</v>
      </c>
      <c r="H44" s="490" t="e">
        <f>IF(C44=0,"",(H34*(C34/C44))+(H35*(C35/C44))+(H36*(C36/C44))+(H37*(C37/C44))+(H38*(C38/C44)))</f>
        <v>#VALUE!</v>
      </c>
      <c r="I44" s="104">
        <f t="shared" si="27"/>
        <v>0</v>
      </c>
      <c r="J44" s="104">
        <f>SUM(J34:J38)+J43</f>
        <v>0</v>
      </c>
      <c r="K44" s="104"/>
      <c r="L44" s="104">
        <f t="shared" si="27"/>
        <v>0</v>
      </c>
      <c r="M44" s="104">
        <f t="shared" si="27"/>
        <v>0</v>
      </c>
      <c r="N44" s="104">
        <f t="shared" si="27"/>
        <v>0</v>
      </c>
      <c r="O44" s="104">
        <f t="shared" si="27"/>
        <v>0</v>
      </c>
      <c r="P44" s="104">
        <f t="shared" si="27"/>
        <v>0</v>
      </c>
      <c r="Q44" s="104">
        <f t="shared" si="27"/>
        <v>0</v>
      </c>
      <c r="R44" s="104">
        <f t="shared" si="27"/>
        <v>0</v>
      </c>
      <c r="S44" s="104">
        <f t="shared" si="27"/>
        <v>0</v>
      </c>
      <c r="T44" s="104">
        <f t="shared" si="27"/>
        <v>0</v>
      </c>
      <c r="U44" s="104">
        <f t="shared" si="27"/>
        <v>0</v>
      </c>
      <c r="V44" s="619" t="e">
        <f t="shared" si="4"/>
        <v>#VALUE!</v>
      </c>
      <c r="W44" s="436"/>
      <c r="X44" s="105" t="e">
        <f t="shared" si="25"/>
        <v>#VALUE!</v>
      </c>
      <c r="Y44" s="456" t="e">
        <f t="shared" si="24"/>
        <v>#VALUE!</v>
      </c>
      <c r="AU44" s="468">
        <f>SUM(AU39:AU43)</f>
        <v>0</v>
      </c>
    </row>
    <row r="45" spans="1:47">
      <c r="A45" s="286"/>
      <c r="B45" s="102" t="s">
        <v>1951</v>
      </c>
      <c r="C45" s="103"/>
      <c r="D45" s="103"/>
      <c r="E45" s="103"/>
      <c r="F45" s="103"/>
      <c r="G45" s="103"/>
      <c r="H45" s="108"/>
      <c r="I45" s="103"/>
      <c r="J45" s="103"/>
      <c r="K45" s="103"/>
      <c r="L45" s="103"/>
      <c r="M45" s="103"/>
      <c r="N45" s="103"/>
      <c r="O45" s="103"/>
      <c r="P45" s="103"/>
      <c r="Q45" s="103"/>
      <c r="R45" s="103"/>
      <c r="S45" s="103"/>
      <c r="T45" s="103"/>
      <c r="U45" s="103"/>
      <c r="V45" s="289"/>
      <c r="X45" s="105"/>
      <c r="Y45" s="456"/>
      <c r="AU45" s="470"/>
    </row>
    <row r="46" spans="1:47">
      <c r="A46" s="288">
        <v>230</v>
      </c>
      <c r="B46" s="70" t="s">
        <v>1203</v>
      </c>
      <c r="C46" s="410" t="e">
        <f t="shared" ref="C46:C54" si="28">D46+G46</f>
        <v>#VALUE!</v>
      </c>
      <c r="D46" s="410" t="s">
        <v>117</v>
      </c>
      <c r="E46" s="410" t="s">
        <v>113</v>
      </c>
      <c r="F46" s="410" t="s">
        <v>6</v>
      </c>
      <c r="G46" s="410" t="e">
        <f t="shared" ref="G46:G54" si="29">E46+F46</f>
        <v>#VALUE!</v>
      </c>
      <c r="H46" s="437" t="s">
        <v>496</v>
      </c>
      <c r="I46" s="410" t="s">
        <v>1787</v>
      </c>
      <c r="J46" s="410" t="s">
        <v>1049</v>
      </c>
      <c r="K46" s="410"/>
      <c r="L46" s="410" t="s">
        <v>1788</v>
      </c>
      <c r="M46" s="410" t="s">
        <v>1789</v>
      </c>
      <c r="N46" s="410" t="s">
        <v>1454</v>
      </c>
      <c r="O46" s="410" t="s">
        <v>1046</v>
      </c>
      <c r="P46" s="410" t="s">
        <v>1047</v>
      </c>
      <c r="Q46" s="410" t="s">
        <v>1048</v>
      </c>
      <c r="R46" s="410" t="s">
        <v>2366</v>
      </c>
      <c r="S46" s="410" t="s">
        <v>2440</v>
      </c>
      <c r="T46" s="410" t="s">
        <v>2515</v>
      </c>
      <c r="U46" s="410" t="s">
        <v>1050</v>
      </c>
      <c r="V46" s="135" t="e">
        <f t="shared" si="4"/>
        <v>#VALUE!</v>
      </c>
      <c r="X46" s="105" t="e">
        <f>SUM(I46:V46)</f>
        <v>#VALUE!</v>
      </c>
      <c r="Y46" s="456" t="e">
        <f t="shared" ref="Y46:Y56" si="30">C46-X46</f>
        <v>#VALUE!</v>
      </c>
      <c r="AE46" s="106"/>
      <c r="AU46" s="469" t="s">
        <v>1601</v>
      </c>
    </row>
    <row r="47" spans="1:47" ht="12.75" customHeight="1">
      <c r="A47" s="288">
        <v>240</v>
      </c>
      <c r="B47" s="70" t="s">
        <v>1204</v>
      </c>
      <c r="C47" s="410" t="e">
        <f t="shared" si="28"/>
        <v>#VALUE!</v>
      </c>
      <c r="D47" s="410" t="s">
        <v>119</v>
      </c>
      <c r="E47" s="410" t="s">
        <v>2009</v>
      </c>
      <c r="F47" s="410" t="s">
        <v>8</v>
      </c>
      <c r="G47" s="410" t="e">
        <f t="shared" si="29"/>
        <v>#VALUE!</v>
      </c>
      <c r="H47" s="437" t="s">
        <v>1298</v>
      </c>
      <c r="I47" s="410" t="s">
        <v>186</v>
      </c>
      <c r="J47" s="410" t="s">
        <v>1464</v>
      </c>
      <c r="K47" s="410"/>
      <c r="L47" s="410" t="s">
        <v>187</v>
      </c>
      <c r="M47" s="410" t="s">
        <v>1460</v>
      </c>
      <c r="N47" s="410" t="s">
        <v>1456</v>
      </c>
      <c r="O47" s="410" t="s">
        <v>1461</v>
      </c>
      <c r="P47" s="410" t="s">
        <v>1462</v>
      </c>
      <c r="Q47" s="410" t="s">
        <v>1463</v>
      </c>
      <c r="R47" s="410" t="s">
        <v>2367</v>
      </c>
      <c r="S47" s="410" t="s">
        <v>2441</v>
      </c>
      <c r="T47" s="410" t="s">
        <v>2516</v>
      </c>
      <c r="U47" s="410" t="s">
        <v>1465</v>
      </c>
      <c r="V47" s="135" t="e">
        <f t="shared" si="4"/>
        <v>#VALUE!</v>
      </c>
      <c r="X47" s="105" t="e">
        <f>SUM(I47:V47)</f>
        <v>#VALUE!</v>
      </c>
      <c r="Y47" s="456" t="e">
        <f t="shared" si="30"/>
        <v>#VALUE!</v>
      </c>
      <c r="AU47" s="469" t="s">
        <v>1603</v>
      </c>
    </row>
    <row r="48" spans="1:47" s="71" customFormat="1">
      <c r="A48" s="288">
        <v>250</v>
      </c>
      <c r="B48" s="70" t="s">
        <v>2018</v>
      </c>
      <c r="C48" s="410" t="e">
        <f t="shared" si="28"/>
        <v>#VALUE!</v>
      </c>
      <c r="D48" s="410" t="s">
        <v>120</v>
      </c>
      <c r="E48" s="410" t="s">
        <v>1910</v>
      </c>
      <c r="F48" s="410" t="s">
        <v>9</v>
      </c>
      <c r="G48" s="410" t="e">
        <f t="shared" si="29"/>
        <v>#VALUE!</v>
      </c>
      <c r="H48" s="437" t="s">
        <v>1299</v>
      </c>
      <c r="I48" s="410" t="s">
        <v>2149</v>
      </c>
      <c r="J48" s="410" t="s">
        <v>179</v>
      </c>
      <c r="K48" s="410"/>
      <c r="L48" s="410" t="s">
        <v>2150</v>
      </c>
      <c r="M48" s="410" t="s">
        <v>2151</v>
      </c>
      <c r="N48" s="410" t="s">
        <v>1457</v>
      </c>
      <c r="O48" s="410" t="s">
        <v>429</v>
      </c>
      <c r="P48" s="410" t="s">
        <v>2234</v>
      </c>
      <c r="Q48" s="410" t="s">
        <v>1515</v>
      </c>
      <c r="R48" s="410" t="s">
        <v>2368</v>
      </c>
      <c r="S48" s="410" t="s">
        <v>2442</v>
      </c>
      <c r="T48" s="410" t="s">
        <v>2517</v>
      </c>
      <c r="U48" s="410" t="s">
        <v>180</v>
      </c>
      <c r="V48" s="135" t="e">
        <f t="shared" si="4"/>
        <v>#VALUE!</v>
      </c>
      <c r="X48" s="105" t="e">
        <f>SUM(I48:V48)</f>
        <v>#VALUE!</v>
      </c>
      <c r="Y48" s="456" t="e">
        <f t="shared" si="30"/>
        <v>#VALUE!</v>
      </c>
      <c r="AU48" s="469" t="s">
        <v>1604</v>
      </c>
    </row>
    <row r="49" spans="1:47" s="71" customFormat="1">
      <c r="A49" s="288">
        <v>260</v>
      </c>
      <c r="B49" s="70" t="s">
        <v>2019</v>
      </c>
      <c r="C49" s="410" t="e">
        <f t="shared" si="28"/>
        <v>#VALUE!</v>
      </c>
      <c r="D49" s="410" t="s">
        <v>837</v>
      </c>
      <c r="E49" s="410" t="s">
        <v>1912</v>
      </c>
      <c r="F49" s="410" t="s">
        <v>11</v>
      </c>
      <c r="G49" s="410" t="e">
        <f t="shared" si="29"/>
        <v>#VALUE!</v>
      </c>
      <c r="H49" s="437" t="s">
        <v>1909</v>
      </c>
      <c r="I49" s="410" t="s">
        <v>597</v>
      </c>
      <c r="J49" s="410" t="s">
        <v>603</v>
      </c>
      <c r="K49" s="410"/>
      <c r="L49" s="410" t="s">
        <v>598</v>
      </c>
      <c r="M49" s="410" t="s">
        <v>599</v>
      </c>
      <c r="N49" s="410" t="s">
        <v>1459</v>
      </c>
      <c r="O49" s="410" t="s">
        <v>600</v>
      </c>
      <c r="P49" s="410" t="s">
        <v>601</v>
      </c>
      <c r="Q49" s="410" t="s">
        <v>602</v>
      </c>
      <c r="R49" s="410" t="s">
        <v>2369</v>
      </c>
      <c r="S49" s="410" t="s">
        <v>2443</v>
      </c>
      <c r="T49" s="410" t="s">
        <v>2518</v>
      </c>
      <c r="U49" s="410" t="s">
        <v>2080</v>
      </c>
      <c r="V49" s="135" t="e">
        <f t="shared" si="4"/>
        <v>#VALUE!</v>
      </c>
      <c r="X49" s="105" t="e">
        <f>SUM(I49:V49)</f>
        <v>#VALUE!</v>
      </c>
      <c r="Y49" s="456" t="e">
        <f t="shared" si="30"/>
        <v>#VALUE!</v>
      </c>
      <c r="AU49" s="469" t="s">
        <v>1606</v>
      </c>
    </row>
    <row r="50" spans="1:47" s="71" customFormat="1">
      <c r="A50" s="288">
        <v>270</v>
      </c>
      <c r="B50" s="107" t="s">
        <v>705</v>
      </c>
      <c r="C50" s="410" t="e">
        <f t="shared" si="28"/>
        <v>#VALUE!</v>
      </c>
      <c r="D50" s="410" t="s">
        <v>839</v>
      </c>
      <c r="E50" s="410" t="s">
        <v>1914</v>
      </c>
      <c r="F50" s="410" t="s">
        <v>13</v>
      </c>
      <c r="G50" s="410" t="e">
        <f t="shared" si="29"/>
        <v>#VALUE!</v>
      </c>
      <c r="H50" s="437" t="s">
        <v>30</v>
      </c>
      <c r="I50" s="410" t="s">
        <v>1309</v>
      </c>
      <c r="J50" s="410" t="s">
        <v>2173</v>
      </c>
      <c r="K50" s="410"/>
      <c r="L50" s="410" t="s">
        <v>1310</v>
      </c>
      <c r="M50" s="410" t="s">
        <v>1311</v>
      </c>
      <c r="N50" s="410" t="s">
        <v>1724</v>
      </c>
      <c r="O50" s="410" t="s">
        <v>1312</v>
      </c>
      <c r="P50" s="410" t="s">
        <v>1313</v>
      </c>
      <c r="Q50" s="410" t="s">
        <v>2172</v>
      </c>
      <c r="R50" s="410" t="s">
        <v>2370</v>
      </c>
      <c r="S50" s="410" t="s">
        <v>2444</v>
      </c>
      <c r="T50" s="410" t="s">
        <v>2519</v>
      </c>
      <c r="U50" s="410" t="s">
        <v>2174</v>
      </c>
      <c r="V50" s="135" t="e">
        <f t="shared" si="4"/>
        <v>#VALUE!</v>
      </c>
      <c r="X50" s="105" t="e">
        <f>SUM(I50:V50)</f>
        <v>#VALUE!</v>
      </c>
      <c r="Y50" s="456" t="e">
        <f t="shared" si="30"/>
        <v>#VALUE!</v>
      </c>
      <c r="AU50" s="469" t="s">
        <v>1608</v>
      </c>
    </row>
    <row r="51" spans="1:47" s="487" customFormat="1" hidden="1">
      <c r="A51" s="483"/>
      <c r="B51" s="491" t="s">
        <v>925</v>
      </c>
      <c r="C51" s="485" t="e">
        <f t="shared" si="28"/>
        <v>#VALUE!</v>
      </c>
      <c r="D51" s="485" t="s">
        <v>116</v>
      </c>
      <c r="E51" s="485" t="s">
        <v>112</v>
      </c>
      <c r="F51" s="485" t="s">
        <v>5</v>
      </c>
      <c r="G51" s="485" t="e">
        <f t="shared" si="29"/>
        <v>#VALUE!</v>
      </c>
      <c r="H51" s="486" t="s">
        <v>210</v>
      </c>
      <c r="I51" s="485" t="s">
        <v>453</v>
      </c>
      <c r="J51" s="485" t="s">
        <v>1614</v>
      </c>
      <c r="K51" s="485"/>
      <c r="L51" s="485" t="s">
        <v>454</v>
      </c>
      <c r="M51" s="485" t="s">
        <v>1967</v>
      </c>
      <c r="N51" s="485" t="s">
        <v>1453</v>
      </c>
      <c r="O51" s="485" t="s">
        <v>1968</v>
      </c>
      <c r="P51" s="485" t="s">
        <v>1612</v>
      </c>
      <c r="Q51" s="485" t="s">
        <v>1613</v>
      </c>
      <c r="R51" s="485" t="s">
        <v>2371</v>
      </c>
      <c r="S51" s="485" t="s">
        <v>2445</v>
      </c>
      <c r="T51" s="485" t="s">
        <v>2520</v>
      </c>
      <c r="U51" s="485" t="s">
        <v>1615</v>
      </c>
      <c r="V51" s="135" t="e">
        <f t="shared" si="4"/>
        <v>#VALUE!</v>
      </c>
      <c r="W51" s="492"/>
      <c r="X51" s="493" t="e">
        <f t="shared" ref="X51:X56" si="31">SUM(I51:V51)</f>
        <v>#VALUE!</v>
      </c>
      <c r="Y51" s="488" t="e">
        <f t="shared" si="30"/>
        <v>#VALUE!</v>
      </c>
      <c r="Z51" s="492"/>
      <c r="AA51" s="492"/>
      <c r="AU51" s="485" t="s">
        <v>1600</v>
      </c>
    </row>
    <row r="52" spans="1:47" s="492" customFormat="1" hidden="1">
      <c r="A52" s="494"/>
      <c r="B52" s="491" t="s">
        <v>371</v>
      </c>
      <c r="C52" s="485" t="e">
        <f t="shared" si="28"/>
        <v>#VALUE!</v>
      </c>
      <c r="D52" s="485" t="s">
        <v>118</v>
      </c>
      <c r="E52" s="485" t="s">
        <v>626</v>
      </c>
      <c r="F52" s="485" t="s">
        <v>7</v>
      </c>
      <c r="G52" s="485" t="e">
        <f t="shared" si="29"/>
        <v>#VALUE!</v>
      </c>
      <c r="H52" s="486" t="s">
        <v>211</v>
      </c>
      <c r="I52" s="485" t="s">
        <v>1051</v>
      </c>
      <c r="J52" s="485" t="s">
        <v>951</v>
      </c>
      <c r="K52" s="485"/>
      <c r="L52" s="485" t="s">
        <v>1052</v>
      </c>
      <c r="M52" s="485" t="s">
        <v>1053</v>
      </c>
      <c r="N52" s="485" t="s">
        <v>1455</v>
      </c>
      <c r="O52" s="485" t="s">
        <v>2001</v>
      </c>
      <c r="P52" s="485" t="s">
        <v>2002</v>
      </c>
      <c r="Q52" s="485" t="s">
        <v>2003</v>
      </c>
      <c r="R52" s="485" t="s">
        <v>2372</v>
      </c>
      <c r="S52" s="485" t="s">
        <v>2446</v>
      </c>
      <c r="T52" s="485" t="s">
        <v>2521</v>
      </c>
      <c r="U52" s="485" t="s">
        <v>952</v>
      </c>
      <c r="V52" s="135" t="e">
        <f t="shared" si="4"/>
        <v>#VALUE!</v>
      </c>
      <c r="W52" s="487"/>
      <c r="X52" s="493" t="e">
        <f t="shared" si="31"/>
        <v>#VALUE!</v>
      </c>
      <c r="Y52" s="488" t="e">
        <f t="shared" si="30"/>
        <v>#VALUE!</v>
      </c>
      <c r="Z52" s="487"/>
      <c r="AA52" s="487"/>
      <c r="AB52" s="487"/>
      <c r="AC52" s="487"/>
      <c r="AD52" s="487"/>
      <c r="AE52" s="487"/>
      <c r="AF52" s="487"/>
      <c r="AU52" s="485" t="s">
        <v>1602</v>
      </c>
    </row>
    <row r="53" spans="1:47" s="487" customFormat="1" hidden="1">
      <c r="A53" s="494"/>
      <c r="B53" s="491" t="s">
        <v>926</v>
      </c>
      <c r="C53" s="485" t="e">
        <f t="shared" si="28"/>
        <v>#VALUE!</v>
      </c>
      <c r="D53" s="485" t="s">
        <v>121</v>
      </c>
      <c r="E53" s="485" t="s">
        <v>1911</v>
      </c>
      <c r="F53" s="485" t="s">
        <v>10</v>
      </c>
      <c r="G53" s="485" t="e">
        <f t="shared" si="29"/>
        <v>#VALUE!</v>
      </c>
      <c r="H53" s="486" t="s">
        <v>1300</v>
      </c>
      <c r="I53" s="485" t="s">
        <v>181</v>
      </c>
      <c r="J53" s="485" t="s">
        <v>595</v>
      </c>
      <c r="K53" s="485"/>
      <c r="L53" s="485" t="s">
        <v>182</v>
      </c>
      <c r="M53" s="485" t="s">
        <v>183</v>
      </c>
      <c r="N53" s="485" t="s">
        <v>1458</v>
      </c>
      <c r="O53" s="485" t="s">
        <v>592</v>
      </c>
      <c r="P53" s="485" t="s">
        <v>593</v>
      </c>
      <c r="Q53" s="485" t="s">
        <v>594</v>
      </c>
      <c r="R53" s="485" t="s">
        <v>2373</v>
      </c>
      <c r="S53" s="485" t="s">
        <v>2447</v>
      </c>
      <c r="T53" s="485" t="s">
        <v>2522</v>
      </c>
      <c r="U53" s="485" t="s">
        <v>596</v>
      </c>
      <c r="V53" s="135" t="e">
        <f t="shared" si="4"/>
        <v>#VALUE!</v>
      </c>
      <c r="X53" s="493" t="e">
        <f t="shared" si="31"/>
        <v>#VALUE!</v>
      </c>
      <c r="Y53" s="488" t="e">
        <f t="shared" si="30"/>
        <v>#VALUE!</v>
      </c>
      <c r="AA53" s="493"/>
      <c r="AB53" s="493"/>
      <c r="AU53" s="485" t="s">
        <v>1605</v>
      </c>
    </row>
    <row r="54" spans="1:47" s="487" customFormat="1" hidden="1">
      <c r="A54" s="494"/>
      <c r="B54" s="491" t="s">
        <v>370</v>
      </c>
      <c r="C54" s="485" t="e">
        <f t="shared" si="28"/>
        <v>#VALUE!</v>
      </c>
      <c r="D54" s="485" t="s">
        <v>838</v>
      </c>
      <c r="E54" s="485" t="s">
        <v>1913</v>
      </c>
      <c r="F54" s="485" t="s">
        <v>12</v>
      </c>
      <c r="G54" s="485" t="e">
        <f t="shared" si="29"/>
        <v>#VALUE!</v>
      </c>
      <c r="H54" s="486" t="s">
        <v>29</v>
      </c>
      <c r="I54" s="485" t="s">
        <v>2081</v>
      </c>
      <c r="J54" s="485" t="s">
        <v>1307</v>
      </c>
      <c r="K54" s="485"/>
      <c r="L54" s="485" t="s">
        <v>2082</v>
      </c>
      <c r="M54" s="485" t="s">
        <v>2083</v>
      </c>
      <c r="N54" s="485" t="s">
        <v>1723</v>
      </c>
      <c r="O54" s="485" t="s">
        <v>2084</v>
      </c>
      <c r="P54" s="485" t="s">
        <v>2085</v>
      </c>
      <c r="Q54" s="485" t="s">
        <v>2086</v>
      </c>
      <c r="R54" s="485" t="s">
        <v>2374</v>
      </c>
      <c r="S54" s="485" t="s">
        <v>2448</v>
      </c>
      <c r="T54" s="485" t="s">
        <v>2523</v>
      </c>
      <c r="U54" s="485" t="s">
        <v>1308</v>
      </c>
      <c r="V54" s="135" t="e">
        <f t="shared" si="4"/>
        <v>#VALUE!</v>
      </c>
      <c r="X54" s="493" t="e">
        <f t="shared" si="31"/>
        <v>#VALUE!</v>
      </c>
      <c r="Y54" s="488" t="e">
        <f t="shared" si="30"/>
        <v>#VALUE!</v>
      </c>
      <c r="AU54" s="485" t="s">
        <v>1607</v>
      </c>
    </row>
    <row r="55" spans="1:47">
      <c r="A55" s="935">
        <v>280</v>
      </c>
      <c r="B55" s="70" t="s">
        <v>1836</v>
      </c>
      <c r="C55" s="105" t="e">
        <f>SUM(C51:C54)</f>
        <v>#VALUE!</v>
      </c>
      <c r="D55" s="105">
        <f t="shared" ref="D55:U55" si="32">SUM(D51:D54)</f>
        <v>0</v>
      </c>
      <c r="E55" s="105">
        <f t="shared" si="32"/>
        <v>0</v>
      </c>
      <c r="F55" s="105">
        <f t="shared" si="32"/>
        <v>0</v>
      </c>
      <c r="G55" s="105" t="e">
        <f t="shared" si="32"/>
        <v>#VALUE!</v>
      </c>
      <c r="H55" s="490" t="e">
        <f>IF(C55=0,0,(H51*(C51/C55))+(H52*(C52/C55))+(H53*(C53/C55))+(H54*(C54/C55)))</f>
        <v>#VALUE!</v>
      </c>
      <c r="I55" s="105">
        <f t="shared" si="32"/>
        <v>0</v>
      </c>
      <c r="J55" s="105">
        <f>SUM(J51:J54)</f>
        <v>0</v>
      </c>
      <c r="K55" s="105"/>
      <c r="L55" s="105">
        <f t="shared" si="32"/>
        <v>0</v>
      </c>
      <c r="M55" s="105">
        <f t="shared" si="32"/>
        <v>0</v>
      </c>
      <c r="N55" s="105">
        <f t="shared" si="32"/>
        <v>0</v>
      </c>
      <c r="O55" s="105">
        <f t="shared" si="32"/>
        <v>0</v>
      </c>
      <c r="P55" s="105">
        <f t="shared" si="32"/>
        <v>0</v>
      </c>
      <c r="Q55" s="105">
        <f t="shared" si="32"/>
        <v>0</v>
      </c>
      <c r="R55" s="105">
        <f t="shared" si="32"/>
        <v>0</v>
      </c>
      <c r="S55" s="105">
        <f>SUM(S51:S54)</f>
        <v>0</v>
      </c>
      <c r="T55" s="105">
        <f>SUM(T51:T54)</f>
        <v>0</v>
      </c>
      <c r="U55" s="105">
        <f t="shared" si="32"/>
        <v>0</v>
      </c>
      <c r="V55" s="135" t="e">
        <f t="shared" si="4"/>
        <v>#VALUE!</v>
      </c>
      <c r="X55" s="105" t="e">
        <f t="shared" si="31"/>
        <v>#VALUE!</v>
      </c>
      <c r="Y55" s="456" t="e">
        <f t="shared" si="30"/>
        <v>#VALUE!</v>
      </c>
    </row>
    <row r="56" spans="1:47">
      <c r="A56" s="286">
        <v>290</v>
      </c>
      <c r="B56" s="102" t="s">
        <v>2020</v>
      </c>
      <c r="C56" s="104" t="e">
        <f>SUM(C46:C50)+C55</f>
        <v>#VALUE!</v>
      </c>
      <c r="D56" s="104">
        <f t="shared" ref="D56:U56" si="33">SUM(D46:D50)+D55</f>
        <v>0</v>
      </c>
      <c r="E56" s="104">
        <f t="shared" si="33"/>
        <v>0</v>
      </c>
      <c r="F56" s="104">
        <f t="shared" si="33"/>
        <v>0</v>
      </c>
      <c r="G56" s="104" t="e">
        <f t="shared" si="33"/>
        <v>#VALUE!</v>
      </c>
      <c r="H56" s="490" t="e">
        <f>IF(C56=0,"",(H46*(C46/C56))+(H47*(C47/C56))+(H48*(C48/C56))+(H49*(C49/C56))+(H50*(C50/C56)))</f>
        <v>#VALUE!</v>
      </c>
      <c r="I56" s="104">
        <f t="shared" si="33"/>
        <v>0</v>
      </c>
      <c r="J56" s="104">
        <f>SUM(J46:J50)+J55</f>
        <v>0</v>
      </c>
      <c r="K56" s="104"/>
      <c r="L56" s="104">
        <f t="shared" si="33"/>
        <v>0</v>
      </c>
      <c r="M56" s="104">
        <f t="shared" si="33"/>
        <v>0</v>
      </c>
      <c r="N56" s="104">
        <f t="shared" si="33"/>
        <v>0</v>
      </c>
      <c r="O56" s="104">
        <f t="shared" si="33"/>
        <v>0</v>
      </c>
      <c r="P56" s="104">
        <f t="shared" si="33"/>
        <v>0</v>
      </c>
      <c r="Q56" s="104">
        <f t="shared" si="33"/>
        <v>0</v>
      </c>
      <c r="R56" s="104">
        <f t="shared" si="33"/>
        <v>0</v>
      </c>
      <c r="S56" s="104">
        <f t="shared" si="33"/>
        <v>0</v>
      </c>
      <c r="T56" s="104">
        <f t="shared" si="33"/>
        <v>0</v>
      </c>
      <c r="U56" s="104">
        <f t="shared" si="33"/>
        <v>0</v>
      </c>
      <c r="V56" s="619" t="e">
        <f t="shared" si="4"/>
        <v>#VALUE!</v>
      </c>
      <c r="W56" s="436"/>
      <c r="X56" s="105" t="e">
        <f t="shared" si="31"/>
        <v>#VALUE!</v>
      </c>
      <c r="Y56" s="456" t="e">
        <f t="shared" si="30"/>
        <v>#VALUE!</v>
      </c>
      <c r="AU56" s="468">
        <f>SUM(AU51:AU55)</f>
        <v>0</v>
      </c>
    </row>
    <row r="57" spans="1:47">
      <c r="A57" s="286"/>
      <c r="B57" s="102" t="s">
        <v>223</v>
      </c>
      <c r="C57" s="103"/>
      <c r="D57" s="103"/>
      <c r="E57" s="103"/>
      <c r="F57" s="103"/>
      <c r="G57" s="103"/>
      <c r="H57" s="108"/>
      <c r="I57" s="103"/>
      <c r="J57" s="103"/>
      <c r="K57" s="103"/>
      <c r="L57" s="103"/>
      <c r="M57" s="103"/>
      <c r="N57" s="103"/>
      <c r="O57" s="103"/>
      <c r="P57" s="103"/>
      <c r="Q57" s="103"/>
      <c r="R57" s="103"/>
      <c r="S57" s="103"/>
      <c r="T57" s="103"/>
      <c r="U57" s="103"/>
      <c r="V57" s="289"/>
      <c r="X57" s="105"/>
      <c r="Y57" s="456"/>
      <c r="AU57" s="470"/>
    </row>
    <row r="58" spans="1:47">
      <c r="A58" s="288">
        <v>300</v>
      </c>
      <c r="B58" s="70" t="s">
        <v>1203</v>
      </c>
      <c r="C58" s="410" t="e">
        <f t="shared" ref="C58:C66" si="34">D58+G58</f>
        <v>#VALUE!</v>
      </c>
      <c r="D58" s="410" t="s">
        <v>841</v>
      </c>
      <c r="E58" s="410" t="s">
        <v>1916</v>
      </c>
      <c r="F58" s="410" t="s">
        <v>15</v>
      </c>
      <c r="G58" s="410" t="e">
        <f t="shared" ref="G58:G66" si="35">E58+F58</f>
        <v>#VALUE!</v>
      </c>
      <c r="H58" s="437" t="s">
        <v>496</v>
      </c>
      <c r="I58" s="410" t="s">
        <v>1663</v>
      </c>
      <c r="J58" s="410" t="s">
        <v>1974</v>
      </c>
      <c r="K58" s="410"/>
      <c r="L58" s="410" t="s">
        <v>1930</v>
      </c>
      <c r="M58" s="410" t="s">
        <v>1931</v>
      </c>
      <c r="N58" s="410" t="s">
        <v>287</v>
      </c>
      <c r="O58" s="410" t="s">
        <v>1971</v>
      </c>
      <c r="P58" s="410" t="s">
        <v>1972</v>
      </c>
      <c r="Q58" s="410" t="s">
        <v>1973</v>
      </c>
      <c r="R58" s="410" t="s">
        <v>2375</v>
      </c>
      <c r="S58" s="410" t="s">
        <v>2449</v>
      </c>
      <c r="T58" s="410" t="s">
        <v>2524</v>
      </c>
      <c r="U58" s="410" t="s">
        <v>945</v>
      </c>
      <c r="V58" s="135" t="e">
        <f t="shared" si="4"/>
        <v>#VALUE!</v>
      </c>
      <c r="X58" s="105" t="e">
        <f>SUM(I58:V58)</f>
        <v>#VALUE!</v>
      </c>
      <c r="Y58" s="456" t="e">
        <f t="shared" ref="Y58:Y68" si="36">C58-X58</f>
        <v>#VALUE!</v>
      </c>
      <c r="AE58" s="106"/>
      <c r="AU58" s="469" t="s">
        <v>1256</v>
      </c>
    </row>
    <row r="59" spans="1:47" s="71" customFormat="1">
      <c r="A59" s="288">
        <v>310</v>
      </c>
      <c r="B59" s="107" t="s">
        <v>1204</v>
      </c>
      <c r="C59" s="410" t="e">
        <f t="shared" si="34"/>
        <v>#VALUE!</v>
      </c>
      <c r="D59" s="410" t="s">
        <v>55</v>
      </c>
      <c r="E59" s="410" t="s">
        <v>847</v>
      </c>
      <c r="F59" s="410" t="s">
        <v>58</v>
      </c>
      <c r="G59" s="410" t="e">
        <f t="shared" si="35"/>
        <v>#VALUE!</v>
      </c>
      <c r="H59" s="437" t="s">
        <v>427</v>
      </c>
      <c r="I59" s="410" t="s">
        <v>885</v>
      </c>
      <c r="J59" s="410" t="s">
        <v>891</v>
      </c>
      <c r="K59" s="410"/>
      <c r="L59" s="410" t="s">
        <v>886</v>
      </c>
      <c r="M59" s="410" t="s">
        <v>887</v>
      </c>
      <c r="N59" s="410" t="s">
        <v>767</v>
      </c>
      <c r="O59" s="410" t="s">
        <v>888</v>
      </c>
      <c r="P59" s="410" t="s">
        <v>889</v>
      </c>
      <c r="Q59" s="410" t="s">
        <v>890</v>
      </c>
      <c r="R59" s="410" t="s">
        <v>2376</v>
      </c>
      <c r="S59" s="410" t="s">
        <v>2450</v>
      </c>
      <c r="T59" s="410" t="s">
        <v>2525</v>
      </c>
      <c r="U59" s="410" t="s">
        <v>892</v>
      </c>
      <c r="V59" s="135" t="e">
        <f t="shared" si="4"/>
        <v>#VALUE!</v>
      </c>
      <c r="X59" s="105" t="e">
        <f>SUM(I59:V59)</f>
        <v>#VALUE!</v>
      </c>
      <c r="Y59" s="456" t="e">
        <f t="shared" si="36"/>
        <v>#VALUE!</v>
      </c>
      <c r="AU59" s="469" t="s">
        <v>1258</v>
      </c>
    </row>
    <row r="60" spans="1:47" s="71" customFormat="1">
      <c r="A60" s="288">
        <v>320</v>
      </c>
      <c r="B60" s="70" t="s">
        <v>2018</v>
      </c>
      <c r="C60" s="410" t="e">
        <f t="shared" si="34"/>
        <v>#VALUE!</v>
      </c>
      <c r="D60" s="410" t="s">
        <v>56</v>
      </c>
      <c r="E60" s="410" t="s">
        <v>848</v>
      </c>
      <c r="F60" s="410" t="s">
        <v>59</v>
      </c>
      <c r="G60" s="410" t="e">
        <f t="shared" si="35"/>
        <v>#VALUE!</v>
      </c>
      <c r="H60" s="437" t="s">
        <v>331</v>
      </c>
      <c r="I60" s="410" t="s">
        <v>893</v>
      </c>
      <c r="J60" s="410" t="s">
        <v>2055</v>
      </c>
      <c r="K60" s="410"/>
      <c r="L60" s="410" t="s">
        <v>894</v>
      </c>
      <c r="M60" s="410" t="s">
        <v>1303</v>
      </c>
      <c r="N60" s="410" t="s">
        <v>768</v>
      </c>
      <c r="O60" s="410" t="s">
        <v>1304</v>
      </c>
      <c r="P60" s="410" t="s">
        <v>1305</v>
      </c>
      <c r="Q60" s="410" t="s">
        <v>1306</v>
      </c>
      <c r="R60" s="410" t="s">
        <v>2377</v>
      </c>
      <c r="S60" s="410" t="s">
        <v>2451</v>
      </c>
      <c r="T60" s="410" t="s">
        <v>2526</v>
      </c>
      <c r="U60" s="410" t="s">
        <v>2056</v>
      </c>
      <c r="V60" s="135" t="e">
        <f t="shared" si="4"/>
        <v>#VALUE!</v>
      </c>
      <c r="X60" s="105" t="e">
        <f>SUM(I60:V60)</f>
        <v>#VALUE!</v>
      </c>
      <c r="Y60" s="456" t="e">
        <f t="shared" si="36"/>
        <v>#VALUE!</v>
      </c>
      <c r="AU60" s="469" t="s">
        <v>1259</v>
      </c>
    </row>
    <row r="61" spans="1:47" s="71" customFormat="1">
      <c r="A61" s="288">
        <v>330</v>
      </c>
      <c r="B61" s="70" t="s">
        <v>2019</v>
      </c>
      <c r="C61" s="410" t="e">
        <f t="shared" si="34"/>
        <v>#VALUE!</v>
      </c>
      <c r="D61" s="410" t="s">
        <v>1026</v>
      </c>
      <c r="E61" s="410" t="s">
        <v>850</v>
      </c>
      <c r="F61" s="410" t="s">
        <v>1172</v>
      </c>
      <c r="G61" s="410" t="e">
        <f t="shared" si="35"/>
        <v>#VALUE!</v>
      </c>
      <c r="H61" s="437" t="s">
        <v>333</v>
      </c>
      <c r="I61" s="410" t="s">
        <v>1590</v>
      </c>
      <c r="J61" s="410" t="s">
        <v>228</v>
      </c>
      <c r="K61" s="410"/>
      <c r="L61" s="410" t="s">
        <v>1693</v>
      </c>
      <c r="M61" s="410" t="s">
        <v>224</v>
      </c>
      <c r="N61" s="410" t="s">
        <v>770</v>
      </c>
      <c r="O61" s="410" t="s">
        <v>225</v>
      </c>
      <c r="P61" s="410" t="s">
        <v>226</v>
      </c>
      <c r="Q61" s="410" t="s">
        <v>227</v>
      </c>
      <c r="R61" s="410" t="s">
        <v>2378</v>
      </c>
      <c r="S61" s="410" t="s">
        <v>2452</v>
      </c>
      <c r="T61" s="410" t="s">
        <v>2527</v>
      </c>
      <c r="U61" s="410" t="s">
        <v>229</v>
      </c>
      <c r="V61" s="135" t="e">
        <f t="shared" si="4"/>
        <v>#VALUE!</v>
      </c>
      <c r="X61" s="105" t="e">
        <f>SUM(I61:V61)</f>
        <v>#VALUE!</v>
      </c>
      <c r="Y61" s="456" t="e">
        <f t="shared" si="36"/>
        <v>#VALUE!</v>
      </c>
      <c r="AU61" s="469" t="s">
        <v>1261</v>
      </c>
    </row>
    <row r="62" spans="1:47" s="71" customFormat="1">
      <c r="A62" s="288">
        <v>340</v>
      </c>
      <c r="B62" s="107" t="s">
        <v>705</v>
      </c>
      <c r="C62" s="410" t="e">
        <f t="shared" si="34"/>
        <v>#VALUE!</v>
      </c>
      <c r="D62" s="410" t="s">
        <v>1573</v>
      </c>
      <c r="E62" s="410" t="s">
        <v>852</v>
      </c>
      <c r="F62" s="410" t="s">
        <v>1174</v>
      </c>
      <c r="G62" s="410" t="e">
        <f t="shared" si="35"/>
        <v>#VALUE!</v>
      </c>
      <c r="H62" s="437" t="s">
        <v>713</v>
      </c>
      <c r="I62" s="410" t="s">
        <v>844</v>
      </c>
      <c r="J62" s="410" t="s">
        <v>1159</v>
      </c>
      <c r="K62" s="410"/>
      <c r="L62" s="410" t="s">
        <v>845</v>
      </c>
      <c r="M62" s="410" t="s">
        <v>2146</v>
      </c>
      <c r="N62" s="410" t="s">
        <v>772</v>
      </c>
      <c r="O62" s="410" t="s">
        <v>2147</v>
      </c>
      <c r="P62" s="410" t="s">
        <v>2148</v>
      </c>
      <c r="Q62" s="410" t="s">
        <v>1153</v>
      </c>
      <c r="R62" s="410" t="s">
        <v>2379</v>
      </c>
      <c r="S62" s="410" t="s">
        <v>2453</v>
      </c>
      <c r="T62" s="410" t="s">
        <v>2528</v>
      </c>
      <c r="U62" s="410" t="s">
        <v>1160</v>
      </c>
      <c r="V62" s="135" t="e">
        <f t="shared" si="4"/>
        <v>#VALUE!</v>
      </c>
      <c r="X62" s="105" t="e">
        <f>SUM(I62:V62)</f>
        <v>#VALUE!</v>
      </c>
      <c r="Y62" s="456" t="e">
        <f t="shared" si="36"/>
        <v>#VALUE!</v>
      </c>
      <c r="AU62" s="469" t="s">
        <v>1263</v>
      </c>
    </row>
    <row r="63" spans="1:47" s="487" customFormat="1" hidden="1">
      <c r="A63" s="483"/>
      <c r="B63" s="491" t="s">
        <v>925</v>
      </c>
      <c r="C63" s="485" t="e">
        <f t="shared" si="34"/>
        <v>#VALUE!</v>
      </c>
      <c r="D63" s="485" t="s">
        <v>840</v>
      </c>
      <c r="E63" s="485" t="s">
        <v>1915</v>
      </c>
      <c r="F63" s="485" t="s">
        <v>14</v>
      </c>
      <c r="G63" s="485" t="e">
        <f t="shared" si="35"/>
        <v>#VALUE!</v>
      </c>
      <c r="H63" s="486" t="s">
        <v>1211</v>
      </c>
      <c r="I63" s="485" t="s">
        <v>2175</v>
      </c>
      <c r="J63" s="485" t="s">
        <v>1661</v>
      </c>
      <c r="K63" s="485"/>
      <c r="L63" s="485" t="s">
        <v>2176</v>
      </c>
      <c r="M63" s="485" t="s">
        <v>1933</v>
      </c>
      <c r="N63" s="485" t="s">
        <v>1725</v>
      </c>
      <c r="O63" s="485" t="s">
        <v>1658</v>
      </c>
      <c r="P63" s="485" t="s">
        <v>1659</v>
      </c>
      <c r="Q63" s="485" t="s">
        <v>1660</v>
      </c>
      <c r="R63" s="485" t="s">
        <v>2380</v>
      </c>
      <c r="S63" s="485" t="s">
        <v>2454</v>
      </c>
      <c r="T63" s="485" t="s">
        <v>2529</v>
      </c>
      <c r="U63" s="485" t="s">
        <v>1662</v>
      </c>
      <c r="V63" s="135" t="e">
        <f t="shared" si="4"/>
        <v>#VALUE!</v>
      </c>
      <c r="W63" s="492"/>
      <c r="X63" s="493" t="e">
        <f t="shared" ref="X63:X68" si="37">SUM(I63:V63)</f>
        <v>#VALUE!</v>
      </c>
      <c r="Y63" s="488" t="e">
        <f t="shared" si="36"/>
        <v>#VALUE!</v>
      </c>
      <c r="Z63" s="492"/>
      <c r="AA63" s="492"/>
      <c r="AU63" s="485" t="s">
        <v>1609</v>
      </c>
    </row>
    <row r="64" spans="1:47" s="492" customFormat="1" hidden="1">
      <c r="A64" s="494"/>
      <c r="B64" s="491" t="s">
        <v>371</v>
      </c>
      <c r="C64" s="485" t="e">
        <f t="shared" si="34"/>
        <v>#VALUE!</v>
      </c>
      <c r="D64" s="485" t="s">
        <v>842</v>
      </c>
      <c r="E64" s="485" t="s">
        <v>1917</v>
      </c>
      <c r="F64" s="485" t="s">
        <v>57</v>
      </c>
      <c r="G64" s="485" t="e">
        <f t="shared" si="35"/>
        <v>#VALUE!</v>
      </c>
      <c r="H64" s="486" t="s">
        <v>1212</v>
      </c>
      <c r="I64" s="485" t="s">
        <v>1571</v>
      </c>
      <c r="J64" s="485" t="s">
        <v>2226</v>
      </c>
      <c r="K64" s="485"/>
      <c r="L64" s="485" t="s">
        <v>1572</v>
      </c>
      <c r="M64" s="485" t="s">
        <v>947</v>
      </c>
      <c r="N64" s="485" t="s">
        <v>288</v>
      </c>
      <c r="O64" s="485" t="s">
        <v>948</v>
      </c>
      <c r="P64" s="485" t="s">
        <v>1024</v>
      </c>
      <c r="Q64" s="485" t="s">
        <v>2225</v>
      </c>
      <c r="R64" s="485" t="s">
        <v>2381</v>
      </c>
      <c r="S64" s="485" t="s">
        <v>2455</v>
      </c>
      <c r="T64" s="485" t="s">
        <v>2530</v>
      </c>
      <c r="U64" s="485" t="s">
        <v>2227</v>
      </c>
      <c r="V64" s="135" t="e">
        <f t="shared" si="4"/>
        <v>#VALUE!</v>
      </c>
      <c r="W64" s="487"/>
      <c r="X64" s="493" t="e">
        <f t="shared" si="37"/>
        <v>#VALUE!</v>
      </c>
      <c r="Y64" s="488" t="e">
        <f t="shared" si="36"/>
        <v>#VALUE!</v>
      </c>
      <c r="Z64" s="487"/>
      <c r="AA64" s="487"/>
      <c r="AB64" s="487"/>
      <c r="AC64" s="487"/>
      <c r="AD64" s="487"/>
      <c r="AE64" s="487"/>
      <c r="AF64" s="487"/>
      <c r="AU64" s="485" t="s">
        <v>1257</v>
      </c>
    </row>
    <row r="65" spans="1:47" s="487" customFormat="1" hidden="1">
      <c r="A65" s="494"/>
      <c r="B65" s="491" t="s">
        <v>926</v>
      </c>
      <c r="C65" s="485" t="e">
        <f t="shared" si="34"/>
        <v>#VALUE!</v>
      </c>
      <c r="D65" s="485" t="s">
        <v>1025</v>
      </c>
      <c r="E65" s="485" t="s">
        <v>849</v>
      </c>
      <c r="F65" s="485" t="s">
        <v>60</v>
      </c>
      <c r="G65" s="485" t="e">
        <f t="shared" si="35"/>
        <v>#VALUE!</v>
      </c>
      <c r="H65" s="486" t="s">
        <v>332</v>
      </c>
      <c r="I65" s="485" t="s">
        <v>1582</v>
      </c>
      <c r="J65" s="485" t="s">
        <v>1588</v>
      </c>
      <c r="K65" s="485"/>
      <c r="L65" s="485" t="s">
        <v>1583</v>
      </c>
      <c r="M65" s="485" t="s">
        <v>1584</v>
      </c>
      <c r="N65" s="485" t="s">
        <v>769</v>
      </c>
      <c r="O65" s="485" t="s">
        <v>1585</v>
      </c>
      <c r="P65" s="485" t="s">
        <v>1586</v>
      </c>
      <c r="Q65" s="485" t="s">
        <v>1587</v>
      </c>
      <c r="R65" s="485" t="s">
        <v>2382</v>
      </c>
      <c r="S65" s="485" t="s">
        <v>2456</v>
      </c>
      <c r="T65" s="485" t="s">
        <v>2531</v>
      </c>
      <c r="U65" s="485" t="s">
        <v>1589</v>
      </c>
      <c r="V65" s="135" t="e">
        <f t="shared" si="4"/>
        <v>#VALUE!</v>
      </c>
      <c r="X65" s="493" t="e">
        <f t="shared" si="37"/>
        <v>#VALUE!</v>
      </c>
      <c r="Y65" s="488" t="e">
        <f t="shared" si="36"/>
        <v>#VALUE!</v>
      </c>
      <c r="AA65" s="493"/>
      <c r="AB65" s="493"/>
      <c r="AU65" s="485" t="s">
        <v>1260</v>
      </c>
    </row>
    <row r="66" spans="1:47" s="487" customFormat="1" hidden="1">
      <c r="A66" s="494"/>
      <c r="B66" s="491" t="s">
        <v>370</v>
      </c>
      <c r="C66" s="485" t="e">
        <f t="shared" si="34"/>
        <v>#VALUE!</v>
      </c>
      <c r="D66" s="485" t="s">
        <v>846</v>
      </c>
      <c r="E66" s="485" t="s">
        <v>851</v>
      </c>
      <c r="F66" s="485" t="s">
        <v>1173</v>
      </c>
      <c r="G66" s="485" t="e">
        <f t="shared" si="35"/>
        <v>#VALUE!</v>
      </c>
      <c r="H66" s="486" t="s">
        <v>334</v>
      </c>
      <c r="I66" s="485" t="s">
        <v>230</v>
      </c>
      <c r="J66" s="485" t="s">
        <v>1685</v>
      </c>
      <c r="K66" s="485"/>
      <c r="L66" s="485" t="s">
        <v>231</v>
      </c>
      <c r="M66" s="485" t="s">
        <v>232</v>
      </c>
      <c r="N66" s="485" t="s">
        <v>771</v>
      </c>
      <c r="O66" s="485" t="s">
        <v>233</v>
      </c>
      <c r="P66" s="485" t="s">
        <v>1683</v>
      </c>
      <c r="Q66" s="485" t="s">
        <v>1684</v>
      </c>
      <c r="R66" s="485" t="s">
        <v>2383</v>
      </c>
      <c r="S66" s="485" t="s">
        <v>2457</v>
      </c>
      <c r="T66" s="485" t="s">
        <v>2532</v>
      </c>
      <c r="U66" s="485" t="s">
        <v>1686</v>
      </c>
      <c r="V66" s="135" t="e">
        <f t="shared" si="4"/>
        <v>#VALUE!</v>
      </c>
      <c r="X66" s="493" t="e">
        <f t="shared" si="37"/>
        <v>#VALUE!</v>
      </c>
      <c r="Y66" s="488" t="e">
        <f t="shared" si="36"/>
        <v>#VALUE!</v>
      </c>
      <c r="AU66" s="485" t="s">
        <v>1262</v>
      </c>
    </row>
    <row r="67" spans="1:47">
      <c r="A67" s="935">
        <v>350</v>
      </c>
      <c r="B67" s="70" t="s">
        <v>1836</v>
      </c>
      <c r="C67" s="105" t="e">
        <f>SUM(C63:C66)</f>
        <v>#VALUE!</v>
      </c>
      <c r="D67" s="105">
        <f>SUM(D63:D66)</f>
        <v>0</v>
      </c>
      <c r="E67" s="105">
        <f>SUM(E63:E66)</f>
        <v>0</v>
      </c>
      <c r="F67" s="105">
        <f>SUM(F63:F66)</f>
        <v>0</v>
      </c>
      <c r="G67" s="105" t="e">
        <f>SUM(G63:G66)</f>
        <v>#VALUE!</v>
      </c>
      <c r="H67" s="490" t="e">
        <f>IF(C67=0,0,(H63*(C63/C67))+(H64*(C64/C67))+(H65*(C65/C67))+(H66*(C66/C67)))</f>
        <v>#VALUE!</v>
      </c>
      <c r="I67" s="105">
        <f t="shared" ref="I67:U67" si="38">SUM(I63:I66)</f>
        <v>0</v>
      </c>
      <c r="J67" s="105">
        <f>SUM(J63:J66)</f>
        <v>0</v>
      </c>
      <c r="K67" s="105"/>
      <c r="L67" s="105">
        <f t="shared" si="38"/>
        <v>0</v>
      </c>
      <c r="M67" s="105">
        <f t="shared" si="38"/>
        <v>0</v>
      </c>
      <c r="N67" s="105">
        <f t="shared" si="38"/>
        <v>0</v>
      </c>
      <c r="O67" s="105">
        <f t="shared" si="38"/>
        <v>0</v>
      </c>
      <c r="P67" s="105">
        <f t="shared" si="38"/>
        <v>0</v>
      </c>
      <c r="Q67" s="105">
        <f t="shared" si="38"/>
        <v>0</v>
      </c>
      <c r="R67" s="105">
        <f t="shared" si="38"/>
        <v>0</v>
      </c>
      <c r="S67" s="105">
        <f t="shared" si="38"/>
        <v>0</v>
      </c>
      <c r="T67" s="105">
        <f t="shared" si="38"/>
        <v>0</v>
      </c>
      <c r="U67" s="105">
        <f t="shared" si="38"/>
        <v>0</v>
      </c>
      <c r="V67" s="135" t="e">
        <f t="shared" si="4"/>
        <v>#VALUE!</v>
      </c>
      <c r="X67" s="105" t="e">
        <f t="shared" si="37"/>
        <v>#VALUE!</v>
      </c>
      <c r="Y67" s="456" t="e">
        <f t="shared" si="36"/>
        <v>#VALUE!</v>
      </c>
    </row>
    <row r="68" spans="1:47">
      <c r="A68" s="286">
        <v>360</v>
      </c>
      <c r="B68" s="102" t="s">
        <v>1719</v>
      </c>
      <c r="C68" s="104" t="e">
        <f>SUM(C58:C62)+C67</f>
        <v>#VALUE!</v>
      </c>
      <c r="D68" s="104">
        <f>SUM(D58:D62)+D67</f>
        <v>0</v>
      </c>
      <c r="E68" s="104">
        <f>SUM(E58:E62)+E67</f>
        <v>0</v>
      </c>
      <c r="F68" s="104">
        <f>SUM(F58:F62)+F67</f>
        <v>0</v>
      </c>
      <c r="G68" s="104" t="e">
        <f>SUM(G58:G62)+G67</f>
        <v>#VALUE!</v>
      </c>
      <c r="H68" s="490" t="e">
        <f>IF(C68=0,"",(H58*(C58/C68))+(H59*(C59/C68))+(H60*(C60/C68))+(H61*(C61/C68))+(H62*(C62/C68)))</f>
        <v>#VALUE!</v>
      </c>
      <c r="I68" s="104">
        <f t="shared" ref="I68:U68" si="39">SUM(I58:I62)+I67</f>
        <v>0</v>
      </c>
      <c r="J68" s="104">
        <f>SUM(J58:J62)+J67</f>
        <v>0</v>
      </c>
      <c r="K68" s="104"/>
      <c r="L68" s="104">
        <f t="shared" si="39"/>
        <v>0</v>
      </c>
      <c r="M68" s="104">
        <f t="shared" si="39"/>
        <v>0</v>
      </c>
      <c r="N68" s="104">
        <f t="shared" si="39"/>
        <v>0</v>
      </c>
      <c r="O68" s="104">
        <f t="shared" si="39"/>
        <v>0</v>
      </c>
      <c r="P68" s="104">
        <f t="shared" si="39"/>
        <v>0</v>
      </c>
      <c r="Q68" s="104">
        <f t="shared" si="39"/>
        <v>0</v>
      </c>
      <c r="R68" s="104">
        <f t="shared" si="39"/>
        <v>0</v>
      </c>
      <c r="S68" s="104">
        <f>SUM(S58:S62)+S67</f>
        <v>0</v>
      </c>
      <c r="T68" s="104">
        <f>SUM(T58:T62)+T67</f>
        <v>0</v>
      </c>
      <c r="U68" s="104">
        <f t="shared" si="39"/>
        <v>0</v>
      </c>
      <c r="V68" s="619" t="e">
        <f t="shared" si="4"/>
        <v>#VALUE!</v>
      </c>
      <c r="W68" s="436"/>
      <c r="X68" s="105" t="e">
        <f t="shared" si="37"/>
        <v>#VALUE!</v>
      </c>
      <c r="Y68" s="456" t="e">
        <f t="shared" si="36"/>
        <v>#VALUE!</v>
      </c>
      <c r="AU68" s="468">
        <f>SUM(AU63:AU67)</f>
        <v>0</v>
      </c>
    </row>
    <row r="69" spans="1:47">
      <c r="A69" s="286"/>
      <c r="B69" s="102" t="s">
        <v>1720</v>
      </c>
      <c r="C69" s="103"/>
      <c r="D69" s="103"/>
      <c r="E69" s="103"/>
      <c r="F69" s="103"/>
      <c r="G69" s="103"/>
      <c r="H69" s="108"/>
      <c r="I69" s="103"/>
      <c r="J69" s="103"/>
      <c r="K69" s="103"/>
      <c r="L69" s="103"/>
      <c r="M69" s="103"/>
      <c r="N69" s="103"/>
      <c r="O69" s="103"/>
      <c r="P69" s="103"/>
      <c r="Q69" s="103"/>
      <c r="R69" s="103"/>
      <c r="S69" s="103"/>
      <c r="T69" s="103"/>
      <c r="U69" s="103"/>
      <c r="V69" s="289"/>
      <c r="X69" s="105"/>
      <c r="Y69" s="456"/>
      <c r="AU69" s="470"/>
    </row>
    <row r="70" spans="1:47">
      <c r="A70" s="288">
        <v>370</v>
      </c>
      <c r="B70" s="70" t="s">
        <v>1203</v>
      </c>
      <c r="C70" s="410" t="e">
        <f t="shared" ref="C70:C78" si="40">D70+G70</f>
        <v>#VALUE!</v>
      </c>
      <c r="D70" s="410" t="s">
        <v>1837</v>
      </c>
      <c r="E70" s="410" t="s">
        <v>1838</v>
      </c>
      <c r="F70" s="410" t="s">
        <v>1839</v>
      </c>
      <c r="G70" s="410" t="e">
        <f t="shared" ref="G70:G78" si="41">E70+F70</f>
        <v>#VALUE!</v>
      </c>
      <c r="H70" s="437" t="s">
        <v>496</v>
      </c>
      <c r="I70" s="410" t="s">
        <v>1840</v>
      </c>
      <c r="J70" s="410" t="s">
        <v>1847</v>
      </c>
      <c r="K70" s="410"/>
      <c r="L70" s="410" t="s">
        <v>1841</v>
      </c>
      <c r="M70" s="410" t="s">
        <v>1842</v>
      </c>
      <c r="N70" s="410" t="s">
        <v>1843</v>
      </c>
      <c r="O70" s="410" t="s">
        <v>1844</v>
      </c>
      <c r="P70" s="410" t="s">
        <v>1845</v>
      </c>
      <c r="Q70" s="410" t="s">
        <v>1846</v>
      </c>
      <c r="R70" s="410" t="s">
        <v>2384</v>
      </c>
      <c r="S70" s="410" t="s">
        <v>2458</v>
      </c>
      <c r="T70" s="410" t="s">
        <v>2533</v>
      </c>
      <c r="U70" s="410" t="s">
        <v>1848</v>
      </c>
      <c r="V70" s="135" t="e">
        <f t="shared" si="4"/>
        <v>#VALUE!</v>
      </c>
      <c r="X70" s="105" t="e">
        <f>SUM(I70:V70)</f>
        <v>#VALUE!</v>
      </c>
      <c r="Y70" s="456" t="e">
        <f t="shared" ref="Y70:Y80" si="42">C70-X70</f>
        <v>#VALUE!</v>
      </c>
      <c r="AE70" s="106"/>
      <c r="AU70" s="469" t="s">
        <v>1849</v>
      </c>
    </row>
    <row r="71" spans="1:47" ht="12.75" customHeight="1">
      <c r="A71" s="288">
        <v>380</v>
      </c>
      <c r="B71" s="70" t="s">
        <v>1204</v>
      </c>
      <c r="C71" s="410" t="e">
        <f t="shared" si="40"/>
        <v>#VALUE!</v>
      </c>
      <c r="D71" s="410" t="s">
        <v>1850</v>
      </c>
      <c r="E71" s="410" t="s">
        <v>1851</v>
      </c>
      <c r="F71" s="410" t="s">
        <v>1852</v>
      </c>
      <c r="G71" s="410" t="e">
        <f t="shared" si="41"/>
        <v>#VALUE!</v>
      </c>
      <c r="H71" s="437" t="s">
        <v>1180</v>
      </c>
      <c r="I71" s="410" t="s">
        <v>1853</v>
      </c>
      <c r="J71" s="410" t="s">
        <v>1860</v>
      </c>
      <c r="K71" s="410"/>
      <c r="L71" s="410" t="s">
        <v>1854</v>
      </c>
      <c r="M71" s="410" t="s">
        <v>1855</v>
      </c>
      <c r="N71" s="410" t="s">
        <v>1856</v>
      </c>
      <c r="O71" s="410" t="s">
        <v>1857</v>
      </c>
      <c r="P71" s="410" t="s">
        <v>1858</v>
      </c>
      <c r="Q71" s="410" t="s">
        <v>1859</v>
      </c>
      <c r="R71" s="410" t="s">
        <v>2385</v>
      </c>
      <c r="S71" s="410" t="s">
        <v>2459</v>
      </c>
      <c r="T71" s="410" t="s">
        <v>2534</v>
      </c>
      <c r="U71" s="410" t="s">
        <v>1861</v>
      </c>
      <c r="V71" s="135" t="e">
        <f t="shared" si="4"/>
        <v>#VALUE!</v>
      </c>
      <c r="X71" s="105" t="e">
        <f>SUM(I71:V71)</f>
        <v>#VALUE!</v>
      </c>
      <c r="Y71" s="456" t="e">
        <f t="shared" si="42"/>
        <v>#VALUE!</v>
      </c>
      <c r="AU71" s="469" t="s">
        <v>1862</v>
      </c>
    </row>
    <row r="72" spans="1:47" s="71" customFormat="1">
      <c r="A72" s="288">
        <v>390</v>
      </c>
      <c r="B72" s="70" t="s">
        <v>2018</v>
      </c>
      <c r="C72" s="410" t="e">
        <f t="shared" si="40"/>
        <v>#VALUE!</v>
      </c>
      <c r="D72" s="410" t="s">
        <v>1863</v>
      </c>
      <c r="E72" s="410" t="s">
        <v>1864</v>
      </c>
      <c r="F72" s="410" t="s">
        <v>1865</v>
      </c>
      <c r="G72" s="410" t="e">
        <f t="shared" si="41"/>
        <v>#VALUE!</v>
      </c>
      <c r="H72" s="437" t="s">
        <v>1181</v>
      </c>
      <c r="I72" s="410" t="s">
        <v>2065</v>
      </c>
      <c r="J72" s="410" t="s">
        <v>2072</v>
      </c>
      <c r="K72" s="410"/>
      <c r="L72" s="410" t="s">
        <v>2066</v>
      </c>
      <c r="M72" s="410" t="s">
        <v>2067</v>
      </c>
      <c r="N72" s="410" t="s">
        <v>2068</v>
      </c>
      <c r="O72" s="410" t="s">
        <v>2069</v>
      </c>
      <c r="P72" s="410" t="s">
        <v>2070</v>
      </c>
      <c r="Q72" s="410" t="s">
        <v>2071</v>
      </c>
      <c r="R72" s="410" t="s">
        <v>2386</v>
      </c>
      <c r="S72" s="410" t="s">
        <v>2460</v>
      </c>
      <c r="T72" s="410" t="s">
        <v>2535</v>
      </c>
      <c r="U72" s="410" t="s">
        <v>2073</v>
      </c>
      <c r="V72" s="135" t="e">
        <f t="shared" si="4"/>
        <v>#VALUE!</v>
      </c>
      <c r="X72" s="105" t="e">
        <f>SUM(I72:V72)</f>
        <v>#VALUE!</v>
      </c>
      <c r="Y72" s="456" t="e">
        <f t="shared" si="42"/>
        <v>#VALUE!</v>
      </c>
      <c r="AU72" s="469" t="s">
        <v>2074</v>
      </c>
    </row>
    <row r="73" spans="1:47" s="71" customFormat="1">
      <c r="A73" s="288">
        <v>400</v>
      </c>
      <c r="B73" s="70" t="s">
        <v>2019</v>
      </c>
      <c r="C73" s="410" t="e">
        <f t="shared" si="40"/>
        <v>#VALUE!</v>
      </c>
      <c r="D73" s="410" t="s">
        <v>2075</v>
      </c>
      <c r="E73" s="410" t="s">
        <v>2076</v>
      </c>
      <c r="F73" s="410" t="s">
        <v>2077</v>
      </c>
      <c r="G73" s="410" t="e">
        <f t="shared" si="41"/>
        <v>#VALUE!</v>
      </c>
      <c r="H73" s="437" t="s">
        <v>1183</v>
      </c>
      <c r="I73" s="410" t="s">
        <v>2078</v>
      </c>
      <c r="J73" s="410" t="s">
        <v>1701</v>
      </c>
      <c r="K73" s="410"/>
      <c r="L73" s="410" t="s">
        <v>2122</v>
      </c>
      <c r="M73" s="410" t="s">
        <v>2123</v>
      </c>
      <c r="N73" s="410" t="s">
        <v>2124</v>
      </c>
      <c r="O73" s="410" t="s">
        <v>2125</v>
      </c>
      <c r="P73" s="410" t="s">
        <v>1699</v>
      </c>
      <c r="Q73" s="410" t="s">
        <v>1700</v>
      </c>
      <c r="R73" s="410" t="s">
        <v>2387</v>
      </c>
      <c r="S73" s="410" t="s">
        <v>2461</v>
      </c>
      <c r="T73" s="410" t="s">
        <v>2536</v>
      </c>
      <c r="U73" s="410" t="s">
        <v>1702</v>
      </c>
      <c r="V73" s="135" t="e">
        <f t="shared" si="4"/>
        <v>#VALUE!</v>
      </c>
      <c r="X73" s="105" t="e">
        <f>SUM(I73:V73)</f>
        <v>#VALUE!</v>
      </c>
      <c r="Y73" s="456" t="e">
        <f t="shared" si="42"/>
        <v>#VALUE!</v>
      </c>
      <c r="AU73" s="469" t="s">
        <v>907</v>
      </c>
    </row>
    <row r="74" spans="1:47" s="71" customFormat="1">
      <c r="A74" s="288">
        <v>410</v>
      </c>
      <c r="B74" s="107" t="s">
        <v>705</v>
      </c>
      <c r="C74" s="410" t="e">
        <f t="shared" si="40"/>
        <v>#VALUE!</v>
      </c>
      <c r="D74" s="410" t="s">
        <v>908</v>
      </c>
      <c r="E74" s="410" t="s">
        <v>909</v>
      </c>
      <c r="F74" s="410" t="s">
        <v>131</v>
      </c>
      <c r="G74" s="410" t="e">
        <f t="shared" si="41"/>
        <v>#VALUE!</v>
      </c>
      <c r="H74" s="437" t="s">
        <v>1185</v>
      </c>
      <c r="I74" s="410" t="s">
        <v>1330</v>
      </c>
      <c r="J74" s="410" t="s">
        <v>1386</v>
      </c>
      <c r="K74" s="410"/>
      <c r="L74" s="410" t="s">
        <v>1331</v>
      </c>
      <c r="M74" s="410" t="s">
        <v>1332</v>
      </c>
      <c r="N74" s="410" t="s">
        <v>1333</v>
      </c>
      <c r="O74" s="410" t="s">
        <v>640</v>
      </c>
      <c r="P74" s="410" t="s">
        <v>641</v>
      </c>
      <c r="Q74" s="410" t="s">
        <v>642</v>
      </c>
      <c r="R74" s="410" t="s">
        <v>2388</v>
      </c>
      <c r="S74" s="410" t="s">
        <v>2462</v>
      </c>
      <c r="T74" s="410" t="s">
        <v>2537</v>
      </c>
      <c r="U74" s="410" t="s">
        <v>1387</v>
      </c>
      <c r="V74" s="135" t="e">
        <f t="shared" ref="V74:V80" si="43">C74-I74-J74-L74-M74-N74-O74-P74-Q74-R74-S74-T74-U74</f>
        <v>#VALUE!</v>
      </c>
      <c r="X74" s="105" t="e">
        <f>SUM(I74:V74)</f>
        <v>#VALUE!</v>
      </c>
      <c r="Y74" s="456" t="e">
        <f t="shared" si="42"/>
        <v>#VALUE!</v>
      </c>
      <c r="AU74" s="469" t="s">
        <v>1388</v>
      </c>
    </row>
    <row r="75" spans="1:47" s="487" customFormat="1" hidden="1">
      <c r="A75" s="483"/>
      <c r="B75" s="491" t="s">
        <v>925</v>
      </c>
      <c r="C75" s="485" t="e">
        <f t="shared" si="40"/>
        <v>#VALUE!</v>
      </c>
      <c r="D75" s="485" t="s">
        <v>1389</v>
      </c>
      <c r="E75" s="485" t="s">
        <v>1390</v>
      </c>
      <c r="F75" s="485" t="s">
        <v>1391</v>
      </c>
      <c r="G75" s="485" t="e">
        <f t="shared" si="41"/>
        <v>#VALUE!</v>
      </c>
      <c r="H75" s="486" t="s">
        <v>1178</v>
      </c>
      <c r="I75" s="485" t="s">
        <v>1392</v>
      </c>
      <c r="J75" s="485" t="s">
        <v>1101</v>
      </c>
      <c r="K75" s="485"/>
      <c r="L75" s="485" t="s">
        <v>1054</v>
      </c>
      <c r="M75" s="485" t="s">
        <v>1055</v>
      </c>
      <c r="N75" s="485" t="s">
        <v>1097</v>
      </c>
      <c r="O75" s="485" t="s">
        <v>1098</v>
      </c>
      <c r="P75" s="485" t="s">
        <v>1099</v>
      </c>
      <c r="Q75" s="485" t="s">
        <v>1100</v>
      </c>
      <c r="R75" s="485" t="s">
        <v>2389</v>
      </c>
      <c r="S75" s="485" t="s">
        <v>2463</v>
      </c>
      <c r="T75" s="485" t="s">
        <v>2538</v>
      </c>
      <c r="U75" s="485" t="s">
        <v>1102</v>
      </c>
      <c r="V75" s="135" t="e">
        <f t="shared" si="43"/>
        <v>#VALUE!</v>
      </c>
      <c r="W75" s="492"/>
      <c r="X75" s="493" t="e">
        <f t="shared" ref="X75:X80" si="44">SUM(I75:V75)</f>
        <v>#VALUE!</v>
      </c>
      <c r="Y75" s="488" t="e">
        <f t="shared" si="42"/>
        <v>#VALUE!</v>
      </c>
      <c r="Z75" s="492"/>
      <c r="AA75" s="492"/>
      <c r="AU75" s="485" t="s">
        <v>1103</v>
      </c>
    </row>
    <row r="76" spans="1:47" s="492" customFormat="1" hidden="1">
      <c r="A76" s="494"/>
      <c r="B76" s="491" t="s">
        <v>371</v>
      </c>
      <c r="C76" s="485" t="e">
        <f t="shared" si="40"/>
        <v>#VALUE!</v>
      </c>
      <c r="D76" s="485" t="s">
        <v>1104</v>
      </c>
      <c r="E76" s="485" t="s">
        <v>1105</v>
      </c>
      <c r="F76" s="485" t="s">
        <v>1106</v>
      </c>
      <c r="G76" s="485" t="e">
        <f t="shared" si="41"/>
        <v>#VALUE!</v>
      </c>
      <c r="H76" s="486" t="s">
        <v>1179</v>
      </c>
      <c r="I76" s="485" t="s">
        <v>1107</v>
      </c>
      <c r="J76" s="485" t="s">
        <v>1892</v>
      </c>
      <c r="K76" s="485"/>
      <c r="L76" s="485" t="s">
        <v>1108</v>
      </c>
      <c r="M76" s="485" t="s">
        <v>1109</v>
      </c>
      <c r="N76" s="485" t="s">
        <v>1110</v>
      </c>
      <c r="O76" s="485" t="s">
        <v>1111</v>
      </c>
      <c r="P76" s="485" t="s">
        <v>1890</v>
      </c>
      <c r="Q76" s="485" t="s">
        <v>1891</v>
      </c>
      <c r="R76" s="485" t="s">
        <v>2390</v>
      </c>
      <c r="S76" s="485" t="s">
        <v>2464</v>
      </c>
      <c r="T76" s="485" t="s">
        <v>2539</v>
      </c>
      <c r="U76" s="485" t="s">
        <v>1893</v>
      </c>
      <c r="V76" s="135" t="e">
        <f t="shared" si="43"/>
        <v>#VALUE!</v>
      </c>
      <c r="W76" s="487"/>
      <c r="X76" s="493" t="e">
        <f t="shared" si="44"/>
        <v>#VALUE!</v>
      </c>
      <c r="Y76" s="488" t="e">
        <f t="shared" si="42"/>
        <v>#VALUE!</v>
      </c>
      <c r="Z76" s="487"/>
      <c r="AA76" s="487"/>
      <c r="AB76" s="487"/>
      <c r="AC76" s="487"/>
      <c r="AD76" s="487"/>
      <c r="AE76" s="487"/>
      <c r="AF76" s="487"/>
      <c r="AU76" s="485" t="s">
        <v>1079</v>
      </c>
    </row>
    <row r="77" spans="1:47" s="487" customFormat="1" hidden="1">
      <c r="A77" s="494"/>
      <c r="B77" s="491" t="s">
        <v>926</v>
      </c>
      <c r="C77" s="485" t="e">
        <f t="shared" si="40"/>
        <v>#VALUE!</v>
      </c>
      <c r="D77" s="485" t="s">
        <v>1080</v>
      </c>
      <c r="E77" s="485" t="s">
        <v>1081</v>
      </c>
      <c r="F77" s="485" t="s">
        <v>1082</v>
      </c>
      <c r="G77" s="485" t="e">
        <f t="shared" si="41"/>
        <v>#VALUE!</v>
      </c>
      <c r="H77" s="486" t="s">
        <v>1182</v>
      </c>
      <c r="I77" s="485" t="s">
        <v>1083</v>
      </c>
      <c r="J77" s="485" t="s">
        <v>1090</v>
      </c>
      <c r="K77" s="485"/>
      <c r="L77" s="485" t="s">
        <v>1084</v>
      </c>
      <c r="M77" s="485" t="s">
        <v>1085</v>
      </c>
      <c r="N77" s="485" t="s">
        <v>1086</v>
      </c>
      <c r="O77" s="485" t="s">
        <v>1087</v>
      </c>
      <c r="P77" s="485" t="s">
        <v>1088</v>
      </c>
      <c r="Q77" s="485" t="s">
        <v>1089</v>
      </c>
      <c r="R77" s="485" t="s">
        <v>2391</v>
      </c>
      <c r="S77" s="485" t="s">
        <v>2465</v>
      </c>
      <c r="T77" s="485" t="s">
        <v>2540</v>
      </c>
      <c r="U77" s="485" t="s">
        <v>1091</v>
      </c>
      <c r="V77" s="135" t="e">
        <f t="shared" si="43"/>
        <v>#VALUE!</v>
      </c>
      <c r="X77" s="493" t="e">
        <f t="shared" si="44"/>
        <v>#VALUE!</v>
      </c>
      <c r="Y77" s="488" t="e">
        <f t="shared" si="42"/>
        <v>#VALUE!</v>
      </c>
      <c r="AA77" s="493"/>
      <c r="AB77" s="493"/>
      <c r="AU77" s="485" t="s">
        <v>1092</v>
      </c>
    </row>
    <row r="78" spans="1:47" s="487" customFormat="1" hidden="1">
      <c r="A78" s="494"/>
      <c r="B78" s="491" t="s">
        <v>370</v>
      </c>
      <c r="C78" s="485" t="e">
        <f t="shared" si="40"/>
        <v>#VALUE!</v>
      </c>
      <c r="D78" s="485" t="s">
        <v>1093</v>
      </c>
      <c r="E78" s="485" t="s">
        <v>1094</v>
      </c>
      <c r="F78" s="485" t="s">
        <v>1095</v>
      </c>
      <c r="G78" s="485" t="e">
        <f t="shared" si="41"/>
        <v>#VALUE!</v>
      </c>
      <c r="H78" s="486" t="s">
        <v>1184</v>
      </c>
      <c r="I78" s="485" t="s">
        <v>1096</v>
      </c>
      <c r="J78" s="485" t="s">
        <v>1978</v>
      </c>
      <c r="K78" s="485"/>
      <c r="L78" s="485" t="s">
        <v>2033</v>
      </c>
      <c r="M78" s="485" t="s">
        <v>2034</v>
      </c>
      <c r="N78" s="485" t="s">
        <v>2035</v>
      </c>
      <c r="O78" s="485" t="s">
        <v>1975</v>
      </c>
      <c r="P78" s="485" t="s">
        <v>1976</v>
      </c>
      <c r="Q78" s="485" t="s">
        <v>1977</v>
      </c>
      <c r="R78" s="485" t="s">
        <v>2392</v>
      </c>
      <c r="S78" s="485" t="s">
        <v>2466</v>
      </c>
      <c r="T78" s="485" t="s">
        <v>2541</v>
      </c>
      <c r="U78" s="485" t="s">
        <v>1979</v>
      </c>
      <c r="V78" s="135" t="e">
        <f t="shared" si="43"/>
        <v>#VALUE!</v>
      </c>
      <c r="X78" s="493" t="e">
        <f t="shared" si="44"/>
        <v>#VALUE!</v>
      </c>
      <c r="Y78" s="488" t="e">
        <f t="shared" si="42"/>
        <v>#VALUE!</v>
      </c>
      <c r="AU78" s="485" t="s">
        <v>1980</v>
      </c>
    </row>
    <row r="79" spans="1:47">
      <c r="A79" s="935">
        <v>420</v>
      </c>
      <c r="B79" s="70" t="s">
        <v>1836</v>
      </c>
      <c r="C79" s="105" t="e">
        <f>SUM(C75:C78)</f>
        <v>#VALUE!</v>
      </c>
      <c r="D79" s="105">
        <f>SUM(D75:D78)</f>
        <v>0</v>
      </c>
      <c r="E79" s="105">
        <f>SUM(E75:E78)</f>
        <v>0</v>
      </c>
      <c r="F79" s="105">
        <f>SUM(F75:F78)</f>
        <v>0</v>
      </c>
      <c r="G79" s="105" t="e">
        <f>SUM(G75:G78)</f>
        <v>#VALUE!</v>
      </c>
      <c r="H79" s="490" t="e">
        <f>IF(C79=0,0,(H75*(C75/C79))+(H76*(C76/C79))+(H77*(C77/C79))+(H78*(C78/C79)))</f>
        <v>#VALUE!</v>
      </c>
      <c r="I79" s="105">
        <f t="shared" ref="I79:U79" si="45">SUM(I75:I78)</f>
        <v>0</v>
      </c>
      <c r="J79" s="105">
        <f>SUM(J75:J78)</f>
        <v>0</v>
      </c>
      <c r="K79" s="105"/>
      <c r="L79" s="105">
        <f t="shared" si="45"/>
        <v>0</v>
      </c>
      <c r="M79" s="105">
        <f t="shared" si="45"/>
        <v>0</v>
      </c>
      <c r="N79" s="105">
        <f t="shared" si="45"/>
        <v>0</v>
      </c>
      <c r="O79" s="105">
        <f t="shared" si="45"/>
        <v>0</v>
      </c>
      <c r="P79" s="105">
        <f t="shared" si="45"/>
        <v>0</v>
      </c>
      <c r="Q79" s="105">
        <f t="shared" si="45"/>
        <v>0</v>
      </c>
      <c r="R79" s="105">
        <f t="shared" si="45"/>
        <v>0</v>
      </c>
      <c r="S79" s="105">
        <f t="shared" si="45"/>
        <v>0</v>
      </c>
      <c r="T79" s="105">
        <f t="shared" si="45"/>
        <v>0</v>
      </c>
      <c r="U79" s="105">
        <f t="shared" si="45"/>
        <v>0</v>
      </c>
      <c r="V79" s="135" t="e">
        <f t="shared" si="43"/>
        <v>#VALUE!</v>
      </c>
      <c r="X79" s="105" t="e">
        <f t="shared" si="44"/>
        <v>#VALUE!</v>
      </c>
      <c r="Y79" s="456" t="e">
        <f t="shared" si="42"/>
        <v>#VALUE!</v>
      </c>
    </row>
    <row r="80" spans="1:47">
      <c r="A80" s="286">
        <v>430</v>
      </c>
      <c r="B80" s="102" t="s">
        <v>1721</v>
      </c>
      <c r="C80" s="104" t="e">
        <f>SUM(C70:C74)+C79</f>
        <v>#VALUE!</v>
      </c>
      <c r="D80" s="104">
        <f>SUM(D70:D74)+D79</f>
        <v>0</v>
      </c>
      <c r="E80" s="104">
        <f>SUM(E70:E74)+E79</f>
        <v>0</v>
      </c>
      <c r="F80" s="104">
        <f>SUM(F70:F74)+F79</f>
        <v>0</v>
      </c>
      <c r="G80" s="104" t="e">
        <f>SUM(G70:G74)+G79</f>
        <v>#VALUE!</v>
      </c>
      <c r="H80" s="490" t="e">
        <f>IF(C80=0,"",(H70*(C70/C80))+(H71*(C71/C80))+(H72*(C72/C80))+(H73*(C73/C80))+(H74*(C74/C80)))</f>
        <v>#VALUE!</v>
      </c>
      <c r="I80" s="104">
        <f t="shared" ref="I80:U80" si="46">SUM(I70:I74)+I79</f>
        <v>0</v>
      </c>
      <c r="J80" s="104">
        <f>SUM(J70:J74)+J79</f>
        <v>0</v>
      </c>
      <c r="K80" s="104"/>
      <c r="L80" s="104">
        <f t="shared" si="46"/>
        <v>0</v>
      </c>
      <c r="M80" s="104">
        <f t="shared" si="46"/>
        <v>0</v>
      </c>
      <c r="N80" s="104">
        <f t="shared" si="46"/>
        <v>0</v>
      </c>
      <c r="O80" s="104">
        <f t="shared" si="46"/>
        <v>0</v>
      </c>
      <c r="P80" s="104">
        <f t="shared" si="46"/>
        <v>0</v>
      </c>
      <c r="Q80" s="104">
        <f t="shared" si="46"/>
        <v>0</v>
      </c>
      <c r="R80" s="104">
        <f t="shared" si="46"/>
        <v>0</v>
      </c>
      <c r="S80" s="104">
        <f>SUM(S70:S74)+S79</f>
        <v>0</v>
      </c>
      <c r="T80" s="104">
        <f>SUM(T70:T74)+T79</f>
        <v>0</v>
      </c>
      <c r="U80" s="104">
        <f t="shared" si="46"/>
        <v>0</v>
      </c>
      <c r="V80" s="619" t="e">
        <f t="shared" si="43"/>
        <v>#VALUE!</v>
      </c>
      <c r="W80" s="436"/>
      <c r="X80" s="105" t="e">
        <f t="shared" si="44"/>
        <v>#VALUE!</v>
      </c>
      <c r="Y80" s="456" t="e">
        <f t="shared" si="42"/>
        <v>#VALUE!</v>
      </c>
      <c r="AU80" s="468">
        <f>SUM(AU75:AU79)</f>
        <v>0</v>
      </c>
    </row>
    <row r="81" spans="1:47">
      <c r="A81" s="286"/>
      <c r="B81" s="102" t="s">
        <v>1722</v>
      </c>
      <c r="C81" s="103"/>
      <c r="D81" s="103"/>
      <c r="E81" s="103"/>
      <c r="F81" s="103"/>
      <c r="G81" s="103"/>
      <c r="H81" s="108"/>
      <c r="I81" s="103"/>
      <c r="J81" s="103"/>
      <c r="K81" s="103"/>
      <c r="L81" s="103"/>
      <c r="M81" s="103"/>
      <c r="N81" s="103"/>
      <c r="O81" s="103"/>
      <c r="P81" s="103"/>
      <c r="Q81" s="103"/>
      <c r="R81" s="103"/>
      <c r="S81" s="103"/>
      <c r="T81" s="103"/>
      <c r="U81" s="103"/>
      <c r="V81" s="289"/>
      <c r="X81" s="105"/>
      <c r="Y81" s="456"/>
      <c r="AU81" s="470"/>
    </row>
    <row r="82" spans="1:47">
      <c r="A82" s="288">
        <v>440</v>
      </c>
      <c r="B82" s="70" t="s">
        <v>1203</v>
      </c>
      <c r="C82" s="410" t="e">
        <f t="shared" ref="C82:C90" si="47">D82+G82</f>
        <v>#VALUE!</v>
      </c>
      <c r="D82" s="410" t="s">
        <v>1981</v>
      </c>
      <c r="E82" s="410" t="s">
        <v>1982</v>
      </c>
      <c r="F82" s="410" t="s">
        <v>1983</v>
      </c>
      <c r="G82" s="410" t="e">
        <f t="shared" ref="G82:G90" si="48">E82+F82</f>
        <v>#VALUE!</v>
      </c>
      <c r="H82" s="437" t="s">
        <v>496</v>
      </c>
      <c r="I82" s="410" t="s">
        <v>1984</v>
      </c>
      <c r="J82" s="410" t="s">
        <v>1991</v>
      </c>
      <c r="K82" s="410"/>
      <c r="L82" s="410" t="s">
        <v>1985</v>
      </c>
      <c r="M82" s="410" t="s">
        <v>1986</v>
      </c>
      <c r="N82" s="410" t="s">
        <v>1987</v>
      </c>
      <c r="O82" s="410" t="s">
        <v>1988</v>
      </c>
      <c r="P82" s="410" t="s">
        <v>1989</v>
      </c>
      <c r="Q82" s="410" t="s">
        <v>1990</v>
      </c>
      <c r="R82" s="410" t="s">
        <v>2393</v>
      </c>
      <c r="S82" s="410" t="s">
        <v>2467</v>
      </c>
      <c r="T82" s="410" t="s">
        <v>2542</v>
      </c>
      <c r="U82" s="410" t="s">
        <v>1992</v>
      </c>
      <c r="V82" s="135" t="e">
        <f t="shared" ref="V82:V97" si="49">C82-I82-J82-L82-M82-N82-O82-P82-Q82-R82-S82-T82-U82</f>
        <v>#VALUE!</v>
      </c>
      <c r="X82" s="105" t="e">
        <f>SUM(I82:V82)</f>
        <v>#VALUE!</v>
      </c>
      <c r="Y82" s="456" t="e">
        <f t="shared" ref="Y82:Y92" si="50">C82-X82</f>
        <v>#VALUE!</v>
      </c>
      <c r="AE82" s="106"/>
      <c r="AU82" s="469" t="s">
        <v>1993</v>
      </c>
    </row>
    <row r="83" spans="1:47" ht="12.75" customHeight="1">
      <c r="A83" s="288">
        <v>450</v>
      </c>
      <c r="B83" s="70" t="s">
        <v>1204</v>
      </c>
      <c r="C83" s="410" t="e">
        <f t="shared" si="47"/>
        <v>#VALUE!</v>
      </c>
      <c r="D83" s="410" t="s">
        <v>953</v>
      </c>
      <c r="E83" s="410" t="s">
        <v>954</v>
      </c>
      <c r="F83" s="410" t="s">
        <v>955</v>
      </c>
      <c r="G83" s="410" t="e">
        <f t="shared" si="48"/>
        <v>#VALUE!</v>
      </c>
      <c r="H83" s="437" t="s">
        <v>1188</v>
      </c>
      <c r="I83" s="410" t="s">
        <v>956</v>
      </c>
      <c r="J83" s="410" t="s">
        <v>2127</v>
      </c>
      <c r="K83" s="410"/>
      <c r="L83" s="410" t="s">
        <v>957</v>
      </c>
      <c r="M83" s="410" t="s">
        <v>958</v>
      </c>
      <c r="N83" s="410" t="s">
        <v>959</v>
      </c>
      <c r="O83" s="410" t="s">
        <v>960</v>
      </c>
      <c r="P83" s="410" t="s">
        <v>961</v>
      </c>
      <c r="Q83" s="410" t="s">
        <v>2126</v>
      </c>
      <c r="R83" s="410" t="s">
        <v>2394</v>
      </c>
      <c r="S83" s="410" t="s">
        <v>2468</v>
      </c>
      <c r="T83" s="410" t="s">
        <v>2543</v>
      </c>
      <c r="U83" s="410" t="s">
        <v>2128</v>
      </c>
      <c r="V83" s="135" t="e">
        <f t="shared" si="49"/>
        <v>#VALUE!</v>
      </c>
      <c r="X83" s="105" t="e">
        <f>SUM(I83:V83)</f>
        <v>#VALUE!</v>
      </c>
      <c r="Y83" s="456" t="e">
        <f t="shared" si="50"/>
        <v>#VALUE!</v>
      </c>
      <c r="AU83" s="469" t="s">
        <v>2129</v>
      </c>
    </row>
    <row r="84" spans="1:47" s="71" customFormat="1">
      <c r="A84" s="288">
        <v>560</v>
      </c>
      <c r="B84" s="70" t="s">
        <v>2018</v>
      </c>
      <c r="C84" s="410" t="e">
        <f t="shared" si="47"/>
        <v>#VALUE!</v>
      </c>
      <c r="D84" s="410" t="s">
        <v>2130</v>
      </c>
      <c r="E84" s="410" t="s">
        <v>2131</v>
      </c>
      <c r="F84" s="410" t="s">
        <v>2132</v>
      </c>
      <c r="G84" s="410" t="e">
        <f t="shared" si="48"/>
        <v>#VALUE!</v>
      </c>
      <c r="H84" s="437" t="s">
        <v>1189</v>
      </c>
      <c r="I84" s="410" t="s">
        <v>2133</v>
      </c>
      <c r="J84" s="410" t="s">
        <v>2140</v>
      </c>
      <c r="K84" s="410"/>
      <c r="L84" s="410" t="s">
        <v>2134</v>
      </c>
      <c r="M84" s="410" t="s">
        <v>2135</v>
      </c>
      <c r="N84" s="410" t="s">
        <v>2136</v>
      </c>
      <c r="O84" s="410" t="s">
        <v>2137</v>
      </c>
      <c r="P84" s="410" t="s">
        <v>2138</v>
      </c>
      <c r="Q84" s="410" t="s">
        <v>2139</v>
      </c>
      <c r="R84" s="410" t="s">
        <v>2395</v>
      </c>
      <c r="S84" s="410" t="s">
        <v>2469</v>
      </c>
      <c r="T84" s="410" t="s">
        <v>2544</v>
      </c>
      <c r="U84" s="410" t="s">
        <v>2141</v>
      </c>
      <c r="V84" s="135" t="e">
        <f t="shared" si="49"/>
        <v>#VALUE!</v>
      </c>
      <c r="X84" s="105" t="e">
        <f>SUM(I84:V84)</f>
        <v>#VALUE!</v>
      </c>
      <c r="Y84" s="456" t="e">
        <f t="shared" si="50"/>
        <v>#VALUE!</v>
      </c>
      <c r="AU84" s="469" t="s">
        <v>2038</v>
      </c>
    </row>
    <row r="85" spans="1:47" s="71" customFormat="1">
      <c r="A85" s="288">
        <v>470</v>
      </c>
      <c r="B85" s="70" t="s">
        <v>2019</v>
      </c>
      <c r="C85" s="410" t="e">
        <f t="shared" si="47"/>
        <v>#VALUE!</v>
      </c>
      <c r="D85" s="410" t="s">
        <v>1667</v>
      </c>
      <c r="E85" s="410" t="s">
        <v>1668</v>
      </c>
      <c r="F85" s="410" t="s">
        <v>1669</v>
      </c>
      <c r="G85" s="410" t="e">
        <f t="shared" si="48"/>
        <v>#VALUE!</v>
      </c>
      <c r="H85" s="437" t="s">
        <v>1191</v>
      </c>
      <c r="I85" s="410" t="s">
        <v>878</v>
      </c>
      <c r="J85" s="410" t="s">
        <v>1618</v>
      </c>
      <c r="K85" s="410"/>
      <c r="L85" s="410" t="s">
        <v>879</v>
      </c>
      <c r="M85" s="410" t="s">
        <v>880</v>
      </c>
      <c r="N85" s="410" t="s">
        <v>881</v>
      </c>
      <c r="O85" s="410" t="s">
        <v>882</v>
      </c>
      <c r="P85" s="410" t="s">
        <v>883</v>
      </c>
      <c r="Q85" s="410" t="s">
        <v>884</v>
      </c>
      <c r="R85" s="410" t="s">
        <v>2396</v>
      </c>
      <c r="S85" s="410" t="s">
        <v>2470</v>
      </c>
      <c r="T85" s="410" t="s">
        <v>2545</v>
      </c>
      <c r="U85" s="410" t="s">
        <v>1619</v>
      </c>
      <c r="V85" s="135" t="e">
        <f t="shared" si="49"/>
        <v>#VALUE!</v>
      </c>
      <c r="X85" s="105" t="e">
        <f>SUM(I85:V85)</f>
        <v>#VALUE!</v>
      </c>
      <c r="Y85" s="456" t="e">
        <f t="shared" si="50"/>
        <v>#VALUE!</v>
      </c>
      <c r="AU85" s="469" t="s">
        <v>1620</v>
      </c>
    </row>
    <row r="86" spans="1:47" s="71" customFormat="1">
      <c r="A86" s="288">
        <v>480</v>
      </c>
      <c r="B86" s="107" t="s">
        <v>705</v>
      </c>
      <c r="C86" s="410" t="e">
        <f t="shared" si="47"/>
        <v>#VALUE!</v>
      </c>
      <c r="D86" s="410" t="s">
        <v>1621</v>
      </c>
      <c r="E86" s="410" t="s">
        <v>1622</v>
      </c>
      <c r="F86" s="410" t="s">
        <v>1273</v>
      </c>
      <c r="G86" s="410" t="e">
        <f t="shared" si="48"/>
        <v>#VALUE!</v>
      </c>
      <c r="H86" s="437" t="s">
        <v>1193</v>
      </c>
      <c r="I86" s="410" t="s">
        <v>1623</v>
      </c>
      <c r="J86" s="410" t="s">
        <v>1630</v>
      </c>
      <c r="K86" s="410"/>
      <c r="L86" s="410" t="s">
        <v>1624</v>
      </c>
      <c r="M86" s="410" t="s">
        <v>1625</v>
      </c>
      <c r="N86" s="410" t="s">
        <v>1626</v>
      </c>
      <c r="O86" s="410" t="s">
        <v>1627</v>
      </c>
      <c r="P86" s="410" t="s">
        <v>1628</v>
      </c>
      <c r="Q86" s="410" t="s">
        <v>1629</v>
      </c>
      <c r="R86" s="410" t="s">
        <v>2397</v>
      </c>
      <c r="S86" s="410" t="s">
        <v>2471</v>
      </c>
      <c r="T86" s="410" t="s">
        <v>2546</v>
      </c>
      <c r="U86" s="410" t="s">
        <v>1631</v>
      </c>
      <c r="V86" s="135" t="e">
        <f t="shared" si="49"/>
        <v>#VALUE!</v>
      </c>
      <c r="X86" s="105" t="e">
        <f>SUM(I86:V86)</f>
        <v>#VALUE!</v>
      </c>
      <c r="Y86" s="456" t="e">
        <f t="shared" si="50"/>
        <v>#VALUE!</v>
      </c>
      <c r="AU86" s="469" t="s">
        <v>1632</v>
      </c>
    </row>
    <row r="87" spans="1:47" s="487" customFormat="1" hidden="1">
      <c r="A87" s="483"/>
      <c r="B87" s="491" t="s">
        <v>925</v>
      </c>
      <c r="C87" s="485" t="e">
        <f t="shared" si="47"/>
        <v>#VALUE!</v>
      </c>
      <c r="D87" s="485" t="s">
        <v>1633</v>
      </c>
      <c r="E87" s="485" t="s">
        <v>1634</v>
      </c>
      <c r="F87" s="485" t="s">
        <v>1635</v>
      </c>
      <c r="G87" s="485" t="e">
        <f t="shared" si="48"/>
        <v>#VALUE!</v>
      </c>
      <c r="H87" s="486" t="s">
        <v>1186</v>
      </c>
      <c r="I87" s="485" t="s">
        <v>1636</v>
      </c>
      <c r="J87" s="485" t="s">
        <v>1643</v>
      </c>
      <c r="K87" s="485"/>
      <c r="L87" s="485" t="s">
        <v>1637</v>
      </c>
      <c r="M87" s="485" t="s">
        <v>1638</v>
      </c>
      <c r="N87" s="485" t="s">
        <v>1639</v>
      </c>
      <c r="O87" s="485" t="s">
        <v>1640</v>
      </c>
      <c r="P87" s="485" t="s">
        <v>1641</v>
      </c>
      <c r="Q87" s="485" t="s">
        <v>1642</v>
      </c>
      <c r="R87" s="485" t="s">
        <v>2398</v>
      </c>
      <c r="S87" s="485" t="s">
        <v>2472</v>
      </c>
      <c r="T87" s="485" t="s">
        <v>2547</v>
      </c>
      <c r="U87" s="485" t="s">
        <v>1644</v>
      </c>
      <c r="V87" s="135" t="e">
        <f t="shared" si="49"/>
        <v>#VALUE!</v>
      </c>
      <c r="W87" s="492"/>
      <c r="X87" s="493" t="e">
        <f t="shared" ref="X87:X92" si="51">SUM(I87:V87)</f>
        <v>#VALUE!</v>
      </c>
      <c r="Y87" s="488" t="e">
        <f t="shared" si="50"/>
        <v>#VALUE!</v>
      </c>
      <c r="Z87" s="492"/>
      <c r="AA87" s="492"/>
      <c r="AU87" s="485" t="s">
        <v>1645</v>
      </c>
    </row>
    <row r="88" spans="1:47" s="492" customFormat="1" hidden="1">
      <c r="A88" s="494"/>
      <c r="B88" s="491" t="s">
        <v>371</v>
      </c>
      <c r="C88" s="485" t="e">
        <f t="shared" si="47"/>
        <v>#VALUE!</v>
      </c>
      <c r="D88" s="485" t="s">
        <v>1646</v>
      </c>
      <c r="E88" s="485" t="s">
        <v>1647</v>
      </c>
      <c r="F88" s="485" t="s">
        <v>1648</v>
      </c>
      <c r="G88" s="485" t="e">
        <f t="shared" si="48"/>
        <v>#VALUE!</v>
      </c>
      <c r="H88" s="486" t="s">
        <v>1187</v>
      </c>
      <c r="I88" s="485" t="s">
        <v>1649</v>
      </c>
      <c r="J88" s="485" t="s">
        <v>627</v>
      </c>
      <c r="K88" s="485"/>
      <c r="L88" s="485" t="s">
        <v>1650</v>
      </c>
      <c r="M88" s="485" t="s">
        <v>910</v>
      </c>
      <c r="N88" s="485" t="s">
        <v>911</v>
      </c>
      <c r="O88" s="485" t="s">
        <v>912</v>
      </c>
      <c r="P88" s="485" t="s">
        <v>913</v>
      </c>
      <c r="Q88" s="485" t="s">
        <v>914</v>
      </c>
      <c r="R88" s="485" t="s">
        <v>2399</v>
      </c>
      <c r="S88" s="485" t="s">
        <v>2473</v>
      </c>
      <c r="T88" s="485" t="s">
        <v>2548</v>
      </c>
      <c r="U88" s="485" t="s">
        <v>628</v>
      </c>
      <c r="V88" s="135" t="e">
        <f t="shared" si="49"/>
        <v>#VALUE!</v>
      </c>
      <c r="W88" s="487"/>
      <c r="X88" s="493" t="e">
        <f t="shared" si="51"/>
        <v>#VALUE!</v>
      </c>
      <c r="Y88" s="488" t="e">
        <f t="shared" si="50"/>
        <v>#VALUE!</v>
      </c>
      <c r="Z88" s="487"/>
      <c r="AA88" s="487"/>
      <c r="AB88" s="487"/>
      <c r="AC88" s="487"/>
      <c r="AD88" s="487"/>
      <c r="AE88" s="487"/>
      <c r="AF88" s="487"/>
      <c r="AU88" s="485" t="s">
        <v>629</v>
      </c>
    </row>
    <row r="89" spans="1:47" s="487" customFormat="1" hidden="1">
      <c r="A89" s="494"/>
      <c r="B89" s="491" t="s">
        <v>926</v>
      </c>
      <c r="C89" s="485" t="e">
        <f t="shared" si="47"/>
        <v>#VALUE!</v>
      </c>
      <c r="D89" s="485" t="s">
        <v>630</v>
      </c>
      <c r="E89" s="485" t="s">
        <v>631</v>
      </c>
      <c r="F89" s="485" t="s">
        <v>632</v>
      </c>
      <c r="G89" s="485" t="e">
        <f t="shared" si="48"/>
        <v>#VALUE!</v>
      </c>
      <c r="H89" s="486" t="s">
        <v>1190</v>
      </c>
      <c r="I89" s="485" t="s">
        <v>633</v>
      </c>
      <c r="J89" s="485" t="s">
        <v>142</v>
      </c>
      <c r="K89" s="485"/>
      <c r="L89" s="485" t="s">
        <v>634</v>
      </c>
      <c r="M89" s="485" t="s">
        <v>635</v>
      </c>
      <c r="N89" s="485" t="s">
        <v>636</v>
      </c>
      <c r="O89" s="485" t="s">
        <v>637</v>
      </c>
      <c r="P89" s="485" t="s">
        <v>140</v>
      </c>
      <c r="Q89" s="485" t="s">
        <v>141</v>
      </c>
      <c r="R89" s="485" t="s">
        <v>2400</v>
      </c>
      <c r="S89" s="485" t="s">
        <v>2474</v>
      </c>
      <c r="T89" s="485" t="s">
        <v>2549</v>
      </c>
      <c r="U89" s="485" t="s">
        <v>143</v>
      </c>
      <c r="V89" s="135" t="e">
        <f t="shared" si="49"/>
        <v>#VALUE!</v>
      </c>
      <c r="X89" s="493" t="e">
        <f t="shared" si="51"/>
        <v>#VALUE!</v>
      </c>
      <c r="Y89" s="488" t="e">
        <f t="shared" si="50"/>
        <v>#VALUE!</v>
      </c>
      <c r="AA89" s="493"/>
      <c r="AB89" s="493"/>
      <c r="AU89" s="485" t="s">
        <v>144</v>
      </c>
    </row>
    <row r="90" spans="1:47" s="487" customFormat="1" hidden="1">
      <c r="A90" s="494"/>
      <c r="B90" s="491" t="s">
        <v>370</v>
      </c>
      <c r="C90" s="485" t="e">
        <f t="shared" si="47"/>
        <v>#VALUE!</v>
      </c>
      <c r="D90" s="485" t="s">
        <v>145</v>
      </c>
      <c r="E90" s="485" t="s">
        <v>146</v>
      </c>
      <c r="F90" s="485" t="s">
        <v>147</v>
      </c>
      <c r="G90" s="485" t="e">
        <f t="shared" si="48"/>
        <v>#VALUE!</v>
      </c>
      <c r="H90" s="486" t="s">
        <v>1192</v>
      </c>
      <c r="I90" s="485" t="s">
        <v>148</v>
      </c>
      <c r="J90" s="485" t="s">
        <v>155</v>
      </c>
      <c r="K90" s="485"/>
      <c r="L90" s="485" t="s">
        <v>149</v>
      </c>
      <c r="M90" s="485" t="s">
        <v>150</v>
      </c>
      <c r="N90" s="485" t="s">
        <v>151</v>
      </c>
      <c r="O90" s="485" t="s">
        <v>152</v>
      </c>
      <c r="P90" s="485" t="s">
        <v>153</v>
      </c>
      <c r="Q90" s="485" t="s">
        <v>154</v>
      </c>
      <c r="R90" s="485" t="s">
        <v>2401</v>
      </c>
      <c r="S90" s="485" t="s">
        <v>2475</v>
      </c>
      <c r="T90" s="485" t="s">
        <v>2550</v>
      </c>
      <c r="U90" s="485" t="s">
        <v>156</v>
      </c>
      <c r="V90" s="135" t="e">
        <f t="shared" si="49"/>
        <v>#VALUE!</v>
      </c>
      <c r="X90" s="493" t="e">
        <f t="shared" si="51"/>
        <v>#VALUE!</v>
      </c>
      <c r="Y90" s="488" t="e">
        <f t="shared" si="50"/>
        <v>#VALUE!</v>
      </c>
      <c r="AU90" s="485" t="s">
        <v>157</v>
      </c>
    </row>
    <row r="91" spans="1:47">
      <c r="A91" s="935">
        <v>490</v>
      </c>
      <c r="B91" s="70" t="s">
        <v>1836</v>
      </c>
      <c r="C91" s="105" t="e">
        <f>SUM(C87:C90)</f>
        <v>#VALUE!</v>
      </c>
      <c r="D91" s="105">
        <f>SUM(D87:D90)</f>
        <v>0</v>
      </c>
      <c r="E91" s="105">
        <f>SUM(E87:E90)</f>
        <v>0</v>
      </c>
      <c r="F91" s="105">
        <f>SUM(F87:F90)</f>
        <v>0</v>
      </c>
      <c r="G91" s="105" t="e">
        <f>SUM(G87:G90)</f>
        <v>#VALUE!</v>
      </c>
      <c r="H91" s="490" t="e">
        <f>IF(C91=0,0,(H87*(C87/C91))+(H88*(C88/C91))+(H89*(C89/C91))+(H90*(C90/C91)))</f>
        <v>#VALUE!</v>
      </c>
      <c r="I91" s="105">
        <f t="shared" ref="I91:U91" si="52">SUM(I87:I90)</f>
        <v>0</v>
      </c>
      <c r="J91" s="105">
        <f>SUM(J87:J90)</f>
        <v>0</v>
      </c>
      <c r="K91" s="105"/>
      <c r="L91" s="105">
        <f t="shared" si="52"/>
        <v>0</v>
      </c>
      <c r="M91" s="105">
        <f t="shared" si="52"/>
        <v>0</v>
      </c>
      <c r="N91" s="105">
        <f t="shared" si="52"/>
        <v>0</v>
      </c>
      <c r="O91" s="105">
        <f t="shared" si="52"/>
        <v>0</v>
      </c>
      <c r="P91" s="105">
        <f t="shared" si="52"/>
        <v>0</v>
      </c>
      <c r="Q91" s="105">
        <f t="shared" si="52"/>
        <v>0</v>
      </c>
      <c r="R91" s="105">
        <f t="shared" si="52"/>
        <v>0</v>
      </c>
      <c r="S91" s="105">
        <f t="shared" si="52"/>
        <v>0</v>
      </c>
      <c r="T91" s="105">
        <f t="shared" si="52"/>
        <v>0</v>
      </c>
      <c r="U91" s="105">
        <f t="shared" si="52"/>
        <v>0</v>
      </c>
      <c r="V91" s="135" t="e">
        <f t="shared" si="49"/>
        <v>#VALUE!</v>
      </c>
      <c r="X91" s="105" t="e">
        <f t="shared" si="51"/>
        <v>#VALUE!</v>
      </c>
      <c r="Y91" s="456" t="e">
        <f t="shared" si="50"/>
        <v>#VALUE!</v>
      </c>
    </row>
    <row r="92" spans="1:47">
      <c r="A92" s="286">
        <v>500</v>
      </c>
      <c r="B92" s="102" t="s">
        <v>1334</v>
      </c>
      <c r="C92" s="104" t="e">
        <f>SUM(C82:C86)+C91</f>
        <v>#VALUE!</v>
      </c>
      <c r="D92" s="104">
        <f>SUM(D82:D86)+D91</f>
        <v>0</v>
      </c>
      <c r="E92" s="104">
        <f>SUM(E82:E86)+E91</f>
        <v>0</v>
      </c>
      <c r="F92" s="104">
        <f>SUM(F82:F86)+F91</f>
        <v>0</v>
      </c>
      <c r="G92" s="104" t="e">
        <f>SUM(G82:G86)+G91</f>
        <v>#VALUE!</v>
      </c>
      <c r="H92" s="490" t="e">
        <f>IF(C92=0,"",(H82*(C82/C92))+(H82*(C82/C92))+(H84*(C84/C92))+(H85*(C85/C92))+(H86*(C86/C92)))</f>
        <v>#VALUE!</v>
      </c>
      <c r="I92" s="104">
        <f t="shared" ref="I92:U92" si="53">SUM(I82:I86)+I91</f>
        <v>0</v>
      </c>
      <c r="J92" s="104">
        <f>SUM(J82:J86)+J91</f>
        <v>0</v>
      </c>
      <c r="K92" s="104"/>
      <c r="L92" s="104">
        <f t="shared" si="53"/>
        <v>0</v>
      </c>
      <c r="M92" s="104">
        <f t="shared" si="53"/>
        <v>0</v>
      </c>
      <c r="N92" s="104">
        <f t="shared" si="53"/>
        <v>0</v>
      </c>
      <c r="O92" s="104">
        <f t="shared" si="53"/>
        <v>0</v>
      </c>
      <c r="P92" s="104">
        <f t="shared" si="53"/>
        <v>0</v>
      </c>
      <c r="Q92" s="104">
        <f t="shared" si="53"/>
        <v>0</v>
      </c>
      <c r="R92" s="104">
        <f t="shared" si="53"/>
        <v>0</v>
      </c>
      <c r="S92" s="104">
        <f>SUM(S82:S86)+S91</f>
        <v>0</v>
      </c>
      <c r="T92" s="104">
        <f>SUM(T82:T86)+T91</f>
        <v>0</v>
      </c>
      <c r="U92" s="104">
        <f t="shared" si="53"/>
        <v>0</v>
      </c>
      <c r="V92" s="619" t="e">
        <f t="shared" si="49"/>
        <v>#VALUE!</v>
      </c>
      <c r="W92" s="436"/>
      <c r="X92" s="105" t="e">
        <f t="shared" si="51"/>
        <v>#VALUE!</v>
      </c>
      <c r="Y92" s="456" t="e">
        <f t="shared" si="50"/>
        <v>#VALUE!</v>
      </c>
      <c r="AU92" s="468">
        <f>SUM(AU87:AU91)</f>
        <v>0</v>
      </c>
    </row>
    <row r="93" spans="1:47">
      <c r="A93" s="286"/>
      <c r="B93" s="102" t="s">
        <v>1335</v>
      </c>
      <c r="C93" s="103"/>
      <c r="D93" s="103"/>
      <c r="E93" s="103"/>
      <c r="F93" s="103"/>
      <c r="G93" s="103"/>
      <c r="H93" s="109"/>
      <c r="I93" s="103"/>
      <c r="J93" s="103"/>
      <c r="K93" s="103"/>
      <c r="L93" s="103"/>
      <c r="M93" s="103"/>
      <c r="N93" s="103"/>
      <c r="O93" s="103"/>
      <c r="P93" s="103"/>
      <c r="Q93" s="103"/>
      <c r="R93" s="103"/>
      <c r="S93" s="103"/>
      <c r="T93" s="103"/>
      <c r="U93" s="103"/>
      <c r="V93" s="289"/>
      <c r="X93" s="105"/>
      <c r="Y93" s="456"/>
      <c r="AU93" s="470"/>
    </row>
    <row r="94" spans="1:47">
      <c r="A94" s="288">
        <v>510</v>
      </c>
      <c r="B94" s="70" t="s">
        <v>1203</v>
      </c>
      <c r="C94" s="410" t="e">
        <f>D94+G94</f>
        <v>#VALUE!</v>
      </c>
      <c r="D94" s="18" t="e">
        <f>D107-D9-D21-D34-D46-D58-D70-D82</f>
        <v>#VALUE!</v>
      </c>
      <c r="E94" s="18" t="e">
        <f>E107-E9-E21-E34-E46-E58-E70-E82</f>
        <v>#VALUE!</v>
      </c>
      <c r="F94" s="18" t="e">
        <f>F107-F9-F21-F34-F46-F58-F70-F82</f>
        <v>#VALUE!</v>
      </c>
      <c r="G94" s="18" t="e">
        <f>G107-G9-G21-G34-G46-G58-G70-G82</f>
        <v>#VALUE!</v>
      </c>
      <c r="H94" s="357" t="e">
        <f>IF(ABS(C94)&lt;0.01,0,((H107*C107-H9*C9-H21*C21-H34*C34-H46*C46-H58*C58-H70*C70-H82*C82)/C94))</f>
        <v>#VALUE!</v>
      </c>
      <c r="I94" s="18" t="e">
        <f t="shared" ref="I94:U94" si="54">I107-I9-I21-I34-I46-I58-I70-I82</f>
        <v>#VALUE!</v>
      </c>
      <c r="J94" s="18" t="e">
        <f>J107-J9-J21-J34-J46-J58-J70-J82</f>
        <v>#VALUE!</v>
      </c>
      <c r="K94" s="18"/>
      <c r="L94" s="18" t="e">
        <f t="shared" si="54"/>
        <v>#VALUE!</v>
      </c>
      <c r="M94" s="18" t="e">
        <f t="shared" si="54"/>
        <v>#VALUE!</v>
      </c>
      <c r="N94" s="18" t="e">
        <f t="shared" si="54"/>
        <v>#VALUE!</v>
      </c>
      <c r="O94" s="18" t="e">
        <f t="shared" si="54"/>
        <v>#VALUE!</v>
      </c>
      <c r="P94" s="18" t="e">
        <f t="shared" si="54"/>
        <v>#VALUE!</v>
      </c>
      <c r="Q94" s="18" t="e">
        <f t="shared" si="54"/>
        <v>#VALUE!</v>
      </c>
      <c r="R94" s="18" t="e">
        <f t="shared" si="54"/>
        <v>#VALUE!</v>
      </c>
      <c r="S94" s="18" t="e">
        <f t="shared" si="54"/>
        <v>#VALUE!</v>
      </c>
      <c r="T94" s="18" t="e">
        <f t="shared" si="54"/>
        <v>#VALUE!</v>
      </c>
      <c r="U94" s="18" t="e">
        <f t="shared" si="54"/>
        <v>#VALUE!</v>
      </c>
      <c r="V94" s="135" t="e">
        <f t="shared" si="49"/>
        <v>#VALUE!</v>
      </c>
      <c r="X94" s="105" t="e">
        <f>SUM(I94:V94)</f>
        <v>#VALUE!</v>
      </c>
      <c r="Y94" s="456" t="e">
        <f>C94-X94</f>
        <v>#VALUE!</v>
      </c>
      <c r="AU94" s="470" t="e">
        <f>AU107-AU9-#REF!-AU34-AU46-AU58-AU70-AU82</f>
        <v>#VALUE!</v>
      </c>
    </row>
    <row r="95" spans="1:47">
      <c r="A95" s="288">
        <v>520</v>
      </c>
      <c r="B95" s="70" t="s">
        <v>1204</v>
      </c>
      <c r="C95" s="410" t="e">
        <f t="shared" ref="C95:C104" si="55">D95+G95</f>
        <v>#VALUE!</v>
      </c>
      <c r="D95" s="18" t="e">
        <f>D108-D10-D163-D35-D47-D59-D71-D83</f>
        <v>#VALUE!</v>
      </c>
      <c r="E95" s="18" t="e">
        <f>E108-E10-E163-E35-E47-E59-E71-E83</f>
        <v>#VALUE!</v>
      </c>
      <c r="F95" s="18" t="e">
        <f>F108-F10-F163-F35-F47-F59-F71-F83</f>
        <v>#VALUE!</v>
      </c>
      <c r="G95" s="18" t="e">
        <f>G108-G10-G163-G35-G47-G59-G71-G83</f>
        <v>#VALUE!</v>
      </c>
      <c r="H95" s="357" t="e">
        <f>IF(ABS(C95)&lt;0.01,0,((H108*C108-H10*C10-H22*C22-H35*C35-H47*C47-H59*C59-H71*C71-H83*C83)/C95))</f>
        <v>#VALUE!</v>
      </c>
      <c r="I95" s="18" t="e">
        <f t="shared" ref="I95:U95" si="56">I108-I10-I163-I35-I47-I59-I71-I83</f>
        <v>#VALUE!</v>
      </c>
      <c r="J95" s="18" t="e">
        <f>J108-J10-J163-J35-J47-J59-J71-J83</f>
        <v>#VALUE!</v>
      </c>
      <c r="K95" s="18"/>
      <c r="L95" s="18" t="e">
        <f t="shared" si="56"/>
        <v>#VALUE!</v>
      </c>
      <c r="M95" s="18" t="e">
        <f t="shared" si="56"/>
        <v>#VALUE!</v>
      </c>
      <c r="N95" s="18" t="e">
        <f t="shared" si="56"/>
        <v>#VALUE!</v>
      </c>
      <c r="O95" s="18" t="e">
        <f t="shared" si="56"/>
        <v>#VALUE!</v>
      </c>
      <c r="P95" s="18" t="e">
        <f t="shared" si="56"/>
        <v>#VALUE!</v>
      </c>
      <c r="Q95" s="18" t="e">
        <f t="shared" si="56"/>
        <v>#VALUE!</v>
      </c>
      <c r="R95" s="18" t="e">
        <f t="shared" si="56"/>
        <v>#VALUE!</v>
      </c>
      <c r="S95" s="18" t="e">
        <f t="shared" si="56"/>
        <v>#VALUE!</v>
      </c>
      <c r="T95" s="18" t="e">
        <f t="shared" si="56"/>
        <v>#VALUE!</v>
      </c>
      <c r="U95" s="18" t="e">
        <f t="shared" si="56"/>
        <v>#VALUE!</v>
      </c>
      <c r="V95" s="135" t="e">
        <f t="shared" si="49"/>
        <v>#VALUE!</v>
      </c>
      <c r="X95" s="105" t="e">
        <f t="shared" ref="X95:X105" si="57">SUM(I95:V95)</f>
        <v>#VALUE!</v>
      </c>
      <c r="Y95" s="456" t="e">
        <f t="shared" ref="Y95:Y105" si="58">C95-X95</f>
        <v>#VALUE!</v>
      </c>
      <c r="AU95" s="470" t="e">
        <f>AU108-AU10-#REF!-AU35-AU47-AU59-AU71-AU83</f>
        <v>#VALUE!</v>
      </c>
    </row>
    <row r="96" spans="1:47">
      <c r="A96" s="288">
        <v>530</v>
      </c>
      <c r="B96" s="70" t="s">
        <v>2018</v>
      </c>
      <c r="C96" s="410" t="e">
        <f t="shared" si="55"/>
        <v>#VALUE!</v>
      </c>
      <c r="D96" s="18" t="e">
        <f>D109-D11-D166-D36-D48-D60-D72-D84</f>
        <v>#VALUE!</v>
      </c>
      <c r="E96" s="18" t="e">
        <f>E109-E11-E166-E36-E48-E60-E72-E84</f>
        <v>#VALUE!</v>
      </c>
      <c r="F96" s="18" t="e">
        <f>F109-F11-F166-F36-F48-F60-F72-F84</f>
        <v>#VALUE!</v>
      </c>
      <c r="G96" s="18" t="e">
        <f>G109-G11-G166-G36-G48-G60-G72-G84</f>
        <v>#VALUE!</v>
      </c>
      <c r="H96" s="357" t="e">
        <f>IF(ABS(C96)&lt;0.01,0,((H109*C109-H11*C11-H23*C23-H36*C36-H48*C48-H60*C60-H72*C72-H84*C84)/C96))</f>
        <v>#VALUE!</v>
      </c>
      <c r="I96" s="18" t="e">
        <f t="shared" ref="I96:U96" si="59">I109-I11-I166-I36-I48-I60-I72-I84</f>
        <v>#VALUE!</v>
      </c>
      <c r="J96" s="18" t="e">
        <f>J109-J11-J166-J36-J48-J60-J72-J84</f>
        <v>#VALUE!</v>
      </c>
      <c r="K96" s="18"/>
      <c r="L96" s="18" t="e">
        <f t="shared" si="59"/>
        <v>#VALUE!</v>
      </c>
      <c r="M96" s="18" t="e">
        <f t="shared" si="59"/>
        <v>#VALUE!</v>
      </c>
      <c r="N96" s="18" t="e">
        <f t="shared" si="59"/>
        <v>#VALUE!</v>
      </c>
      <c r="O96" s="18" t="e">
        <f t="shared" si="59"/>
        <v>#VALUE!</v>
      </c>
      <c r="P96" s="18" t="e">
        <f t="shared" si="59"/>
        <v>#VALUE!</v>
      </c>
      <c r="Q96" s="18" t="e">
        <f t="shared" si="59"/>
        <v>#VALUE!</v>
      </c>
      <c r="R96" s="18" t="e">
        <f t="shared" si="59"/>
        <v>#VALUE!</v>
      </c>
      <c r="S96" s="18" t="e">
        <f t="shared" si="59"/>
        <v>#VALUE!</v>
      </c>
      <c r="T96" s="18" t="e">
        <f t="shared" si="59"/>
        <v>#VALUE!</v>
      </c>
      <c r="U96" s="18" t="e">
        <f t="shared" si="59"/>
        <v>#VALUE!</v>
      </c>
      <c r="V96" s="135" t="e">
        <f t="shared" si="49"/>
        <v>#VALUE!</v>
      </c>
      <c r="X96" s="105" t="e">
        <f t="shared" si="57"/>
        <v>#VALUE!</v>
      </c>
      <c r="Y96" s="456" t="e">
        <f t="shared" si="58"/>
        <v>#VALUE!</v>
      </c>
      <c r="AU96" s="470" t="e">
        <f>AU109-#REF!-#REF!-AU36-AU48-AU60-#REF!-AU84</f>
        <v>#VALUE!</v>
      </c>
    </row>
    <row r="97" spans="1:47">
      <c r="A97" s="288">
        <v>540</v>
      </c>
      <c r="B97" s="70" t="s">
        <v>2019</v>
      </c>
      <c r="C97" s="410" t="e">
        <f t="shared" si="55"/>
        <v>#VALUE!</v>
      </c>
      <c r="D97" s="18" t="e">
        <f>D110-D12-D169-D37-D49-D61-D73-D85</f>
        <v>#VALUE!</v>
      </c>
      <c r="E97" s="18" t="e">
        <f>E110-E12-E169-E37-E49-E61-E73-E85</f>
        <v>#VALUE!</v>
      </c>
      <c r="F97" s="18" t="e">
        <f>F110-F12-F169-F37-F49-F61-F73-F85</f>
        <v>#VALUE!</v>
      </c>
      <c r="G97" s="18" t="e">
        <f>G110-G12-G169-G37-G49-G61-G73-G85</f>
        <v>#VALUE!</v>
      </c>
      <c r="H97" s="357" t="e">
        <f>IF(ABS(C97)&lt;0.01,0,((H110*C110-H12*C12-H24*C24-H37*C37-H49*C49-H61*C61-H73*C73-H85*C85)/C97))</f>
        <v>#VALUE!</v>
      </c>
      <c r="I97" s="18" t="e">
        <f>I110-I12-I169-I37-I49-I61-I73-I85</f>
        <v>#VALUE!</v>
      </c>
      <c r="J97" s="18" t="e">
        <f>J110-J12-J169-J37-J49-J61-J73-J85</f>
        <v>#VALUE!</v>
      </c>
      <c r="K97" s="18"/>
      <c r="L97" s="18" t="e">
        <f t="shared" ref="L97:U97" si="60">L110-L12-L169-L37-L49-L61-L73-L85</f>
        <v>#VALUE!</v>
      </c>
      <c r="M97" s="18" t="e">
        <f t="shared" si="60"/>
        <v>#VALUE!</v>
      </c>
      <c r="N97" s="18" t="e">
        <f t="shared" si="60"/>
        <v>#VALUE!</v>
      </c>
      <c r="O97" s="18" t="e">
        <f t="shared" si="60"/>
        <v>#VALUE!</v>
      </c>
      <c r="P97" s="18" t="e">
        <f t="shared" si="60"/>
        <v>#VALUE!</v>
      </c>
      <c r="Q97" s="18" t="e">
        <f t="shared" si="60"/>
        <v>#VALUE!</v>
      </c>
      <c r="R97" s="18" t="e">
        <f t="shared" si="60"/>
        <v>#VALUE!</v>
      </c>
      <c r="S97" s="18" t="e">
        <f t="shared" si="60"/>
        <v>#VALUE!</v>
      </c>
      <c r="T97" s="18" t="e">
        <f t="shared" si="60"/>
        <v>#VALUE!</v>
      </c>
      <c r="U97" s="18" t="e">
        <f t="shared" si="60"/>
        <v>#VALUE!</v>
      </c>
      <c r="V97" s="135" t="e">
        <f t="shared" si="49"/>
        <v>#VALUE!</v>
      </c>
      <c r="X97" s="105" t="e">
        <f t="shared" si="57"/>
        <v>#VALUE!</v>
      </c>
      <c r="Y97" s="456" t="e">
        <f t="shared" si="58"/>
        <v>#VALUE!</v>
      </c>
      <c r="AU97" s="470" t="e">
        <f>AU110-#REF!-#REF!-AU37-AU49-AU61-#REF!-AU85</f>
        <v>#VALUE!</v>
      </c>
    </row>
    <row r="98" spans="1:47">
      <c r="A98" s="288">
        <v>550</v>
      </c>
      <c r="B98" s="70" t="s">
        <v>703</v>
      </c>
      <c r="C98" s="410" t="e">
        <f t="shared" si="55"/>
        <v>#VALUE!</v>
      </c>
      <c r="D98" s="5" t="str">
        <f>D113</f>
        <v>#FN1{11901}</v>
      </c>
      <c r="E98" s="5">
        <f>E113</f>
        <v>0</v>
      </c>
      <c r="F98" s="5">
        <f>F113</f>
        <v>0</v>
      </c>
      <c r="G98" s="5">
        <f>G113</f>
        <v>0</v>
      </c>
      <c r="H98" s="357">
        <f>H113</f>
        <v>0</v>
      </c>
      <c r="I98" s="5">
        <f t="shared" ref="I98:V98" si="61">I113</f>
        <v>0</v>
      </c>
      <c r="J98" s="5">
        <f>J113</f>
        <v>0</v>
      </c>
      <c r="K98" s="5"/>
      <c r="L98" s="5">
        <f t="shared" si="61"/>
        <v>0</v>
      </c>
      <c r="M98" s="5">
        <f t="shared" si="61"/>
        <v>0</v>
      </c>
      <c r="N98" s="5">
        <f t="shared" si="61"/>
        <v>0</v>
      </c>
      <c r="O98" s="5">
        <f t="shared" si="61"/>
        <v>0</v>
      </c>
      <c r="P98" s="5">
        <f t="shared" si="61"/>
        <v>0</v>
      </c>
      <c r="Q98" s="5">
        <f t="shared" si="61"/>
        <v>0</v>
      </c>
      <c r="R98" s="5">
        <f t="shared" si="61"/>
        <v>0</v>
      </c>
      <c r="S98" s="5">
        <f t="shared" si="61"/>
        <v>0</v>
      </c>
      <c r="T98" s="5">
        <f t="shared" si="61"/>
        <v>0</v>
      </c>
      <c r="U98" s="5">
        <f t="shared" si="61"/>
        <v>0</v>
      </c>
      <c r="V98" s="5" t="e">
        <f t="shared" si="61"/>
        <v>#VALUE!</v>
      </c>
      <c r="X98" s="105" t="e">
        <f t="shared" si="57"/>
        <v>#VALUE!</v>
      </c>
      <c r="Y98" s="456" t="e">
        <f t="shared" si="58"/>
        <v>#VALUE!</v>
      </c>
      <c r="AU98" s="469"/>
    </row>
    <row r="99" spans="1:47">
      <c r="A99" s="288">
        <v>560</v>
      </c>
      <c r="B99" s="70" t="s">
        <v>704</v>
      </c>
      <c r="C99" s="410" t="e">
        <f t="shared" si="55"/>
        <v>#VALUE!</v>
      </c>
      <c r="D99" s="5" t="e">
        <f>D112</f>
        <v>#VALUE!</v>
      </c>
      <c r="E99" s="5" t="str">
        <f>E172</f>
        <v>#FNECTC{15701,15705;07;2;;E}</v>
      </c>
      <c r="F99" s="5" t="str">
        <f>F172</f>
        <v>#FNECTCP{12101,12109,14501,14505,11101,13301,13309,14301,14305,15601;07;2;;E}</v>
      </c>
      <c r="G99" s="5" t="e">
        <f>G172</f>
        <v>#VALUE!</v>
      </c>
      <c r="H99" s="516" t="e">
        <f>H112</f>
        <v>#VALUE!</v>
      </c>
      <c r="I99" s="5" t="str">
        <f t="shared" ref="I99:V99" si="62">I172</f>
        <v>#FNOBES{12101,12109,14501,14505,11101,13301,13309,14301,14305,15601;07;2;25;;E}</v>
      </c>
      <c r="J99" s="5" t="str">
        <f>J172</f>
        <v>#FNOBES{12101,12109,14501,14505,11101,13301,13309,14301,14305,15601;07;2;42;;E}</v>
      </c>
      <c r="K99" s="5"/>
      <c r="L99" s="5" t="str">
        <f t="shared" si="62"/>
        <v>#FNOBES{12101,12109,14501,14505,11101,13301,13309,14301,14305,15601;07;2;23;;E}</v>
      </c>
      <c r="M99" s="5" t="str">
        <f t="shared" si="62"/>
        <v>#FNOBES{12101,12109,14501,14505,11101,13301,13309,14301,14305,15601;07;2;26;;E}</v>
      </c>
      <c r="N99" s="5" t="str">
        <f t="shared" si="62"/>
        <v>#FNOBES{12101,12109,14501,14505,11101,13301,13309,14301,14305,15601;07;2;21,22;;E}</v>
      </c>
      <c r="O99" s="5" t="str">
        <f t="shared" si="62"/>
        <v>#FNOBES{12101,12109,14501,14505,11101,13301,13309,14301,14305,15601;07;2;24;;E}</v>
      </c>
      <c r="P99" s="5" t="str">
        <f t="shared" si="62"/>
        <v>#FNOBES{12101,12109,14501,14505,11101,13301,13309,14301,14305,15601;07;2;31,32,33,34,35,36,37;;E}</v>
      </c>
      <c r="Q99" s="5" t="str">
        <f t="shared" si="62"/>
        <v>#FNOBES{12101,12109,14501,14505,11101,13301,13309,14301,14305,15601;07;2;29;;E}</v>
      </c>
      <c r="R99" s="5" t="str">
        <f t="shared" si="62"/>
        <v>#FNOBES{12101,12109,14501,14505,11101,13301,13309,14301,14305,15601;07;2;43;;E}</v>
      </c>
      <c r="S99" s="5" t="str">
        <f t="shared" si="62"/>
        <v>#FNOBES{12101,12109,14501,14505,11101,13301,13309,14301,14305,15601;07;2;41;;E}</v>
      </c>
      <c r="T99" s="5" t="str">
        <f t="shared" si="62"/>
        <v>#FNOBES{12101,12109,14501,14505,11101,13301,13309,14301,14305,15601;07;2;51;;E}</v>
      </c>
      <c r="U99" s="5" t="str">
        <f t="shared" si="62"/>
        <v>#FNOBES{12101,12109,14501,14505,11101,13301,13309,14301,14305,15601;07;2;61;;E}</v>
      </c>
      <c r="V99" s="5" t="e">
        <f t="shared" si="62"/>
        <v>#VALUE!</v>
      </c>
      <c r="X99" s="105" t="e">
        <f t="shared" si="57"/>
        <v>#VALUE!</v>
      </c>
      <c r="Y99" s="456" t="e">
        <f t="shared" si="58"/>
        <v>#VALUE!</v>
      </c>
      <c r="AU99" s="469" t="e">
        <f>#REF!</f>
        <v>#REF!</v>
      </c>
    </row>
    <row r="100" spans="1:47">
      <c r="A100" s="288">
        <v>570</v>
      </c>
      <c r="B100" s="70" t="s">
        <v>705</v>
      </c>
      <c r="C100" s="410" t="e">
        <f t="shared" si="55"/>
        <v>#VALUE!</v>
      </c>
      <c r="D100" s="18" t="e">
        <f>D114-D13-D179-D38-D50-D62-D74-D86</f>
        <v>#VALUE!</v>
      </c>
      <c r="E100" s="18" t="e">
        <f>E114-E13-E179-E38-E50-E62-E74-E86</f>
        <v>#VALUE!</v>
      </c>
      <c r="F100" s="18" t="e">
        <f>F114-F13-F179-F38-F50-F62-F74-F86</f>
        <v>#VALUE!</v>
      </c>
      <c r="G100" s="18" t="e">
        <f>G114-G13-G179-G38-G50-G62-G74-G86</f>
        <v>#VALUE!</v>
      </c>
      <c r="H100" s="357" t="e">
        <f>IF(ABS(C100)&lt;0.01,0,((H114*C114-H13*C13-H26*C26-H38*C38-H50*C50-H62*C62-H74*C74-H86*C86)/C100))</f>
        <v>#VALUE!</v>
      </c>
      <c r="I100" s="18" t="e">
        <f t="shared" ref="I100:U100" si="63">I114-I13-I179-I38-I50-I62-I74-I86</f>
        <v>#VALUE!</v>
      </c>
      <c r="J100" s="18" t="e">
        <f>J114-J13-J179-J38-J50-J62-J74-J86</f>
        <v>#VALUE!</v>
      </c>
      <c r="K100" s="18"/>
      <c r="L100" s="18" t="e">
        <f t="shared" si="63"/>
        <v>#VALUE!</v>
      </c>
      <c r="M100" s="18" t="e">
        <f t="shared" si="63"/>
        <v>#VALUE!</v>
      </c>
      <c r="N100" s="18" t="e">
        <f t="shared" si="63"/>
        <v>#VALUE!</v>
      </c>
      <c r="O100" s="18" t="e">
        <f t="shared" si="63"/>
        <v>#VALUE!</v>
      </c>
      <c r="P100" s="18" t="e">
        <f t="shared" si="63"/>
        <v>#VALUE!</v>
      </c>
      <c r="Q100" s="18" t="e">
        <f t="shared" si="63"/>
        <v>#VALUE!</v>
      </c>
      <c r="R100" s="18" t="e">
        <f t="shared" si="63"/>
        <v>#VALUE!</v>
      </c>
      <c r="S100" s="18" t="e">
        <f t="shared" si="63"/>
        <v>#VALUE!</v>
      </c>
      <c r="T100" s="18" t="e">
        <f t="shared" si="63"/>
        <v>#VALUE!</v>
      </c>
      <c r="U100" s="18" t="e">
        <f t="shared" si="63"/>
        <v>#VALUE!</v>
      </c>
      <c r="V100" s="135" t="e">
        <f>C100-I100-J100-L100-M100-N100-O100-P100-Q100-R100-S100-T100-U100</f>
        <v>#VALUE!</v>
      </c>
      <c r="X100" s="105" t="e">
        <f t="shared" si="57"/>
        <v>#VALUE!</v>
      </c>
      <c r="Y100" s="456" t="e">
        <f t="shared" si="58"/>
        <v>#VALUE!</v>
      </c>
      <c r="AU100" s="470" t="e">
        <f>AU114-#REF!-#REF!-AU38-AU50-AU62-AU74-AU86</f>
        <v>#VALUE!</v>
      </c>
    </row>
    <row r="101" spans="1:47">
      <c r="A101" s="288">
        <v>580</v>
      </c>
      <c r="B101" s="70" t="s">
        <v>370</v>
      </c>
      <c r="C101" s="410" t="e">
        <f t="shared" si="55"/>
        <v>#VALUE!</v>
      </c>
      <c r="D101" s="18" t="e">
        <f>D115-D17-D179-D54-D66-D78-D90</f>
        <v>#VALUE!</v>
      </c>
      <c r="E101" s="18" t="e">
        <f>E115-E17-E179-E54-E66-E78-E90</f>
        <v>#VALUE!</v>
      </c>
      <c r="F101" s="18" t="e">
        <f>F115-F17-F179-F54-F66-F78-F90</f>
        <v>#VALUE!</v>
      </c>
      <c r="G101" s="18" t="e">
        <f>G115-G17-G179-G54-G66-G78-G90</f>
        <v>#VALUE!</v>
      </c>
      <c r="H101" s="357" t="e">
        <f>IF(ABS(C101)&lt;0.01,0,((H115*C115-H17*C17-H30*C30-H42*C42-H54*C54-H66*C66-H78*C78-H90*C90)/C101))</f>
        <v>#VALUE!</v>
      </c>
      <c r="I101" s="18" t="e">
        <f t="shared" ref="I101:U101" si="64">I115-I17-I179-I54-I66-I78-I90</f>
        <v>#VALUE!</v>
      </c>
      <c r="J101" s="18" t="e">
        <f>J115-J17-J179-J54-J66-J78-J90</f>
        <v>#VALUE!</v>
      </c>
      <c r="K101" s="18"/>
      <c r="L101" s="18" t="e">
        <f t="shared" si="64"/>
        <v>#VALUE!</v>
      </c>
      <c r="M101" s="18" t="e">
        <f t="shared" si="64"/>
        <v>#VALUE!</v>
      </c>
      <c r="N101" s="18" t="e">
        <f t="shared" si="64"/>
        <v>#VALUE!</v>
      </c>
      <c r="O101" s="18" t="e">
        <f t="shared" si="64"/>
        <v>#VALUE!</v>
      </c>
      <c r="P101" s="18" t="e">
        <f t="shared" si="64"/>
        <v>#VALUE!</v>
      </c>
      <c r="Q101" s="18" t="e">
        <f t="shared" si="64"/>
        <v>#VALUE!</v>
      </c>
      <c r="R101" s="18" t="e">
        <f t="shared" si="64"/>
        <v>#VALUE!</v>
      </c>
      <c r="S101" s="18" t="e">
        <f t="shared" si="64"/>
        <v>#VALUE!</v>
      </c>
      <c r="T101" s="18" t="e">
        <f t="shared" si="64"/>
        <v>#VALUE!</v>
      </c>
      <c r="U101" s="18" t="e">
        <f t="shared" si="64"/>
        <v>#VALUE!</v>
      </c>
      <c r="V101" s="135" t="e">
        <f>C101-I101-J101-L101-M101-N101-O101-P101-Q101-R101-S101-T101-U101</f>
        <v>#VALUE!</v>
      </c>
      <c r="X101" s="105" t="e">
        <f t="shared" si="57"/>
        <v>#VALUE!</v>
      </c>
      <c r="Y101" s="456" t="e">
        <f t="shared" si="58"/>
        <v>#VALUE!</v>
      </c>
      <c r="AU101" s="470" t="e">
        <f>AU115-AU17-AU30-AU42-AU54-AU66-AU78-AU90</f>
        <v>#VALUE!</v>
      </c>
    </row>
    <row r="102" spans="1:47">
      <c r="A102" s="288">
        <v>590</v>
      </c>
      <c r="B102" s="70" t="s">
        <v>926</v>
      </c>
      <c r="C102" s="410" t="e">
        <f t="shared" si="55"/>
        <v>#VALUE!</v>
      </c>
      <c r="D102" s="18" t="e">
        <f>D116-D16-D29-D41-D53-D65-D77-D89</f>
        <v>#VALUE!</v>
      </c>
      <c r="E102" s="18" t="e">
        <f>E116-E16-E29-E41-E53-E65-E77-E89</f>
        <v>#VALUE!</v>
      </c>
      <c r="F102" s="18" t="e">
        <f>F116-F16-F29-F41-F53-F65-F77-F89</f>
        <v>#VALUE!</v>
      </c>
      <c r="G102" s="18" t="e">
        <f>G116-G16-G29-G41-G53-G65-G77-G89</f>
        <v>#VALUE!</v>
      </c>
      <c r="H102" s="357" t="e">
        <f>IF(ABS(C102)&lt;0.01,0,((H116*C116-H16*C16-H29*C29-H41*C41-H53*C53-H65*C65-H77*C77-H89*C89)/C102))</f>
        <v>#VALUE!</v>
      </c>
      <c r="I102" s="18" t="e">
        <f t="shared" ref="I102:U102" si="65">I116-I16-I29-I41-I53-I65-I77-I89</f>
        <v>#VALUE!</v>
      </c>
      <c r="J102" s="18" t="e">
        <f>J116-J16-J29-J41-J53-J65-J77-J89</f>
        <v>#VALUE!</v>
      </c>
      <c r="K102" s="18"/>
      <c r="L102" s="18" t="e">
        <f t="shared" si="65"/>
        <v>#VALUE!</v>
      </c>
      <c r="M102" s="18" t="e">
        <f t="shared" si="65"/>
        <v>#VALUE!</v>
      </c>
      <c r="N102" s="18" t="e">
        <f t="shared" si="65"/>
        <v>#VALUE!</v>
      </c>
      <c r="O102" s="18" t="e">
        <f t="shared" si="65"/>
        <v>#VALUE!</v>
      </c>
      <c r="P102" s="18" t="e">
        <f t="shared" si="65"/>
        <v>#VALUE!</v>
      </c>
      <c r="Q102" s="18" t="e">
        <f t="shared" si="65"/>
        <v>#VALUE!</v>
      </c>
      <c r="R102" s="18" t="e">
        <f t="shared" si="65"/>
        <v>#VALUE!</v>
      </c>
      <c r="S102" s="18" t="e">
        <f t="shared" si="65"/>
        <v>#VALUE!</v>
      </c>
      <c r="T102" s="18" t="e">
        <f t="shared" si="65"/>
        <v>#VALUE!</v>
      </c>
      <c r="U102" s="18" t="e">
        <f t="shared" si="65"/>
        <v>#VALUE!</v>
      </c>
      <c r="V102" s="135" t="e">
        <f>C102-I102-J102-L102-M102-N102-O102-P102-Q102-R102-S102-T102-U102</f>
        <v>#VALUE!</v>
      </c>
      <c r="X102" s="105" t="e">
        <f t="shared" si="57"/>
        <v>#VALUE!</v>
      </c>
      <c r="Y102" s="456" t="e">
        <f t="shared" si="58"/>
        <v>#VALUE!</v>
      </c>
      <c r="AU102" s="470" t="e">
        <f>#REF!-AU16-AU29-AU41-AU53-AU65-AU77-AU89</f>
        <v>#REF!</v>
      </c>
    </row>
    <row r="103" spans="1:47" s="71" customFormat="1">
      <c r="A103" s="505">
        <v>600</v>
      </c>
      <c r="B103" s="70" t="s">
        <v>925</v>
      </c>
      <c r="C103" s="410" t="e">
        <f t="shared" si="55"/>
        <v>#VALUE!</v>
      </c>
      <c r="D103" s="18" t="e">
        <f t="shared" ref="D103:G104" si="66">D117-D14-D27-D39-D51-D63-D75-D87</f>
        <v>#VALUE!</v>
      </c>
      <c r="E103" s="18" t="e">
        <f t="shared" si="66"/>
        <v>#VALUE!</v>
      </c>
      <c r="F103" s="18" t="e">
        <f t="shared" si="66"/>
        <v>#VALUE!</v>
      </c>
      <c r="G103" s="18" t="e">
        <f t="shared" si="66"/>
        <v>#VALUE!</v>
      </c>
      <c r="H103" s="357" t="e">
        <f>IF(ABS(C103)&lt;0.01,0,((H117*C117-H14*C14-H27*C27-H39*C39-H51*C51-H63*C63-H75*C75-H87*C87)/C103))</f>
        <v>#VALUE!</v>
      </c>
      <c r="I103" s="18" t="e">
        <f t="shared" ref="I103:U103" si="67">I117-I14-I27-I39-I51-I63-I75-I87</f>
        <v>#VALUE!</v>
      </c>
      <c r="J103" s="18" t="e">
        <f>J117-J14-J27-J39-J51-J63-J75-J87</f>
        <v>#VALUE!</v>
      </c>
      <c r="K103" s="18"/>
      <c r="L103" s="18" t="e">
        <f t="shared" si="67"/>
        <v>#VALUE!</v>
      </c>
      <c r="M103" s="18" t="e">
        <f t="shared" si="67"/>
        <v>#VALUE!</v>
      </c>
      <c r="N103" s="18" t="e">
        <f t="shared" si="67"/>
        <v>#VALUE!</v>
      </c>
      <c r="O103" s="18" t="e">
        <f t="shared" si="67"/>
        <v>#VALUE!</v>
      </c>
      <c r="P103" s="18" t="e">
        <f t="shared" si="67"/>
        <v>#VALUE!</v>
      </c>
      <c r="Q103" s="18" t="e">
        <f t="shared" si="67"/>
        <v>#VALUE!</v>
      </c>
      <c r="R103" s="18" t="e">
        <f t="shared" si="67"/>
        <v>#VALUE!</v>
      </c>
      <c r="S103" s="18" t="e">
        <f t="shared" si="67"/>
        <v>#VALUE!</v>
      </c>
      <c r="T103" s="18" t="e">
        <f t="shared" si="67"/>
        <v>#VALUE!</v>
      </c>
      <c r="U103" s="18" t="e">
        <f t="shared" si="67"/>
        <v>#VALUE!</v>
      </c>
      <c r="V103" s="135" t="e">
        <f>C103-I103-J103-L103-M103-N103-O103-P103-Q103-R103-S103-T103-U103</f>
        <v>#VALUE!</v>
      </c>
      <c r="X103" s="105" t="e">
        <f t="shared" si="57"/>
        <v>#VALUE!</v>
      </c>
      <c r="Y103" s="456" t="e">
        <f t="shared" si="58"/>
        <v>#VALUE!</v>
      </c>
      <c r="AU103" s="470" t="e">
        <f>AU117-AU14-AU27-AU39-AU51-AU63-AU75-AU87</f>
        <v>#VALUE!</v>
      </c>
    </row>
    <row r="104" spans="1:47">
      <c r="A104" s="288">
        <v>610</v>
      </c>
      <c r="B104" s="70" t="s">
        <v>1834</v>
      </c>
      <c r="C104" s="410" t="e">
        <f t="shared" si="55"/>
        <v>#VALUE!</v>
      </c>
      <c r="D104" s="18" t="e">
        <f t="shared" si="66"/>
        <v>#VALUE!</v>
      </c>
      <c r="E104" s="18" t="e">
        <f t="shared" si="66"/>
        <v>#VALUE!</v>
      </c>
      <c r="F104" s="18" t="e">
        <f t="shared" si="66"/>
        <v>#VALUE!</v>
      </c>
      <c r="G104" s="18" t="e">
        <f t="shared" si="66"/>
        <v>#VALUE!</v>
      </c>
      <c r="H104" s="357" t="e">
        <f>IF(ABS(C104)&lt;0.01,0,((H118*C118-H18*C18-H31*C31-H43*C43-H55*C55-H67*C67-H79*C79-H91*C91)/C104))</f>
        <v>#VALUE!</v>
      </c>
      <c r="I104" s="18" t="e">
        <f t="shared" ref="I104:V104" si="68">I118</f>
        <v>#VALUE!</v>
      </c>
      <c r="J104" s="18" t="e">
        <f>J118</f>
        <v>#VALUE!</v>
      </c>
      <c r="K104" s="18"/>
      <c r="L104" s="18" t="e">
        <f t="shared" si="68"/>
        <v>#VALUE!</v>
      </c>
      <c r="M104" s="18" t="e">
        <f t="shared" si="68"/>
        <v>#VALUE!</v>
      </c>
      <c r="N104" s="18" t="e">
        <f t="shared" si="68"/>
        <v>#VALUE!</v>
      </c>
      <c r="O104" s="18" t="e">
        <f t="shared" si="68"/>
        <v>#VALUE!</v>
      </c>
      <c r="P104" s="18" t="e">
        <f t="shared" si="68"/>
        <v>#VALUE!</v>
      </c>
      <c r="Q104" s="18" t="e">
        <f t="shared" si="68"/>
        <v>#VALUE!</v>
      </c>
      <c r="R104" s="18" t="e">
        <f t="shared" si="68"/>
        <v>#VALUE!</v>
      </c>
      <c r="S104" s="18" t="e">
        <f t="shared" si="68"/>
        <v>#VALUE!</v>
      </c>
      <c r="T104" s="18" t="e">
        <f t="shared" si="68"/>
        <v>#VALUE!</v>
      </c>
      <c r="U104" s="18" t="e">
        <f t="shared" si="68"/>
        <v>#VALUE!</v>
      </c>
      <c r="V104" s="18" t="e">
        <f t="shared" si="68"/>
        <v>#VALUE!</v>
      </c>
      <c r="X104" s="105" t="e">
        <f t="shared" si="57"/>
        <v>#VALUE!</v>
      </c>
      <c r="Y104" s="456" t="e">
        <f t="shared" si="58"/>
        <v>#VALUE!</v>
      </c>
      <c r="AU104" s="470" t="e">
        <f>AU118-AU15-AU28-AU40-AU52-AU64-AU76-AU88</f>
        <v>#VALUE!</v>
      </c>
    </row>
    <row r="105" spans="1:47">
      <c r="A105" s="286">
        <v>620</v>
      </c>
      <c r="B105" s="102" t="s">
        <v>1115</v>
      </c>
      <c r="C105" s="104" t="e">
        <f>SUM(C94:C104)</f>
        <v>#VALUE!</v>
      </c>
      <c r="D105" s="104" t="e">
        <f>SUM(D94:D104)</f>
        <v>#VALUE!</v>
      </c>
      <c r="E105" s="104" t="e">
        <f>SUM(E94:E104)</f>
        <v>#VALUE!</v>
      </c>
      <c r="F105" s="104" t="e">
        <f>SUM(F94:F104)</f>
        <v>#VALUE!</v>
      </c>
      <c r="G105" s="104" t="e">
        <f>SUM(G103:G104)</f>
        <v>#VALUE!</v>
      </c>
      <c r="H105" s="108" t="e">
        <f>IF(C105=0,"",(H94*(C94/C105))+(H95*(C95/C105))+(H96*(C96/C105))+(H97*(C97/C105))+(H98*(C98/C105))+(H99*(C99/C105))+(H100*(C100/C105))+(H101*(C101/C105))+(H102*(C102/C105))+(H103*(C103/C105))+(H104*(C104/C105)))</f>
        <v>#VALUE!</v>
      </c>
      <c r="I105" s="104" t="e">
        <f t="shared" ref="I105:V105" si="69">SUM(I94:I104)</f>
        <v>#VALUE!</v>
      </c>
      <c r="J105" s="104" t="e">
        <f>SUM(J94:J104)</f>
        <v>#VALUE!</v>
      </c>
      <c r="K105" s="104"/>
      <c r="L105" s="104" t="e">
        <f t="shared" si="69"/>
        <v>#VALUE!</v>
      </c>
      <c r="M105" s="104" t="e">
        <f t="shared" si="69"/>
        <v>#VALUE!</v>
      </c>
      <c r="N105" s="104" t="e">
        <f t="shared" si="69"/>
        <v>#VALUE!</v>
      </c>
      <c r="O105" s="104" t="e">
        <f t="shared" si="69"/>
        <v>#VALUE!</v>
      </c>
      <c r="P105" s="104" t="e">
        <f t="shared" si="69"/>
        <v>#VALUE!</v>
      </c>
      <c r="Q105" s="104" t="e">
        <f t="shared" si="69"/>
        <v>#VALUE!</v>
      </c>
      <c r="R105" s="104" t="e">
        <f t="shared" si="69"/>
        <v>#VALUE!</v>
      </c>
      <c r="S105" s="104" t="e">
        <f t="shared" si="69"/>
        <v>#VALUE!</v>
      </c>
      <c r="T105" s="104" t="e">
        <f t="shared" si="69"/>
        <v>#VALUE!</v>
      </c>
      <c r="U105" s="104" t="e">
        <f t="shared" si="69"/>
        <v>#VALUE!</v>
      </c>
      <c r="V105" s="104" t="e">
        <f t="shared" si="69"/>
        <v>#VALUE!</v>
      </c>
      <c r="X105" s="105" t="e">
        <f t="shared" si="57"/>
        <v>#VALUE!</v>
      </c>
      <c r="Y105" s="456" t="e">
        <f t="shared" si="58"/>
        <v>#VALUE!</v>
      </c>
      <c r="AU105" s="468" t="e">
        <f>SUM(AU103:AU104)</f>
        <v>#VALUE!</v>
      </c>
    </row>
    <row r="106" spans="1:47">
      <c r="A106" s="286"/>
      <c r="B106" s="495" t="s">
        <v>158</v>
      </c>
      <c r="C106" s="103"/>
      <c r="D106" s="103"/>
      <c r="E106" s="103"/>
      <c r="F106" s="103"/>
      <c r="G106" s="103"/>
      <c r="H106" s="108"/>
      <c r="I106" s="103"/>
      <c r="J106" s="103"/>
      <c r="K106" s="103"/>
      <c r="L106" s="103"/>
      <c r="M106" s="103"/>
      <c r="N106" s="103"/>
      <c r="O106" s="103"/>
      <c r="P106" s="103"/>
      <c r="Q106" s="103"/>
      <c r="R106" s="103"/>
      <c r="S106" s="103"/>
      <c r="T106" s="103"/>
      <c r="U106" s="103"/>
      <c r="V106" s="289"/>
      <c r="X106" s="105"/>
      <c r="Y106" s="456"/>
      <c r="AU106" s="470"/>
    </row>
    <row r="107" spans="1:47">
      <c r="A107" s="288">
        <v>630</v>
      </c>
      <c r="B107" s="436" t="s">
        <v>1203</v>
      </c>
      <c r="C107" s="410" t="e">
        <f>D107+G107</f>
        <v>#VALUE!</v>
      </c>
      <c r="D107" s="410" t="e">
        <f>D129</f>
        <v>#VALUE!</v>
      </c>
      <c r="E107" s="410" t="str">
        <f>E129</f>
        <v>#FNECTC{15701,15705;08;;;E}</v>
      </c>
      <c r="F107" s="410" t="str">
        <f>F129</f>
        <v>#FNECTCP{12501,12509,14901,14905,11101,13301,13309,14301,14305,15603;08;;;E}</v>
      </c>
      <c r="G107" s="410" t="e">
        <f>G129</f>
        <v>#VALUE!</v>
      </c>
      <c r="H107" s="517" t="str">
        <f>H129</f>
        <v>#FN4{;12501-12509,14901,14905}</v>
      </c>
      <c r="I107" s="410" t="str">
        <f t="shared" ref="I107:U107" si="70">I129</f>
        <v>#FNOBES{12501,12509,14901,14905,11101,13301,13309,14301,14305,15603;08;;25;;E}</v>
      </c>
      <c r="J107" s="410" t="str">
        <f>J129</f>
        <v>#FNOBES{12501,12509,14901,14905,11101,13301,13309,14301,14305,15603;08;;42;;E}</v>
      </c>
      <c r="K107" s="410"/>
      <c r="L107" s="410" t="str">
        <f t="shared" si="70"/>
        <v>#FNOBES{12501,12509,14901,14905,11101,13301,13309,14301,14305,15603;08;;23;;E}</v>
      </c>
      <c r="M107" s="410" t="str">
        <f t="shared" si="70"/>
        <v>#FNOBES{12501,12509,14901,14905,11101,13301,13309,14301,14305,15603;08;;26;;E}</v>
      </c>
      <c r="N107" s="410" t="str">
        <f t="shared" si="70"/>
        <v>#FNOBES{12501,12509,14901,14905,11101,13301,13309,14301,14305,15603;08;;21,22;;E}</v>
      </c>
      <c r="O107" s="410" t="str">
        <f t="shared" si="70"/>
        <v>#FNOBES{12501,12509,14901,14905,11101,13301,13309,14301,14305,15603;08;;24;;E}</v>
      </c>
      <c r="P107" s="410" t="str">
        <f t="shared" si="70"/>
        <v>#FNOBES{12501,12509,14901,14905,11101,13301,13309,14301,14305,15603;08;;31,32,33,34,35,36,37;;E}</v>
      </c>
      <c r="Q107" s="410" t="str">
        <f t="shared" si="70"/>
        <v>#FNOBES{12501,12509,14901,14905,11101,13301,13309,14301,14305,15603;08;;29;;E}</v>
      </c>
      <c r="R107" s="410" t="str">
        <f t="shared" si="70"/>
        <v>#FNOBES{12501,12509,14901,14905,11101,13301,13309,14301,14305,15603;08;;43;;E}</v>
      </c>
      <c r="S107" s="410" t="str">
        <f t="shared" si="70"/>
        <v>#FNOBES{12501,12509,14901,14905,11101,13301,13309,14301,14305,15603;08;;41;;E}</v>
      </c>
      <c r="T107" s="410" t="str">
        <f t="shared" si="70"/>
        <v>#FNOBES{12501,12509,14901,14905,11101,13301,13309,14301,14305,15603;08;;51;;E}</v>
      </c>
      <c r="U107" s="410" t="str">
        <f t="shared" si="70"/>
        <v>#FNOBES{12501,12509,14901,14905,11101,13301,13309,14301,14305,15603;08;;61;;E}</v>
      </c>
      <c r="V107" s="135" t="e">
        <f t="shared" ref="V107:V118" si="71">C107-I107-J107-L107-M107-N107-O107-P107-Q107-R107-S107-T107-U107</f>
        <v>#VALUE!</v>
      </c>
      <c r="X107" s="105" t="e">
        <f>SUM(I107:V107)</f>
        <v>#VALUE!</v>
      </c>
      <c r="Y107" s="456" t="e">
        <f>C107-X107</f>
        <v>#VALUE!</v>
      </c>
      <c r="AU107" s="469" t="s">
        <v>397</v>
      </c>
    </row>
    <row r="108" spans="1:47">
      <c r="A108" s="288">
        <v>640</v>
      </c>
      <c r="B108" s="436" t="s">
        <v>1204</v>
      </c>
      <c r="C108" s="410" t="e">
        <f t="shared" ref="C108:C118" si="72">D108+G108</f>
        <v>#VALUE!</v>
      </c>
      <c r="D108" s="410" t="e">
        <f>D132</f>
        <v>#VALUE!</v>
      </c>
      <c r="E108" s="410" t="e">
        <f>E132</f>
        <v>#VALUE!</v>
      </c>
      <c r="F108" s="410" t="e">
        <f>F132</f>
        <v>#VALUE!</v>
      </c>
      <c r="G108" s="410" t="e">
        <f>G132</f>
        <v>#VALUE!</v>
      </c>
      <c r="H108" s="517" t="e">
        <f>H132</f>
        <v>#VALUE!</v>
      </c>
      <c r="I108" s="410" t="e">
        <f t="shared" ref="I108:U108" si="73">I132</f>
        <v>#VALUE!</v>
      </c>
      <c r="J108" s="410" t="e">
        <f>J132</f>
        <v>#VALUE!</v>
      </c>
      <c r="K108" s="410"/>
      <c r="L108" s="410" t="e">
        <f t="shared" si="73"/>
        <v>#VALUE!</v>
      </c>
      <c r="M108" s="410" t="e">
        <f t="shared" si="73"/>
        <v>#VALUE!</v>
      </c>
      <c r="N108" s="410" t="e">
        <f t="shared" si="73"/>
        <v>#VALUE!</v>
      </c>
      <c r="O108" s="410" t="e">
        <f t="shared" si="73"/>
        <v>#VALUE!</v>
      </c>
      <c r="P108" s="410" t="e">
        <f t="shared" si="73"/>
        <v>#VALUE!</v>
      </c>
      <c r="Q108" s="410" t="e">
        <f t="shared" si="73"/>
        <v>#VALUE!</v>
      </c>
      <c r="R108" s="410" t="e">
        <f t="shared" si="73"/>
        <v>#VALUE!</v>
      </c>
      <c r="S108" s="410" t="e">
        <f t="shared" si="73"/>
        <v>#VALUE!</v>
      </c>
      <c r="T108" s="410" t="e">
        <f t="shared" si="73"/>
        <v>#VALUE!</v>
      </c>
      <c r="U108" s="410" t="e">
        <f t="shared" si="73"/>
        <v>#VALUE!</v>
      </c>
      <c r="V108" s="135" t="e">
        <f t="shared" si="71"/>
        <v>#VALUE!</v>
      </c>
      <c r="X108" s="105" t="e">
        <f t="shared" ref="X108:X119" si="74">SUM(I108:V108)</f>
        <v>#VALUE!</v>
      </c>
      <c r="Y108" s="456" t="e">
        <f>C108-X108</f>
        <v>#VALUE!</v>
      </c>
      <c r="AU108" s="469" t="s">
        <v>399</v>
      </c>
    </row>
    <row r="109" spans="1:47">
      <c r="A109" s="288">
        <v>650</v>
      </c>
      <c r="B109" s="436" t="s">
        <v>2018</v>
      </c>
      <c r="C109" s="410" t="e">
        <f t="shared" si="72"/>
        <v>#VALUE!</v>
      </c>
      <c r="D109" s="410" t="e">
        <f>D135</f>
        <v>#VALUE!</v>
      </c>
      <c r="E109" s="410" t="e">
        <f>E135</f>
        <v>#VALUE!</v>
      </c>
      <c r="F109" s="410" t="e">
        <f>F135</f>
        <v>#VALUE!</v>
      </c>
      <c r="G109" s="410" t="e">
        <f>G135</f>
        <v>#VALUE!</v>
      </c>
      <c r="H109" s="517" t="e">
        <f>H135</f>
        <v>#VALUE!</v>
      </c>
      <c r="I109" s="410" t="e">
        <f t="shared" ref="I109:U109" si="75">I135</f>
        <v>#VALUE!</v>
      </c>
      <c r="J109" s="410" t="e">
        <f>J135</f>
        <v>#VALUE!</v>
      </c>
      <c r="K109" s="410"/>
      <c r="L109" s="410" t="e">
        <f t="shared" si="75"/>
        <v>#VALUE!</v>
      </c>
      <c r="M109" s="410" t="e">
        <f t="shared" si="75"/>
        <v>#VALUE!</v>
      </c>
      <c r="N109" s="410" t="e">
        <f t="shared" si="75"/>
        <v>#VALUE!</v>
      </c>
      <c r="O109" s="410" t="e">
        <f t="shared" si="75"/>
        <v>#VALUE!</v>
      </c>
      <c r="P109" s="410" t="e">
        <f t="shared" si="75"/>
        <v>#VALUE!</v>
      </c>
      <c r="Q109" s="410" t="e">
        <f t="shared" si="75"/>
        <v>#VALUE!</v>
      </c>
      <c r="R109" s="410" t="e">
        <f t="shared" si="75"/>
        <v>#VALUE!</v>
      </c>
      <c r="S109" s="410" t="e">
        <f t="shared" si="75"/>
        <v>#VALUE!</v>
      </c>
      <c r="T109" s="410" t="e">
        <f t="shared" si="75"/>
        <v>#VALUE!</v>
      </c>
      <c r="U109" s="410" t="e">
        <f t="shared" si="75"/>
        <v>#VALUE!</v>
      </c>
      <c r="V109" s="135" t="e">
        <f t="shared" si="71"/>
        <v>#VALUE!</v>
      </c>
      <c r="X109" s="105" t="e">
        <f t="shared" si="74"/>
        <v>#VALUE!</v>
      </c>
      <c r="Y109" s="456" t="e">
        <f>C109-X109</f>
        <v>#VALUE!</v>
      </c>
      <c r="AU109" s="469" t="s">
        <v>400</v>
      </c>
    </row>
    <row r="110" spans="1:47">
      <c r="A110" s="288">
        <v>660</v>
      </c>
      <c r="B110" s="436" t="s">
        <v>2019</v>
      </c>
      <c r="C110" s="410" t="e">
        <f t="shared" si="72"/>
        <v>#VALUE!</v>
      </c>
      <c r="D110" s="410" t="e">
        <f>D138</f>
        <v>#VALUE!</v>
      </c>
      <c r="E110" s="410" t="e">
        <f>E138</f>
        <v>#VALUE!</v>
      </c>
      <c r="F110" s="410" t="e">
        <f>F138</f>
        <v>#VALUE!</v>
      </c>
      <c r="G110" s="410" t="e">
        <f t="shared" ref="G110:U110" si="76">G138</f>
        <v>#VALUE!</v>
      </c>
      <c r="H110" s="517" t="e">
        <f t="shared" si="76"/>
        <v>#VALUE!</v>
      </c>
      <c r="I110" s="410" t="e">
        <f t="shared" si="76"/>
        <v>#VALUE!</v>
      </c>
      <c r="J110" s="410" t="e">
        <f>J138</f>
        <v>#VALUE!</v>
      </c>
      <c r="K110" s="410"/>
      <c r="L110" s="410" t="e">
        <f t="shared" si="76"/>
        <v>#VALUE!</v>
      </c>
      <c r="M110" s="410" t="e">
        <f t="shared" si="76"/>
        <v>#VALUE!</v>
      </c>
      <c r="N110" s="410" t="e">
        <f t="shared" si="76"/>
        <v>#VALUE!</v>
      </c>
      <c r="O110" s="410" t="e">
        <f t="shared" si="76"/>
        <v>#VALUE!</v>
      </c>
      <c r="P110" s="410" t="e">
        <f t="shared" si="76"/>
        <v>#VALUE!</v>
      </c>
      <c r="Q110" s="410" t="e">
        <f t="shared" si="76"/>
        <v>#VALUE!</v>
      </c>
      <c r="R110" s="410" t="e">
        <f t="shared" si="76"/>
        <v>#VALUE!</v>
      </c>
      <c r="S110" s="410" t="e">
        <f t="shared" si="76"/>
        <v>#VALUE!</v>
      </c>
      <c r="T110" s="410" t="e">
        <f t="shared" si="76"/>
        <v>#VALUE!</v>
      </c>
      <c r="U110" s="410" t="e">
        <f t="shared" si="76"/>
        <v>#VALUE!</v>
      </c>
      <c r="V110" s="135" t="e">
        <f t="shared" si="71"/>
        <v>#VALUE!</v>
      </c>
      <c r="X110" s="105" t="e">
        <f t="shared" si="74"/>
        <v>#VALUE!</v>
      </c>
      <c r="Y110" s="456" t="e">
        <f>C110-X110</f>
        <v>#VALUE!</v>
      </c>
      <c r="AU110" s="469" t="s">
        <v>402</v>
      </c>
    </row>
    <row r="111" spans="1:47">
      <c r="A111" s="288">
        <v>670</v>
      </c>
      <c r="B111" s="436" t="s">
        <v>1290</v>
      </c>
      <c r="C111" s="410">
        <f t="shared" si="72"/>
        <v>0</v>
      </c>
      <c r="D111" s="410">
        <f>D158</f>
        <v>0</v>
      </c>
      <c r="E111" s="410">
        <f>E158</f>
        <v>0</v>
      </c>
      <c r="F111" s="410">
        <f>F158</f>
        <v>0</v>
      </c>
      <c r="G111" s="410">
        <f>G158</f>
        <v>0</v>
      </c>
      <c r="H111" s="517">
        <f>H158</f>
        <v>0</v>
      </c>
      <c r="I111" s="410">
        <f t="shared" ref="I111:U111" si="77">I158</f>
        <v>0</v>
      </c>
      <c r="J111" s="410">
        <f>J158</f>
        <v>0</v>
      </c>
      <c r="K111" s="410"/>
      <c r="L111" s="410">
        <f t="shared" si="77"/>
        <v>0</v>
      </c>
      <c r="M111" s="410">
        <f t="shared" si="77"/>
        <v>0</v>
      </c>
      <c r="N111" s="410">
        <f t="shared" si="77"/>
        <v>0</v>
      </c>
      <c r="O111" s="410">
        <f t="shared" si="77"/>
        <v>0</v>
      </c>
      <c r="P111" s="410">
        <f t="shared" si="77"/>
        <v>0</v>
      </c>
      <c r="Q111" s="410">
        <f t="shared" si="77"/>
        <v>0</v>
      </c>
      <c r="R111" s="410">
        <f t="shared" si="77"/>
        <v>0</v>
      </c>
      <c r="S111" s="410">
        <f t="shared" si="77"/>
        <v>0</v>
      </c>
      <c r="T111" s="410">
        <f t="shared" si="77"/>
        <v>0</v>
      </c>
      <c r="U111" s="410">
        <f t="shared" si="77"/>
        <v>0</v>
      </c>
      <c r="V111" s="135">
        <f t="shared" si="71"/>
        <v>0</v>
      </c>
      <c r="X111" s="105">
        <f t="shared" si="74"/>
        <v>0</v>
      </c>
      <c r="Y111" s="456"/>
      <c r="AU111" s="469"/>
    </row>
    <row r="112" spans="1:47">
      <c r="A112" s="288">
        <v>680</v>
      </c>
      <c r="B112" s="436" t="s">
        <v>704</v>
      </c>
      <c r="C112" s="410" t="e">
        <f t="shared" si="72"/>
        <v>#VALUE!</v>
      </c>
      <c r="D112" s="410" t="e">
        <f t="shared" ref="D112:U113" si="78">D141</f>
        <v>#VALUE!</v>
      </c>
      <c r="E112" s="410" t="e">
        <f t="shared" si="78"/>
        <v>#VALUE!</v>
      </c>
      <c r="F112" s="410" t="e">
        <f t="shared" si="78"/>
        <v>#VALUE!</v>
      </c>
      <c r="G112" s="410" t="e">
        <f t="shared" si="78"/>
        <v>#VALUE!</v>
      </c>
      <c r="H112" s="517" t="e">
        <f t="shared" si="78"/>
        <v>#VALUE!</v>
      </c>
      <c r="I112" s="410" t="e">
        <f t="shared" si="78"/>
        <v>#VALUE!</v>
      </c>
      <c r="J112" s="410" t="e">
        <f>J141</f>
        <v>#VALUE!</v>
      </c>
      <c r="K112" s="410"/>
      <c r="L112" s="410" t="e">
        <f t="shared" si="78"/>
        <v>#VALUE!</v>
      </c>
      <c r="M112" s="410" t="e">
        <f t="shared" si="78"/>
        <v>#VALUE!</v>
      </c>
      <c r="N112" s="410" t="e">
        <f t="shared" si="78"/>
        <v>#VALUE!</v>
      </c>
      <c r="O112" s="410" t="e">
        <f t="shared" si="78"/>
        <v>#VALUE!</v>
      </c>
      <c r="P112" s="410" t="e">
        <f t="shared" si="78"/>
        <v>#VALUE!</v>
      </c>
      <c r="Q112" s="410" t="e">
        <f t="shared" si="78"/>
        <v>#VALUE!</v>
      </c>
      <c r="R112" s="410" t="e">
        <f t="shared" si="78"/>
        <v>#VALUE!</v>
      </c>
      <c r="S112" s="410" t="e">
        <f t="shared" si="78"/>
        <v>#VALUE!</v>
      </c>
      <c r="T112" s="410" t="e">
        <f t="shared" si="78"/>
        <v>#VALUE!</v>
      </c>
      <c r="U112" s="410" t="e">
        <f t="shared" si="78"/>
        <v>#VALUE!</v>
      </c>
      <c r="V112" s="135" t="e">
        <f t="shared" si="71"/>
        <v>#VALUE!</v>
      </c>
      <c r="X112" s="105" t="e">
        <f t="shared" si="74"/>
        <v>#VALUE!</v>
      </c>
      <c r="Y112" s="456" t="e">
        <f t="shared" ref="Y112:Y119" si="79">C112-X112</f>
        <v>#VALUE!</v>
      </c>
      <c r="AU112" s="469" t="s">
        <v>280</v>
      </c>
    </row>
    <row r="113" spans="1:47">
      <c r="A113" s="288">
        <v>690</v>
      </c>
      <c r="B113" s="436" t="s">
        <v>703</v>
      </c>
      <c r="C113" s="410" t="e">
        <f t="shared" si="72"/>
        <v>#VALUE!</v>
      </c>
      <c r="D113" s="410" t="str">
        <f t="shared" si="78"/>
        <v>#FN1{11901}</v>
      </c>
      <c r="E113" s="410">
        <f t="shared" si="78"/>
        <v>0</v>
      </c>
      <c r="F113" s="410">
        <f t="shared" si="78"/>
        <v>0</v>
      </c>
      <c r="G113" s="410">
        <f t="shared" si="78"/>
        <v>0</v>
      </c>
      <c r="H113" s="517">
        <f t="shared" si="78"/>
        <v>0</v>
      </c>
      <c r="I113" s="410">
        <f t="shared" si="78"/>
        <v>0</v>
      </c>
      <c r="J113" s="410">
        <f>J142</f>
        <v>0</v>
      </c>
      <c r="K113" s="410"/>
      <c r="L113" s="410">
        <f t="shared" si="78"/>
        <v>0</v>
      </c>
      <c r="M113" s="410">
        <f t="shared" si="78"/>
        <v>0</v>
      </c>
      <c r="N113" s="410">
        <f t="shared" si="78"/>
        <v>0</v>
      </c>
      <c r="O113" s="410">
        <f t="shared" si="78"/>
        <v>0</v>
      </c>
      <c r="P113" s="410">
        <f t="shared" si="78"/>
        <v>0</v>
      </c>
      <c r="Q113" s="410">
        <f t="shared" si="78"/>
        <v>0</v>
      </c>
      <c r="R113" s="410">
        <f t="shared" si="78"/>
        <v>0</v>
      </c>
      <c r="S113" s="410">
        <f t="shared" si="78"/>
        <v>0</v>
      </c>
      <c r="T113" s="410">
        <f t="shared" si="78"/>
        <v>0</v>
      </c>
      <c r="U113" s="410">
        <f t="shared" si="78"/>
        <v>0</v>
      </c>
      <c r="V113" s="135" t="e">
        <f t="shared" si="71"/>
        <v>#VALUE!</v>
      </c>
      <c r="X113" s="105" t="e">
        <f t="shared" si="74"/>
        <v>#VALUE!</v>
      </c>
      <c r="Y113" s="456" t="e">
        <f t="shared" si="79"/>
        <v>#VALUE!</v>
      </c>
      <c r="AU113" s="460"/>
    </row>
    <row r="114" spans="1:47">
      <c r="A114" s="288">
        <v>700</v>
      </c>
      <c r="B114" s="436" t="s">
        <v>705</v>
      </c>
      <c r="C114" s="410" t="e">
        <f t="shared" si="72"/>
        <v>#VALUE!</v>
      </c>
      <c r="D114" s="410" t="e">
        <f>D145</f>
        <v>#VALUE!</v>
      </c>
      <c r="E114" s="410" t="e">
        <f>E145</f>
        <v>#VALUE!</v>
      </c>
      <c r="F114" s="410" t="e">
        <f>F145</f>
        <v>#VALUE!</v>
      </c>
      <c r="G114" s="410" t="e">
        <f>G145</f>
        <v>#VALUE!</v>
      </c>
      <c r="H114" s="517" t="e">
        <f>H145</f>
        <v>#VALUE!</v>
      </c>
      <c r="I114" s="410" t="e">
        <f t="shared" ref="I114:U114" si="80">I145</f>
        <v>#VALUE!</v>
      </c>
      <c r="J114" s="410" t="e">
        <f>J145</f>
        <v>#VALUE!</v>
      </c>
      <c r="K114" s="410"/>
      <c r="L114" s="410" t="e">
        <f t="shared" si="80"/>
        <v>#VALUE!</v>
      </c>
      <c r="M114" s="410" t="e">
        <f t="shared" si="80"/>
        <v>#VALUE!</v>
      </c>
      <c r="N114" s="410" t="e">
        <f t="shared" si="80"/>
        <v>#VALUE!</v>
      </c>
      <c r="O114" s="410" t="e">
        <f t="shared" si="80"/>
        <v>#VALUE!</v>
      </c>
      <c r="P114" s="410" t="e">
        <f t="shared" si="80"/>
        <v>#VALUE!</v>
      </c>
      <c r="Q114" s="410" t="e">
        <f t="shared" si="80"/>
        <v>#VALUE!</v>
      </c>
      <c r="R114" s="410" t="e">
        <f t="shared" si="80"/>
        <v>#VALUE!</v>
      </c>
      <c r="S114" s="410" t="e">
        <f t="shared" si="80"/>
        <v>#VALUE!</v>
      </c>
      <c r="T114" s="410" t="e">
        <f t="shared" si="80"/>
        <v>#VALUE!</v>
      </c>
      <c r="U114" s="410" t="e">
        <f t="shared" si="80"/>
        <v>#VALUE!</v>
      </c>
      <c r="V114" s="135" t="e">
        <f t="shared" si="71"/>
        <v>#VALUE!</v>
      </c>
      <c r="X114" s="105" t="e">
        <f t="shared" si="74"/>
        <v>#VALUE!</v>
      </c>
      <c r="Y114" s="456" t="e">
        <f t="shared" si="79"/>
        <v>#VALUE!</v>
      </c>
      <c r="AU114" s="469" t="s">
        <v>281</v>
      </c>
    </row>
    <row r="115" spans="1:47">
      <c r="A115" s="288">
        <v>710</v>
      </c>
      <c r="B115" s="436" t="s">
        <v>370</v>
      </c>
      <c r="C115" s="410" t="e">
        <f t="shared" si="72"/>
        <v>#VALUE!</v>
      </c>
      <c r="D115" s="410" t="e">
        <f t="shared" ref="D115:H116" si="81">D148</f>
        <v>#VALUE!</v>
      </c>
      <c r="E115" s="410" t="e">
        <f t="shared" si="81"/>
        <v>#VALUE!</v>
      </c>
      <c r="F115" s="410" t="e">
        <f t="shared" si="81"/>
        <v>#VALUE!</v>
      </c>
      <c r="G115" s="410" t="e">
        <f t="shared" si="81"/>
        <v>#VALUE!</v>
      </c>
      <c r="H115" s="517" t="e">
        <f t="shared" si="81"/>
        <v>#VALUE!</v>
      </c>
      <c r="I115" s="410" t="e">
        <f t="shared" ref="I115:U115" si="82">I148</f>
        <v>#VALUE!</v>
      </c>
      <c r="J115" s="410" t="e">
        <f>J148</f>
        <v>#VALUE!</v>
      </c>
      <c r="K115" s="410"/>
      <c r="L115" s="410" t="e">
        <f t="shared" si="82"/>
        <v>#VALUE!</v>
      </c>
      <c r="M115" s="410" t="e">
        <f t="shared" si="82"/>
        <v>#VALUE!</v>
      </c>
      <c r="N115" s="410" t="e">
        <f t="shared" si="82"/>
        <v>#VALUE!</v>
      </c>
      <c r="O115" s="410" t="e">
        <f t="shared" si="82"/>
        <v>#VALUE!</v>
      </c>
      <c r="P115" s="410" t="e">
        <f t="shared" si="82"/>
        <v>#VALUE!</v>
      </c>
      <c r="Q115" s="410" t="e">
        <f t="shared" si="82"/>
        <v>#VALUE!</v>
      </c>
      <c r="R115" s="410" t="e">
        <f t="shared" si="82"/>
        <v>#VALUE!</v>
      </c>
      <c r="S115" s="410" t="e">
        <f t="shared" si="82"/>
        <v>#VALUE!</v>
      </c>
      <c r="T115" s="410" t="e">
        <f t="shared" si="82"/>
        <v>#VALUE!</v>
      </c>
      <c r="U115" s="410" t="e">
        <f t="shared" si="82"/>
        <v>#VALUE!</v>
      </c>
      <c r="V115" s="135" t="e">
        <f t="shared" si="71"/>
        <v>#VALUE!</v>
      </c>
      <c r="X115" s="105" t="e">
        <f t="shared" si="74"/>
        <v>#VALUE!</v>
      </c>
      <c r="Y115" s="456" t="e">
        <f t="shared" si="79"/>
        <v>#VALUE!</v>
      </c>
      <c r="AU115" s="469" t="s">
        <v>279</v>
      </c>
    </row>
    <row r="116" spans="1:47">
      <c r="A116" s="288">
        <v>720</v>
      </c>
      <c r="B116" s="436" t="s">
        <v>926</v>
      </c>
      <c r="C116" s="410" t="e">
        <f t="shared" si="72"/>
        <v>#VALUE!</v>
      </c>
      <c r="D116" s="410" t="str">
        <f t="shared" si="81"/>
        <v>#FNECTC{13001,13009,15201,15205,11101,13301,13309,14301,14305,15611;03;;;E}</v>
      </c>
      <c r="E116" s="410" t="str">
        <f t="shared" si="81"/>
        <v>#FNECTC{15701,15705;03;;;E}</v>
      </c>
      <c r="F116" s="410" t="str">
        <f t="shared" si="81"/>
        <v>#FNECTCP{13001,13009,15201,15205,11101,13301,13309,14301,14305,15611;03;;;E}</v>
      </c>
      <c r="G116" s="410" t="e">
        <f t="shared" si="81"/>
        <v>#VALUE!</v>
      </c>
      <c r="H116" s="517" t="str">
        <f t="shared" si="81"/>
        <v>#FN4{;13001-13009, 15201,15205}</v>
      </c>
      <c r="I116" s="410" t="str">
        <f>I149</f>
        <v>#FNOBES{13001,13009,15201,15205,11101,13301,13309,14301,14305,15611;03;;25;;E}</v>
      </c>
      <c r="J116" s="410" t="str">
        <f>J149</f>
        <v>#FNOBES{13001,13009,15201,15205,11101,13301,13309,14301,14305,15611;03;;42;;E}</v>
      </c>
      <c r="K116" s="410"/>
      <c r="L116" s="410" t="str">
        <f t="shared" ref="L116:U116" si="83">L149</f>
        <v>#FNOBES{13001,13009,15201,15205,11101,13301,13309,14301,14305,15611;03;;23;;E}</v>
      </c>
      <c r="M116" s="410" t="str">
        <f t="shared" si="83"/>
        <v>#FNOBES{13001,13009,15201,15205,11101,13301,13309,14301,14305,15611;03;;26;;E}</v>
      </c>
      <c r="N116" s="410" t="str">
        <f t="shared" si="83"/>
        <v>#FNOBES{13001,13009,15201,15205,11101,13301,13309,14301,14305,15611;03;;21,22;;E}</v>
      </c>
      <c r="O116" s="410" t="str">
        <f t="shared" si="83"/>
        <v>#FNOBES{13001,13009,15201,15205,11101,13301,13309,14301,14305,15611;03;;24;;E}</v>
      </c>
      <c r="P116" s="410" t="str">
        <f t="shared" si="83"/>
        <v>#FNOBES{13001,13009,15201,15205,11101,13301,13309,14301,14305,15611;03;;31,32,33,34,35,36,37;;E}</v>
      </c>
      <c r="Q116" s="410" t="str">
        <f t="shared" si="83"/>
        <v>#FNOBES{13001,13009,15201,15205,11101,13301,13309,14301,14305,15611;03;;29;;E}</v>
      </c>
      <c r="R116" s="410" t="str">
        <f t="shared" si="83"/>
        <v>#FNOBES{13001,13009,15201,15205,11101,13301,13309,14301,14305,15611;03;;43;;E}</v>
      </c>
      <c r="S116" s="410" t="str">
        <f t="shared" si="83"/>
        <v>#FNOBES{13001,13009,15201,15205,11101,13301,13309,14301,14305,15611;03;;41;;E}</v>
      </c>
      <c r="T116" s="410" t="str">
        <f t="shared" si="83"/>
        <v>#FNOBES{13001,13009,15201,15205,11101,13301,13309,14301,14305,15611;03;;51;;E}</v>
      </c>
      <c r="U116" s="410" t="str">
        <f t="shared" si="83"/>
        <v>#FNOBES{13001,13009,15201,15205,11101,13301,13309,14301,14305,15611;03;;61;;E}</v>
      </c>
      <c r="V116" s="135" t="e">
        <f t="shared" si="71"/>
        <v>#VALUE!</v>
      </c>
      <c r="X116" s="105" t="e">
        <f t="shared" si="74"/>
        <v>#VALUE!</v>
      </c>
      <c r="Y116" s="456" t="e">
        <f t="shared" si="79"/>
        <v>#VALUE!</v>
      </c>
      <c r="AU116" s="469" t="s">
        <v>401</v>
      </c>
    </row>
    <row r="117" spans="1:47" s="71" customFormat="1">
      <c r="A117" s="505">
        <v>730</v>
      </c>
      <c r="B117" s="436" t="s">
        <v>925</v>
      </c>
      <c r="C117" s="410" t="e">
        <f t="shared" si="72"/>
        <v>#VALUE!</v>
      </c>
      <c r="D117" s="410" t="e">
        <f>D154</f>
        <v>#VALUE!</v>
      </c>
      <c r="E117" s="410" t="e">
        <f>E154</f>
        <v>#VALUE!</v>
      </c>
      <c r="F117" s="410" t="e">
        <f>F154</f>
        <v>#VALUE!</v>
      </c>
      <c r="G117" s="410" t="e">
        <f>G154</f>
        <v>#VALUE!</v>
      </c>
      <c r="H117" s="517" t="e">
        <f>H154</f>
        <v>#VALUE!</v>
      </c>
      <c r="I117" s="410" t="e">
        <f t="shared" ref="I117:U117" si="84">I154</f>
        <v>#VALUE!</v>
      </c>
      <c r="J117" s="410" t="e">
        <f>J154</f>
        <v>#VALUE!</v>
      </c>
      <c r="K117" s="410"/>
      <c r="L117" s="410" t="e">
        <f t="shared" si="84"/>
        <v>#VALUE!</v>
      </c>
      <c r="M117" s="410" t="e">
        <f t="shared" si="84"/>
        <v>#VALUE!</v>
      </c>
      <c r="N117" s="410" t="e">
        <f t="shared" si="84"/>
        <v>#VALUE!</v>
      </c>
      <c r="O117" s="410" t="e">
        <f t="shared" si="84"/>
        <v>#VALUE!</v>
      </c>
      <c r="P117" s="410" t="e">
        <f t="shared" si="84"/>
        <v>#VALUE!</v>
      </c>
      <c r="Q117" s="410" t="e">
        <f t="shared" si="84"/>
        <v>#VALUE!</v>
      </c>
      <c r="R117" s="410" t="e">
        <f t="shared" si="84"/>
        <v>#VALUE!</v>
      </c>
      <c r="S117" s="410" t="e">
        <f t="shared" si="84"/>
        <v>#VALUE!</v>
      </c>
      <c r="T117" s="410" t="e">
        <f t="shared" si="84"/>
        <v>#VALUE!</v>
      </c>
      <c r="U117" s="410" t="e">
        <f t="shared" si="84"/>
        <v>#VALUE!</v>
      </c>
      <c r="V117" s="135" t="e">
        <f t="shared" si="71"/>
        <v>#VALUE!</v>
      </c>
      <c r="X117" s="105" t="e">
        <f t="shared" si="74"/>
        <v>#VALUE!</v>
      </c>
      <c r="Y117" s="456" t="e">
        <f t="shared" si="79"/>
        <v>#VALUE!</v>
      </c>
      <c r="AU117" s="469" t="s">
        <v>396</v>
      </c>
    </row>
    <row r="118" spans="1:47">
      <c r="A118" s="288">
        <v>740</v>
      </c>
      <c r="B118" s="436" t="s">
        <v>1834</v>
      </c>
      <c r="C118" s="410" t="e">
        <f t="shared" si="72"/>
        <v>#VALUE!</v>
      </c>
      <c r="D118" s="410" t="e">
        <f>D157</f>
        <v>#VALUE!</v>
      </c>
      <c r="E118" s="410" t="e">
        <f>E157</f>
        <v>#VALUE!</v>
      </c>
      <c r="F118" s="410" t="e">
        <f>F157</f>
        <v>#VALUE!</v>
      </c>
      <c r="G118" s="410" t="e">
        <f>G157</f>
        <v>#VALUE!</v>
      </c>
      <c r="H118" s="517" t="e">
        <f>H157</f>
        <v>#VALUE!</v>
      </c>
      <c r="I118" s="410" t="e">
        <f t="shared" ref="I118:U118" si="85">I157</f>
        <v>#VALUE!</v>
      </c>
      <c r="J118" s="410" t="e">
        <f>J157</f>
        <v>#VALUE!</v>
      </c>
      <c r="K118" s="410"/>
      <c r="L118" s="410" t="e">
        <f t="shared" si="85"/>
        <v>#VALUE!</v>
      </c>
      <c r="M118" s="410" t="e">
        <f t="shared" si="85"/>
        <v>#VALUE!</v>
      </c>
      <c r="N118" s="410" t="e">
        <f t="shared" si="85"/>
        <v>#VALUE!</v>
      </c>
      <c r="O118" s="410" t="e">
        <f t="shared" si="85"/>
        <v>#VALUE!</v>
      </c>
      <c r="P118" s="410" t="e">
        <f t="shared" si="85"/>
        <v>#VALUE!</v>
      </c>
      <c r="Q118" s="410" t="e">
        <f t="shared" si="85"/>
        <v>#VALUE!</v>
      </c>
      <c r="R118" s="410" t="e">
        <f t="shared" si="85"/>
        <v>#VALUE!</v>
      </c>
      <c r="S118" s="410" t="e">
        <f t="shared" si="85"/>
        <v>#VALUE!</v>
      </c>
      <c r="T118" s="410" t="e">
        <f t="shared" si="85"/>
        <v>#VALUE!</v>
      </c>
      <c r="U118" s="410" t="e">
        <f t="shared" si="85"/>
        <v>#VALUE!</v>
      </c>
      <c r="V118" s="135" t="e">
        <f t="shared" si="71"/>
        <v>#VALUE!</v>
      </c>
      <c r="X118" s="105" t="e">
        <f t="shared" si="74"/>
        <v>#VALUE!</v>
      </c>
      <c r="Y118" s="456" t="e">
        <f t="shared" si="79"/>
        <v>#VALUE!</v>
      </c>
      <c r="AU118" s="469" t="s">
        <v>398</v>
      </c>
    </row>
    <row r="119" spans="1:47" ht="13.5" thickBot="1">
      <c r="A119" s="506">
        <v>750</v>
      </c>
      <c r="B119" s="495" t="s">
        <v>1291</v>
      </c>
      <c r="C119" s="290" t="e">
        <f t="shared" ref="C119:V119" si="86">SUM(C107:C118)</f>
        <v>#VALUE!</v>
      </c>
      <c r="D119" s="290" t="e">
        <f t="shared" si="86"/>
        <v>#VALUE!</v>
      </c>
      <c r="E119" s="290" t="e">
        <f t="shared" si="86"/>
        <v>#VALUE!</v>
      </c>
      <c r="F119" s="290" t="e">
        <f t="shared" si="86"/>
        <v>#VALUE!</v>
      </c>
      <c r="G119" s="290" t="e">
        <f t="shared" si="86"/>
        <v>#VALUE!</v>
      </c>
      <c r="H119" s="108" t="e">
        <f>IF(C119=0,"",(H107*(C107/C119))+(H108*(C108/C119))+(H109*(C109/C119))+(H110*(C110/C119))+(H111*(C111/C119))+(H112*(C112/C119))+(H113*(C113/C119))+(H114*(C114/C119))+(H115*(C115/C119))+(H116*(C116/C119))+(H117*(C117/C119))+(H118*(C118/C119)))</f>
        <v>#VALUE!</v>
      </c>
      <c r="I119" s="290" t="e">
        <f t="shared" si="86"/>
        <v>#VALUE!</v>
      </c>
      <c r="J119" s="290" t="e">
        <f>SUM(J107:J118)</f>
        <v>#VALUE!</v>
      </c>
      <c r="K119" s="290"/>
      <c r="L119" s="290" t="e">
        <f t="shared" si="86"/>
        <v>#VALUE!</v>
      </c>
      <c r="M119" s="290" t="e">
        <f t="shared" si="86"/>
        <v>#VALUE!</v>
      </c>
      <c r="N119" s="290" t="e">
        <f t="shared" si="86"/>
        <v>#VALUE!</v>
      </c>
      <c r="O119" s="290" t="e">
        <f t="shared" si="86"/>
        <v>#VALUE!</v>
      </c>
      <c r="P119" s="290" t="e">
        <f t="shared" si="86"/>
        <v>#VALUE!</v>
      </c>
      <c r="Q119" s="290" t="e">
        <f t="shared" si="86"/>
        <v>#VALUE!</v>
      </c>
      <c r="R119" s="290" t="e">
        <f t="shared" si="86"/>
        <v>#VALUE!</v>
      </c>
      <c r="S119" s="290" t="e">
        <f t="shared" si="86"/>
        <v>#VALUE!</v>
      </c>
      <c r="T119" s="290" t="e">
        <f t="shared" si="86"/>
        <v>#VALUE!</v>
      </c>
      <c r="U119" s="290" t="e">
        <f t="shared" si="86"/>
        <v>#VALUE!</v>
      </c>
      <c r="V119" s="290" t="e">
        <f t="shared" si="86"/>
        <v>#VALUE!</v>
      </c>
      <c r="X119" s="105" t="e">
        <f t="shared" si="74"/>
        <v>#VALUE!</v>
      </c>
      <c r="Y119" s="456" t="e">
        <f t="shared" si="79"/>
        <v>#VALUE!</v>
      </c>
      <c r="AU119" s="471">
        <f>SUM(AU117:AU118)</f>
        <v>0</v>
      </c>
    </row>
    <row r="120" spans="1:47" s="71" customFormat="1">
      <c r="A120" s="496"/>
      <c r="B120" s="497"/>
      <c r="C120" s="498"/>
      <c r="D120" s="498"/>
      <c r="E120" s="498"/>
      <c r="F120" s="498"/>
      <c r="G120" s="498"/>
      <c r="H120" s="499"/>
      <c r="I120" s="498"/>
      <c r="J120" s="498"/>
      <c r="K120" s="498"/>
      <c r="L120" s="498"/>
      <c r="M120" s="498"/>
      <c r="N120" s="498"/>
      <c r="O120" s="498"/>
      <c r="P120" s="498"/>
      <c r="Q120" s="498"/>
      <c r="R120" s="498"/>
      <c r="S120" s="498"/>
      <c r="T120" s="498"/>
      <c r="U120" s="498"/>
      <c r="V120" s="498"/>
      <c r="X120" s="456"/>
      <c r="Y120" s="456"/>
      <c r="AU120" s="500"/>
    </row>
    <row r="121" spans="1:47">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AU121" s="472"/>
    </row>
    <row r="122" spans="1:47">
      <c r="B122" s="24" t="s">
        <v>102</v>
      </c>
      <c r="C122" s="844"/>
      <c r="D122" s="105"/>
      <c r="E122" s="105"/>
      <c r="F122" s="105"/>
      <c r="G122" s="105"/>
      <c r="H122" s="105"/>
      <c r="I122" s="105"/>
      <c r="J122" s="105"/>
      <c r="K122" s="105"/>
      <c r="L122" s="105"/>
      <c r="M122" s="105"/>
      <c r="N122" s="105"/>
      <c r="O122" s="105"/>
      <c r="P122" s="105"/>
      <c r="Q122" s="105"/>
      <c r="R122" s="105"/>
      <c r="S122" s="105"/>
      <c r="T122" s="105"/>
      <c r="U122" s="105"/>
      <c r="V122" s="105"/>
      <c r="AU122" s="472"/>
    </row>
    <row r="123" spans="1:47">
      <c r="B123" s="24" t="s">
        <v>1198</v>
      </c>
      <c r="C123" s="399"/>
      <c r="D123" s="936" t="e">
        <f>Balance!B20+Balance!B21</f>
        <v>#VALUE!</v>
      </c>
      <c r="E123" s="936" t="s">
        <v>2919</v>
      </c>
      <c r="F123" s="105"/>
    </row>
    <row r="126" spans="1:47" s="937" customFormat="1">
      <c r="C126" s="936"/>
    </row>
    <row r="127" spans="1:47" s="937" customFormat="1">
      <c r="D127" s="936"/>
    </row>
    <row r="128" spans="1:47" s="937" customFormat="1">
      <c r="B128" s="938" t="s">
        <v>1292</v>
      </c>
    </row>
    <row r="129" spans="1:47" s="937" customFormat="1">
      <c r="A129" s="939"/>
      <c r="B129" s="940" t="s">
        <v>1203</v>
      </c>
      <c r="C129" s="941" t="e">
        <f t="shared" ref="C129:C158" si="87">D129+G129</f>
        <v>#VALUE!</v>
      </c>
      <c r="D129" s="941" t="e">
        <f>D123-D130-D133-D136-D139-D142-D143-D146-D149-D152-D155-G119</f>
        <v>#VALUE!</v>
      </c>
      <c r="E129" s="941" t="s">
        <v>854</v>
      </c>
      <c r="F129" s="941" t="s">
        <v>2210</v>
      </c>
      <c r="G129" s="941" t="e">
        <f t="shared" ref="G129:G141" si="88">E129+F129</f>
        <v>#VALUE!</v>
      </c>
      <c r="H129" s="942" t="s">
        <v>496</v>
      </c>
      <c r="I129" s="941" t="s">
        <v>2212</v>
      </c>
      <c r="J129" s="941" t="s">
        <v>805</v>
      </c>
      <c r="K129" s="941"/>
      <c r="L129" s="941" t="s">
        <v>2213</v>
      </c>
      <c r="M129" s="941" t="s">
        <v>2214</v>
      </c>
      <c r="N129" s="941" t="s">
        <v>774</v>
      </c>
      <c r="O129" s="941" t="s">
        <v>802</v>
      </c>
      <c r="P129" s="941" t="s">
        <v>803</v>
      </c>
      <c r="Q129" s="941" t="s">
        <v>804</v>
      </c>
      <c r="R129" s="941" t="s">
        <v>2402</v>
      </c>
      <c r="S129" s="941" t="s">
        <v>2476</v>
      </c>
      <c r="T129" s="941" t="s">
        <v>2551</v>
      </c>
      <c r="U129" s="941" t="s">
        <v>1351</v>
      </c>
      <c r="V129" s="943" t="e">
        <f>C129-I129-L129-M129-N129-O129-P129-Q129-R129-J129-U129-S129</f>
        <v>#VALUE!</v>
      </c>
      <c r="X129" s="936" t="e">
        <f t="shared" ref="X129:X141" si="89">SUM(I129:V129)</f>
        <v>#VALUE!</v>
      </c>
      <c r="Y129" s="936" t="e">
        <f t="shared" ref="Y129:Y141" si="90">C129-X129</f>
        <v>#VALUE!</v>
      </c>
      <c r="AU129" s="941" t="s">
        <v>397</v>
      </c>
    </row>
    <row r="130" spans="1:47" s="937" customFormat="1">
      <c r="A130" s="939"/>
      <c r="B130" s="940" t="s">
        <v>1293</v>
      </c>
      <c r="C130" s="941" t="e">
        <f t="shared" si="87"/>
        <v>#VALUE!</v>
      </c>
      <c r="D130" s="941" t="s">
        <v>491</v>
      </c>
      <c r="E130" s="941" t="s">
        <v>856</v>
      </c>
      <c r="F130" s="941" t="s">
        <v>836</v>
      </c>
      <c r="G130" s="941" t="e">
        <f t="shared" si="88"/>
        <v>#VALUE!</v>
      </c>
      <c r="H130" s="942" t="s">
        <v>498</v>
      </c>
      <c r="I130" s="941" t="s">
        <v>518</v>
      </c>
      <c r="J130" s="941" t="s">
        <v>2094</v>
      </c>
      <c r="K130" s="941"/>
      <c r="L130" s="941" t="s">
        <v>1244</v>
      </c>
      <c r="M130" s="941" t="s">
        <v>1245</v>
      </c>
      <c r="N130" s="941" t="s">
        <v>776</v>
      </c>
      <c r="O130" s="941" t="s">
        <v>1246</v>
      </c>
      <c r="P130" s="941" t="s">
        <v>1247</v>
      </c>
      <c r="Q130" s="941" t="s">
        <v>1248</v>
      </c>
      <c r="R130" s="941" t="s">
        <v>2403</v>
      </c>
      <c r="S130" s="941" t="s">
        <v>2477</v>
      </c>
      <c r="T130" s="941" t="s">
        <v>2552</v>
      </c>
      <c r="U130" s="941" t="s">
        <v>2095</v>
      </c>
      <c r="V130" s="943" t="e">
        <f t="shared" ref="V130:V157" si="91">C130-I130-L130-M130-N130-O130-P130-Q130-R130-J130-U130-S130</f>
        <v>#VALUE!</v>
      </c>
      <c r="X130" s="936" t="e">
        <f t="shared" si="89"/>
        <v>#VALUE!</v>
      </c>
      <c r="Y130" s="936" t="e">
        <f t="shared" si="90"/>
        <v>#VALUE!</v>
      </c>
      <c r="AU130" s="941" t="s">
        <v>399</v>
      </c>
    </row>
    <row r="131" spans="1:47" s="937" customFormat="1">
      <c r="B131" s="940" t="s">
        <v>1294</v>
      </c>
      <c r="C131" s="941">
        <f t="shared" si="87"/>
        <v>0</v>
      </c>
      <c r="D131" s="941">
        <v>0</v>
      </c>
      <c r="E131" s="941">
        <v>0</v>
      </c>
      <c r="F131" s="941">
        <v>0</v>
      </c>
      <c r="G131" s="941">
        <f t="shared" si="88"/>
        <v>0</v>
      </c>
      <c r="H131" s="942">
        <v>0</v>
      </c>
      <c r="I131" s="941">
        <v>0</v>
      </c>
      <c r="J131" s="941">
        <v>0</v>
      </c>
      <c r="K131" s="941"/>
      <c r="L131" s="941">
        <v>0</v>
      </c>
      <c r="M131" s="941">
        <v>0</v>
      </c>
      <c r="N131" s="941">
        <v>0</v>
      </c>
      <c r="O131" s="941">
        <v>0</v>
      </c>
      <c r="P131" s="941">
        <v>0</v>
      </c>
      <c r="Q131" s="941">
        <v>0</v>
      </c>
      <c r="R131" s="941">
        <v>0</v>
      </c>
      <c r="S131" s="941">
        <v>0</v>
      </c>
      <c r="T131" s="941">
        <v>0</v>
      </c>
      <c r="U131" s="941">
        <v>0</v>
      </c>
      <c r="V131" s="943">
        <f t="shared" si="91"/>
        <v>0</v>
      </c>
      <c r="X131" s="936">
        <f t="shared" si="89"/>
        <v>0</v>
      </c>
      <c r="Y131" s="936">
        <f t="shared" si="90"/>
        <v>0</v>
      </c>
    </row>
    <row r="132" spans="1:47" s="937" customFormat="1">
      <c r="B132" s="940" t="s">
        <v>1283</v>
      </c>
      <c r="C132" s="941" t="e">
        <f t="shared" si="87"/>
        <v>#VALUE!</v>
      </c>
      <c r="D132" s="936" t="e">
        <f>D130-D131</f>
        <v>#VALUE!</v>
      </c>
      <c r="E132" s="936" t="e">
        <f>E130-E131</f>
        <v>#VALUE!</v>
      </c>
      <c r="F132" s="936" t="e">
        <f>F130-F131</f>
        <v>#VALUE!</v>
      </c>
      <c r="G132" s="941" t="e">
        <f t="shared" si="88"/>
        <v>#VALUE!</v>
      </c>
      <c r="H132" s="937" t="e">
        <f>IF(C132=0,0,(C130*H130-C131*H131)/C132)</f>
        <v>#VALUE!</v>
      </c>
      <c r="I132" s="936" t="e">
        <f>I130-I131</f>
        <v>#VALUE!</v>
      </c>
      <c r="J132" s="936" t="e">
        <f>J130-J131</f>
        <v>#VALUE!</v>
      </c>
      <c r="K132" s="936"/>
      <c r="L132" s="936" t="e">
        <f t="shared" ref="L132:U132" si="92">L130-L131</f>
        <v>#VALUE!</v>
      </c>
      <c r="M132" s="936" t="e">
        <f t="shared" si="92"/>
        <v>#VALUE!</v>
      </c>
      <c r="N132" s="936" t="e">
        <f t="shared" si="92"/>
        <v>#VALUE!</v>
      </c>
      <c r="O132" s="936" t="e">
        <f t="shared" si="92"/>
        <v>#VALUE!</v>
      </c>
      <c r="P132" s="936" t="e">
        <f t="shared" si="92"/>
        <v>#VALUE!</v>
      </c>
      <c r="Q132" s="936" t="e">
        <f t="shared" si="92"/>
        <v>#VALUE!</v>
      </c>
      <c r="R132" s="936" t="e">
        <f t="shared" si="92"/>
        <v>#VALUE!</v>
      </c>
      <c r="S132" s="936" t="e">
        <f t="shared" si="92"/>
        <v>#VALUE!</v>
      </c>
      <c r="T132" s="936" t="e">
        <f t="shared" si="92"/>
        <v>#VALUE!</v>
      </c>
      <c r="U132" s="936" t="e">
        <f t="shared" si="92"/>
        <v>#VALUE!</v>
      </c>
      <c r="V132" s="943" t="e">
        <f t="shared" si="91"/>
        <v>#VALUE!</v>
      </c>
      <c r="X132" s="936" t="e">
        <f t="shared" si="89"/>
        <v>#VALUE!</v>
      </c>
      <c r="Y132" s="936" t="e">
        <f t="shared" si="90"/>
        <v>#VALUE!</v>
      </c>
    </row>
    <row r="133" spans="1:47" s="937" customFormat="1">
      <c r="A133" s="939"/>
      <c r="B133" s="940" t="s">
        <v>1284</v>
      </c>
      <c r="C133" s="941" t="e">
        <f t="shared" si="87"/>
        <v>#VALUE!</v>
      </c>
      <c r="D133" s="941" t="s">
        <v>536</v>
      </c>
      <c r="E133" s="941" t="s">
        <v>857</v>
      </c>
      <c r="F133" s="941" t="s">
        <v>530</v>
      </c>
      <c r="G133" s="941" t="e">
        <f t="shared" si="88"/>
        <v>#VALUE!</v>
      </c>
      <c r="H133" s="942" t="s">
        <v>283</v>
      </c>
      <c r="I133" s="941" t="s">
        <v>2096</v>
      </c>
      <c r="J133" s="941" t="s">
        <v>541</v>
      </c>
      <c r="K133" s="941"/>
      <c r="L133" s="941" t="s">
        <v>2097</v>
      </c>
      <c r="M133" s="941" t="s">
        <v>1962</v>
      </c>
      <c r="N133" s="941" t="s">
        <v>777</v>
      </c>
      <c r="O133" s="941" t="s">
        <v>1963</v>
      </c>
      <c r="P133" s="941" t="s">
        <v>1964</v>
      </c>
      <c r="Q133" s="941" t="s">
        <v>1965</v>
      </c>
      <c r="R133" s="941" t="s">
        <v>2404</v>
      </c>
      <c r="S133" s="941" t="s">
        <v>2478</v>
      </c>
      <c r="T133" s="941" t="s">
        <v>2553</v>
      </c>
      <c r="U133" s="941" t="s">
        <v>542</v>
      </c>
      <c r="V133" s="943" t="e">
        <f t="shared" si="91"/>
        <v>#VALUE!</v>
      </c>
      <c r="X133" s="936" t="e">
        <f t="shared" si="89"/>
        <v>#VALUE!</v>
      </c>
      <c r="Y133" s="936" t="e">
        <f t="shared" si="90"/>
        <v>#VALUE!</v>
      </c>
      <c r="AA133" s="941" t="s">
        <v>2920</v>
      </c>
      <c r="AU133" s="941" t="s">
        <v>400</v>
      </c>
    </row>
    <row r="134" spans="1:47" s="937" customFormat="1">
      <c r="B134" s="940" t="s">
        <v>1285</v>
      </c>
      <c r="C134" s="941">
        <f t="shared" si="87"/>
        <v>0</v>
      </c>
      <c r="D134" s="941">
        <v>0</v>
      </c>
      <c r="E134" s="941">
        <v>0</v>
      </c>
      <c r="F134" s="941">
        <v>0</v>
      </c>
      <c r="G134" s="941">
        <f>E134+F134</f>
        <v>0</v>
      </c>
      <c r="H134" s="942">
        <v>0</v>
      </c>
      <c r="I134" s="941">
        <v>0</v>
      </c>
      <c r="J134" s="941">
        <v>0</v>
      </c>
      <c r="K134" s="941"/>
      <c r="L134" s="941">
        <v>0</v>
      </c>
      <c r="M134" s="941">
        <v>0</v>
      </c>
      <c r="N134" s="941">
        <v>0</v>
      </c>
      <c r="O134" s="941">
        <v>0</v>
      </c>
      <c r="P134" s="941">
        <v>0</v>
      </c>
      <c r="Q134" s="941">
        <v>0</v>
      </c>
      <c r="R134" s="941">
        <v>0</v>
      </c>
      <c r="S134" s="941">
        <v>0</v>
      </c>
      <c r="T134" s="941">
        <v>0</v>
      </c>
      <c r="U134" s="941">
        <v>0</v>
      </c>
      <c r="V134" s="943">
        <f t="shared" si="91"/>
        <v>0</v>
      </c>
      <c r="X134" s="936">
        <f t="shared" si="89"/>
        <v>0</v>
      </c>
      <c r="Y134" s="936">
        <f t="shared" si="90"/>
        <v>0</v>
      </c>
    </row>
    <row r="135" spans="1:47" s="937" customFormat="1">
      <c r="B135" s="940" t="s">
        <v>1286</v>
      </c>
      <c r="C135" s="941" t="e">
        <f t="shared" si="87"/>
        <v>#VALUE!</v>
      </c>
      <c r="D135" s="936" t="e">
        <f>D133-D134</f>
        <v>#VALUE!</v>
      </c>
      <c r="E135" s="936" t="e">
        <f>E133-E134</f>
        <v>#VALUE!</v>
      </c>
      <c r="F135" s="936" t="e">
        <f>F133-F134</f>
        <v>#VALUE!</v>
      </c>
      <c r="G135" s="941" t="e">
        <f t="shared" si="88"/>
        <v>#VALUE!</v>
      </c>
      <c r="H135" s="937" t="e">
        <f>IF(C135=0,0,(C133*H133-C134*H134)/C135)</f>
        <v>#VALUE!</v>
      </c>
      <c r="I135" s="936" t="e">
        <f t="shared" ref="I135:U135" si="93">I133-I134</f>
        <v>#VALUE!</v>
      </c>
      <c r="J135" s="936" t="e">
        <f>J133-J134</f>
        <v>#VALUE!</v>
      </c>
      <c r="K135" s="936"/>
      <c r="L135" s="936" t="e">
        <f t="shared" si="93"/>
        <v>#VALUE!</v>
      </c>
      <c r="M135" s="936" t="e">
        <f t="shared" si="93"/>
        <v>#VALUE!</v>
      </c>
      <c r="N135" s="936" t="e">
        <f t="shared" si="93"/>
        <v>#VALUE!</v>
      </c>
      <c r="O135" s="936" t="e">
        <f t="shared" si="93"/>
        <v>#VALUE!</v>
      </c>
      <c r="P135" s="936" t="e">
        <f t="shared" si="93"/>
        <v>#VALUE!</v>
      </c>
      <c r="Q135" s="936" t="e">
        <f t="shared" si="93"/>
        <v>#VALUE!</v>
      </c>
      <c r="R135" s="936" t="e">
        <f t="shared" si="93"/>
        <v>#VALUE!</v>
      </c>
      <c r="S135" s="936" t="e">
        <f t="shared" si="93"/>
        <v>#VALUE!</v>
      </c>
      <c r="T135" s="936" t="e">
        <f t="shared" si="93"/>
        <v>#VALUE!</v>
      </c>
      <c r="U135" s="936" t="e">
        <f t="shared" si="93"/>
        <v>#VALUE!</v>
      </c>
      <c r="V135" s="943" t="e">
        <f t="shared" si="91"/>
        <v>#VALUE!</v>
      </c>
      <c r="X135" s="936" t="e">
        <f t="shared" si="89"/>
        <v>#VALUE!</v>
      </c>
      <c r="Y135" s="936" t="e">
        <f t="shared" si="90"/>
        <v>#VALUE!</v>
      </c>
    </row>
    <row r="136" spans="1:47" s="937" customFormat="1">
      <c r="B136" s="940" t="s">
        <v>1287</v>
      </c>
      <c r="C136" s="941" t="e">
        <f t="shared" si="87"/>
        <v>#VALUE!</v>
      </c>
      <c r="D136" s="941" t="s">
        <v>1288</v>
      </c>
      <c r="E136" s="941" t="s">
        <v>862</v>
      </c>
      <c r="F136" s="941" t="s">
        <v>1038</v>
      </c>
      <c r="G136" s="941" t="e">
        <f t="shared" si="88"/>
        <v>#VALUE!</v>
      </c>
      <c r="H136" s="942" t="s">
        <v>1523</v>
      </c>
      <c r="I136" s="941" t="s">
        <v>346</v>
      </c>
      <c r="J136" s="941" t="s">
        <v>352</v>
      </c>
      <c r="K136" s="941"/>
      <c r="L136" s="941" t="s">
        <v>347</v>
      </c>
      <c r="M136" s="941" t="s">
        <v>348</v>
      </c>
      <c r="N136" s="941" t="s">
        <v>779</v>
      </c>
      <c r="O136" s="941" t="s">
        <v>349</v>
      </c>
      <c r="P136" s="941" t="s">
        <v>350</v>
      </c>
      <c r="Q136" s="941" t="s">
        <v>351</v>
      </c>
      <c r="R136" s="941" t="s">
        <v>2405</v>
      </c>
      <c r="S136" s="941" t="s">
        <v>2479</v>
      </c>
      <c r="T136" s="941" t="s">
        <v>2554</v>
      </c>
      <c r="U136" s="941" t="s">
        <v>353</v>
      </c>
      <c r="V136" s="944" t="e">
        <f t="shared" ref="V136" si="94">C136-I136-J136-L136-M136-N136-O136-P136-Q136-R136-S136-T136-U136</f>
        <v>#VALUE!</v>
      </c>
      <c r="X136" s="936" t="e">
        <f t="shared" si="89"/>
        <v>#VALUE!</v>
      </c>
      <c r="Y136" s="936" t="e">
        <f t="shared" si="90"/>
        <v>#VALUE!</v>
      </c>
      <c r="AA136" s="941" t="s">
        <v>2921</v>
      </c>
    </row>
    <row r="137" spans="1:47" s="937" customFormat="1">
      <c r="B137" s="940" t="s">
        <v>1289</v>
      </c>
      <c r="C137" s="941">
        <f t="shared" si="87"/>
        <v>0</v>
      </c>
      <c r="D137" s="941">
        <f>D170</f>
        <v>0</v>
      </c>
      <c r="E137" s="941">
        <f t="shared" ref="E137:U137" si="95">E170</f>
        <v>0</v>
      </c>
      <c r="F137" s="941">
        <f t="shared" si="95"/>
        <v>0</v>
      </c>
      <c r="G137" s="941">
        <f>E137+F137</f>
        <v>0</v>
      </c>
      <c r="H137" s="942">
        <f>H170</f>
        <v>0</v>
      </c>
      <c r="I137" s="941">
        <f t="shared" si="95"/>
        <v>0</v>
      </c>
      <c r="J137" s="941">
        <f>J170</f>
        <v>0</v>
      </c>
      <c r="K137" s="941"/>
      <c r="L137" s="941">
        <f t="shared" si="95"/>
        <v>0</v>
      </c>
      <c r="M137" s="941">
        <f t="shared" si="95"/>
        <v>0</v>
      </c>
      <c r="N137" s="941">
        <f t="shared" si="95"/>
        <v>0</v>
      </c>
      <c r="O137" s="941">
        <f t="shared" si="95"/>
        <v>0</v>
      </c>
      <c r="P137" s="941">
        <f t="shared" si="95"/>
        <v>0</v>
      </c>
      <c r="Q137" s="941">
        <f t="shared" si="95"/>
        <v>0</v>
      </c>
      <c r="R137" s="941">
        <f t="shared" si="95"/>
        <v>0</v>
      </c>
      <c r="S137" s="941">
        <f t="shared" si="95"/>
        <v>0</v>
      </c>
      <c r="T137" s="941">
        <f t="shared" si="95"/>
        <v>0</v>
      </c>
      <c r="U137" s="941">
        <f t="shared" si="95"/>
        <v>0</v>
      </c>
      <c r="V137" s="943">
        <f t="shared" si="91"/>
        <v>0</v>
      </c>
      <c r="X137" s="936">
        <f t="shared" si="89"/>
        <v>0</v>
      </c>
      <c r="Y137" s="936">
        <f t="shared" si="90"/>
        <v>0</v>
      </c>
    </row>
    <row r="138" spans="1:47" s="937" customFormat="1">
      <c r="B138" s="940" t="s">
        <v>1706</v>
      </c>
      <c r="C138" s="941" t="e">
        <f t="shared" si="87"/>
        <v>#VALUE!</v>
      </c>
      <c r="D138" s="936" t="e">
        <f>D136-D137</f>
        <v>#VALUE!</v>
      </c>
      <c r="E138" s="936" t="e">
        <f>E136-E137</f>
        <v>#VALUE!</v>
      </c>
      <c r="F138" s="936" t="e">
        <f>F136-F137</f>
        <v>#VALUE!</v>
      </c>
      <c r="G138" s="941" t="e">
        <f t="shared" si="88"/>
        <v>#VALUE!</v>
      </c>
      <c r="H138" s="937" t="e">
        <f>IF(C138=0,0,(C136*H136-C137*H137)/C138)</f>
        <v>#VALUE!</v>
      </c>
      <c r="I138" s="936" t="e">
        <f t="shared" ref="I138:U138" si="96">I136-I137</f>
        <v>#VALUE!</v>
      </c>
      <c r="J138" s="936" t="e">
        <f>J136-J137</f>
        <v>#VALUE!</v>
      </c>
      <c r="K138" s="936"/>
      <c r="L138" s="936" t="e">
        <f t="shared" si="96"/>
        <v>#VALUE!</v>
      </c>
      <c r="M138" s="936" t="e">
        <f t="shared" si="96"/>
        <v>#VALUE!</v>
      </c>
      <c r="N138" s="936" t="e">
        <f t="shared" si="96"/>
        <v>#VALUE!</v>
      </c>
      <c r="O138" s="936" t="e">
        <f t="shared" si="96"/>
        <v>#VALUE!</v>
      </c>
      <c r="P138" s="936" t="e">
        <f t="shared" si="96"/>
        <v>#VALUE!</v>
      </c>
      <c r="Q138" s="936" t="e">
        <f t="shared" si="96"/>
        <v>#VALUE!</v>
      </c>
      <c r="R138" s="936" t="e">
        <f t="shared" si="96"/>
        <v>#VALUE!</v>
      </c>
      <c r="S138" s="936" t="e">
        <f t="shared" si="96"/>
        <v>#VALUE!</v>
      </c>
      <c r="T138" s="936" t="e">
        <f t="shared" si="96"/>
        <v>#VALUE!</v>
      </c>
      <c r="U138" s="936" t="e">
        <f t="shared" si="96"/>
        <v>#VALUE!</v>
      </c>
      <c r="V138" s="943" t="e">
        <f t="shared" si="91"/>
        <v>#VALUE!</v>
      </c>
      <c r="X138" s="936" t="e">
        <f t="shared" si="89"/>
        <v>#VALUE!</v>
      </c>
      <c r="Y138" s="936" t="e">
        <f t="shared" si="90"/>
        <v>#VALUE!</v>
      </c>
    </row>
    <row r="139" spans="1:47" s="937" customFormat="1">
      <c r="B139" s="940" t="s">
        <v>1707</v>
      </c>
      <c r="C139" s="941" t="e">
        <f t="shared" si="87"/>
        <v>#VALUE!</v>
      </c>
      <c r="D139" s="941" t="s">
        <v>2207</v>
      </c>
      <c r="E139" s="941" t="s">
        <v>860</v>
      </c>
      <c r="F139" s="941" t="s">
        <v>1516</v>
      </c>
      <c r="G139" s="941" t="e">
        <f t="shared" si="88"/>
        <v>#VALUE!</v>
      </c>
      <c r="H139" s="942" t="s">
        <v>1297</v>
      </c>
      <c r="I139" s="941" t="s">
        <v>122</v>
      </c>
      <c r="J139" s="941" t="s">
        <v>128</v>
      </c>
      <c r="K139" s="941"/>
      <c r="L139" s="941" t="s">
        <v>123</v>
      </c>
      <c r="M139" s="941" t="s">
        <v>124</v>
      </c>
      <c r="N139" s="941" t="s">
        <v>781</v>
      </c>
      <c r="O139" s="941" t="s">
        <v>125</v>
      </c>
      <c r="P139" s="941" t="s">
        <v>126</v>
      </c>
      <c r="Q139" s="941" t="s">
        <v>127</v>
      </c>
      <c r="R139" s="941" t="s">
        <v>2406</v>
      </c>
      <c r="S139" s="941" t="s">
        <v>2480</v>
      </c>
      <c r="T139" s="941" t="s">
        <v>2555</v>
      </c>
      <c r="U139" s="941" t="s">
        <v>129</v>
      </c>
      <c r="V139" s="943" t="e">
        <f t="shared" si="91"/>
        <v>#VALUE!</v>
      </c>
      <c r="X139" s="936" t="e">
        <f t="shared" si="89"/>
        <v>#VALUE!</v>
      </c>
      <c r="Y139" s="936" t="e">
        <f t="shared" si="90"/>
        <v>#VALUE!</v>
      </c>
    </row>
    <row r="140" spans="1:47" s="937" customFormat="1">
      <c r="B140" s="940" t="s">
        <v>1708</v>
      </c>
      <c r="C140" s="941">
        <f t="shared" si="87"/>
        <v>0</v>
      </c>
      <c r="D140" s="941">
        <v>0</v>
      </c>
      <c r="E140" s="941">
        <v>0</v>
      </c>
      <c r="F140" s="941">
        <v>0</v>
      </c>
      <c r="G140" s="941">
        <f>E140+F140</f>
        <v>0</v>
      </c>
      <c r="H140" s="942">
        <v>0</v>
      </c>
      <c r="I140" s="941">
        <v>0</v>
      </c>
      <c r="J140" s="941">
        <v>0</v>
      </c>
      <c r="K140" s="941"/>
      <c r="L140" s="941">
        <v>0</v>
      </c>
      <c r="M140" s="941">
        <v>0</v>
      </c>
      <c r="N140" s="941">
        <v>0</v>
      </c>
      <c r="O140" s="941">
        <v>0</v>
      </c>
      <c r="P140" s="941">
        <v>0</v>
      </c>
      <c r="Q140" s="941">
        <v>0</v>
      </c>
      <c r="R140" s="941">
        <v>0</v>
      </c>
      <c r="S140" s="941">
        <v>0</v>
      </c>
      <c r="T140" s="941">
        <v>0</v>
      </c>
      <c r="U140" s="941">
        <v>0</v>
      </c>
      <c r="V140" s="943">
        <f t="shared" si="91"/>
        <v>0</v>
      </c>
      <c r="X140" s="936">
        <f t="shared" si="89"/>
        <v>0</v>
      </c>
      <c r="Y140" s="936">
        <f t="shared" si="90"/>
        <v>0</v>
      </c>
    </row>
    <row r="141" spans="1:47" s="937" customFormat="1">
      <c r="B141" s="940" t="s">
        <v>2215</v>
      </c>
      <c r="C141" s="941" t="e">
        <f t="shared" si="87"/>
        <v>#VALUE!</v>
      </c>
      <c r="D141" s="936" t="e">
        <f>D139-D140</f>
        <v>#VALUE!</v>
      </c>
      <c r="E141" s="936" t="e">
        <f>E139-E140</f>
        <v>#VALUE!</v>
      </c>
      <c r="F141" s="936" t="e">
        <f>F139-F140</f>
        <v>#VALUE!</v>
      </c>
      <c r="G141" s="941" t="e">
        <f t="shared" si="88"/>
        <v>#VALUE!</v>
      </c>
      <c r="H141" s="937" t="e">
        <f>IF(C141=0,0,(C139*H139-C140*H140)/C141)</f>
        <v>#VALUE!</v>
      </c>
      <c r="I141" s="936" t="e">
        <f t="shared" ref="I141:U141" si="97">I139-I140</f>
        <v>#VALUE!</v>
      </c>
      <c r="J141" s="936" t="e">
        <f>J139-J140</f>
        <v>#VALUE!</v>
      </c>
      <c r="K141" s="936"/>
      <c r="L141" s="936" t="e">
        <f t="shared" si="97"/>
        <v>#VALUE!</v>
      </c>
      <c r="M141" s="936" t="e">
        <f t="shared" si="97"/>
        <v>#VALUE!</v>
      </c>
      <c r="N141" s="936" t="e">
        <f t="shared" si="97"/>
        <v>#VALUE!</v>
      </c>
      <c r="O141" s="936" t="e">
        <f t="shared" si="97"/>
        <v>#VALUE!</v>
      </c>
      <c r="P141" s="936" t="e">
        <f t="shared" si="97"/>
        <v>#VALUE!</v>
      </c>
      <c r="Q141" s="936" t="e">
        <f t="shared" si="97"/>
        <v>#VALUE!</v>
      </c>
      <c r="R141" s="936" t="e">
        <f t="shared" si="97"/>
        <v>#VALUE!</v>
      </c>
      <c r="S141" s="936" t="e">
        <f t="shared" si="97"/>
        <v>#VALUE!</v>
      </c>
      <c r="T141" s="936" t="e">
        <f t="shared" si="97"/>
        <v>#VALUE!</v>
      </c>
      <c r="U141" s="936" t="e">
        <f t="shared" si="97"/>
        <v>#VALUE!</v>
      </c>
      <c r="V141" s="943" t="e">
        <f t="shared" si="91"/>
        <v>#VALUE!</v>
      </c>
      <c r="X141" s="936" t="e">
        <f t="shared" si="89"/>
        <v>#VALUE!</v>
      </c>
      <c r="Y141" s="936" t="e">
        <f t="shared" si="90"/>
        <v>#VALUE!</v>
      </c>
    </row>
    <row r="142" spans="1:47" s="937" customFormat="1">
      <c r="B142" s="940" t="s">
        <v>703</v>
      </c>
      <c r="C142" s="941" t="e">
        <f t="shared" si="87"/>
        <v>#VALUE!</v>
      </c>
      <c r="D142" s="941" t="s">
        <v>1296</v>
      </c>
      <c r="V142" s="943" t="e">
        <f t="shared" si="91"/>
        <v>#VALUE!</v>
      </c>
    </row>
    <row r="143" spans="1:47" s="937" customFormat="1">
      <c r="B143" s="940" t="s">
        <v>2216</v>
      </c>
      <c r="C143" s="941" t="e">
        <f t="shared" si="87"/>
        <v>#VALUE!</v>
      </c>
      <c r="D143" s="941" t="s">
        <v>2208</v>
      </c>
      <c r="E143" s="941" t="s">
        <v>861</v>
      </c>
      <c r="F143" s="941" t="s">
        <v>1517</v>
      </c>
      <c r="G143" s="941" t="e">
        <f t="shared" ref="G143:G157" si="98">E143+F143</f>
        <v>#VALUE!</v>
      </c>
      <c r="H143" s="942" t="s">
        <v>301</v>
      </c>
      <c r="I143" s="941" t="s">
        <v>1266</v>
      </c>
      <c r="J143" s="941" t="s">
        <v>2061</v>
      </c>
      <c r="K143" s="941"/>
      <c r="L143" s="941" t="s">
        <v>1267</v>
      </c>
      <c r="M143" s="941" t="s">
        <v>2057</v>
      </c>
      <c r="N143" s="941" t="s">
        <v>782</v>
      </c>
      <c r="O143" s="941" t="s">
        <v>2058</v>
      </c>
      <c r="P143" s="941" t="s">
        <v>2059</v>
      </c>
      <c r="Q143" s="941" t="s">
        <v>2060</v>
      </c>
      <c r="R143" s="941" t="s">
        <v>2407</v>
      </c>
      <c r="S143" s="941" t="s">
        <v>2481</v>
      </c>
      <c r="T143" s="941" t="s">
        <v>2556</v>
      </c>
      <c r="U143" s="941" t="s">
        <v>2062</v>
      </c>
      <c r="V143" s="943" t="e">
        <f t="shared" si="91"/>
        <v>#VALUE!</v>
      </c>
      <c r="X143" s="936" t="e">
        <f t="shared" ref="X143:X157" si="99">SUM(I143:V143)</f>
        <v>#VALUE!</v>
      </c>
      <c r="Y143" s="936" t="e">
        <f t="shared" ref="Y143:Y157" si="100">C143-X143</f>
        <v>#VALUE!</v>
      </c>
    </row>
    <row r="144" spans="1:47" s="937" customFormat="1">
      <c r="B144" s="940" t="s">
        <v>2217</v>
      </c>
      <c r="C144" s="941">
        <f t="shared" si="87"/>
        <v>0</v>
      </c>
      <c r="D144" s="941">
        <v>0</v>
      </c>
      <c r="E144" s="941">
        <v>0</v>
      </c>
      <c r="F144" s="941">
        <v>0</v>
      </c>
      <c r="G144" s="941">
        <f t="shared" si="98"/>
        <v>0</v>
      </c>
      <c r="H144" s="942">
        <v>0</v>
      </c>
      <c r="I144" s="941">
        <v>0</v>
      </c>
      <c r="J144" s="941">
        <v>0</v>
      </c>
      <c r="K144" s="941"/>
      <c r="L144" s="941">
        <v>0</v>
      </c>
      <c r="M144" s="941">
        <v>0</v>
      </c>
      <c r="N144" s="941">
        <v>0</v>
      </c>
      <c r="O144" s="941">
        <v>0</v>
      </c>
      <c r="P144" s="941">
        <v>0</v>
      </c>
      <c r="Q144" s="941">
        <v>0</v>
      </c>
      <c r="R144" s="941">
        <v>0</v>
      </c>
      <c r="S144" s="941">
        <v>0</v>
      </c>
      <c r="T144" s="941">
        <v>0</v>
      </c>
      <c r="U144" s="941">
        <v>0</v>
      </c>
      <c r="V144" s="943">
        <f t="shared" si="91"/>
        <v>0</v>
      </c>
      <c r="X144" s="936">
        <f t="shared" si="99"/>
        <v>0</v>
      </c>
      <c r="Y144" s="936">
        <f t="shared" si="100"/>
        <v>0</v>
      </c>
    </row>
    <row r="145" spans="2:25" s="937" customFormat="1">
      <c r="B145" s="940" t="s">
        <v>2218</v>
      </c>
      <c r="C145" s="941" t="e">
        <f t="shared" si="87"/>
        <v>#VALUE!</v>
      </c>
      <c r="D145" s="936" t="e">
        <f>D143-D144</f>
        <v>#VALUE!</v>
      </c>
      <c r="E145" s="936" t="e">
        <f>E143-E144</f>
        <v>#VALUE!</v>
      </c>
      <c r="F145" s="936" t="e">
        <f>F143-F144</f>
        <v>#VALUE!</v>
      </c>
      <c r="G145" s="941" t="e">
        <f t="shared" si="98"/>
        <v>#VALUE!</v>
      </c>
      <c r="H145" s="937" t="e">
        <f>IF(C145=0,0,(C143*H143-C144*H144)/C145)</f>
        <v>#VALUE!</v>
      </c>
      <c r="I145" s="936" t="e">
        <f t="shared" ref="I145:U145" si="101">I143-I144</f>
        <v>#VALUE!</v>
      </c>
      <c r="J145" s="936" t="e">
        <f>J143-J144</f>
        <v>#VALUE!</v>
      </c>
      <c r="K145" s="936"/>
      <c r="L145" s="936" t="e">
        <f t="shared" si="101"/>
        <v>#VALUE!</v>
      </c>
      <c r="M145" s="936" t="e">
        <f t="shared" si="101"/>
        <v>#VALUE!</v>
      </c>
      <c r="N145" s="936" t="e">
        <f t="shared" si="101"/>
        <v>#VALUE!</v>
      </c>
      <c r="O145" s="936" t="e">
        <f t="shared" si="101"/>
        <v>#VALUE!</v>
      </c>
      <c r="P145" s="936" t="e">
        <f t="shared" si="101"/>
        <v>#VALUE!</v>
      </c>
      <c r="Q145" s="936" t="e">
        <f t="shared" si="101"/>
        <v>#VALUE!</v>
      </c>
      <c r="R145" s="936" t="e">
        <f t="shared" si="101"/>
        <v>#VALUE!</v>
      </c>
      <c r="S145" s="936" t="e">
        <f t="shared" si="101"/>
        <v>#VALUE!</v>
      </c>
      <c r="T145" s="936" t="e">
        <f t="shared" si="101"/>
        <v>#VALUE!</v>
      </c>
      <c r="U145" s="936" t="e">
        <f t="shared" si="101"/>
        <v>#VALUE!</v>
      </c>
      <c r="V145" s="943" t="e">
        <f t="shared" si="91"/>
        <v>#VALUE!</v>
      </c>
      <c r="X145" s="936" t="e">
        <f t="shared" si="99"/>
        <v>#VALUE!</v>
      </c>
      <c r="Y145" s="936" t="e">
        <f t="shared" si="100"/>
        <v>#VALUE!</v>
      </c>
    </row>
    <row r="146" spans="2:25" s="937" customFormat="1">
      <c r="B146" s="940" t="s">
        <v>2219</v>
      </c>
      <c r="C146" s="941" t="e">
        <f t="shared" si="87"/>
        <v>#VALUE!</v>
      </c>
      <c r="D146" s="941" t="s">
        <v>538</v>
      </c>
      <c r="E146" s="941" t="s">
        <v>859</v>
      </c>
      <c r="F146" s="941" t="s">
        <v>532</v>
      </c>
      <c r="G146" s="941" t="e">
        <f t="shared" si="98"/>
        <v>#VALUE!</v>
      </c>
      <c r="H146" s="942" t="s">
        <v>1295</v>
      </c>
      <c r="I146" s="941" t="s">
        <v>354</v>
      </c>
      <c r="J146" s="941" t="s">
        <v>1711</v>
      </c>
      <c r="K146" s="941"/>
      <c r="L146" s="941" t="s">
        <v>355</v>
      </c>
      <c r="M146" s="941" t="s">
        <v>1240</v>
      </c>
      <c r="N146" s="941" t="s">
        <v>780</v>
      </c>
      <c r="O146" s="941" t="s">
        <v>1241</v>
      </c>
      <c r="P146" s="941" t="s">
        <v>1242</v>
      </c>
      <c r="Q146" s="941" t="s">
        <v>1243</v>
      </c>
      <c r="R146" s="941" t="s">
        <v>2408</v>
      </c>
      <c r="S146" s="941" t="s">
        <v>2482</v>
      </c>
      <c r="T146" s="941" t="s">
        <v>2557</v>
      </c>
      <c r="U146" s="941" t="s">
        <v>1712</v>
      </c>
      <c r="V146" s="943" t="e">
        <f t="shared" si="91"/>
        <v>#VALUE!</v>
      </c>
      <c r="X146" s="936" t="e">
        <f t="shared" si="99"/>
        <v>#VALUE!</v>
      </c>
      <c r="Y146" s="936" t="e">
        <f t="shared" si="100"/>
        <v>#VALUE!</v>
      </c>
    </row>
    <row r="147" spans="2:25" s="937" customFormat="1">
      <c r="B147" s="940" t="s">
        <v>2220</v>
      </c>
      <c r="C147" s="941">
        <f t="shared" si="87"/>
        <v>0</v>
      </c>
      <c r="D147" s="941">
        <v>0</v>
      </c>
      <c r="E147" s="941">
        <v>0</v>
      </c>
      <c r="F147" s="941">
        <v>0</v>
      </c>
      <c r="G147" s="941">
        <f t="shared" si="98"/>
        <v>0</v>
      </c>
      <c r="H147" s="942">
        <v>0</v>
      </c>
      <c r="I147" s="941">
        <v>0</v>
      </c>
      <c r="J147" s="941">
        <v>0</v>
      </c>
      <c r="K147" s="941"/>
      <c r="L147" s="941">
        <v>0</v>
      </c>
      <c r="M147" s="941">
        <v>0</v>
      </c>
      <c r="N147" s="941">
        <v>0</v>
      </c>
      <c r="O147" s="941">
        <v>0</v>
      </c>
      <c r="P147" s="941">
        <v>0</v>
      </c>
      <c r="Q147" s="941">
        <v>0</v>
      </c>
      <c r="R147" s="941">
        <v>0</v>
      </c>
      <c r="S147" s="941">
        <v>0</v>
      </c>
      <c r="T147" s="941">
        <v>0</v>
      </c>
      <c r="U147" s="941">
        <v>0</v>
      </c>
      <c r="V147" s="943">
        <f t="shared" si="91"/>
        <v>0</v>
      </c>
      <c r="X147" s="936">
        <f t="shared" si="99"/>
        <v>0</v>
      </c>
      <c r="Y147" s="936">
        <f t="shared" si="100"/>
        <v>0</v>
      </c>
    </row>
    <row r="148" spans="2:25" s="937" customFormat="1">
      <c r="B148" s="940" t="s">
        <v>1467</v>
      </c>
      <c r="C148" s="941" t="e">
        <f t="shared" si="87"/>
        <v>#VALUE!</v>
      </c>
      <c r="D148" s="936" t="e">
        <f>D146-D147</f>
        <v>#VALUE!</v>
      </c>
      <c r="E148" s="936" t="e">
        <f>E146-E147</f>
        <v>#VALUE!</v>
      </c>
      <c r="F148" s="936" t="e">
        <f>F146-F147</f>
        <v>#VALUE!</v>
      </c>
      <c r="G148" s="941" t="e">
        <f t="shared" si="98"/>
        <v>#VALUE!</v>
      </c>
      <c r="H148" s="937" t="e">
        <f>IF(C148=0,0,(C146*H146-C147*H147)/C148)</f>
        <v>#VALUE!</v>
      </c>
      <c r="I148" s="936" t="e">
        <f t="shared" ref="I148:U148" si="102">I146-I147</f>
        <v>#VALUE!</v>
      </c>
      <c r="J148" s="936" t="e">
        <f>J146-J147</f>
        <v>#VALUE!</v>
      </c>
      <c r="K148" s="936"/>
      <c r="L148" s="936" t="e">
        <f t="shared" si="102"/>
        <v>#VALUE!</v>
      </c>
      <c r="M148" s="936" t="e">
        <f t="shared" si="102"/>
        <v>#VALUE!</v>
      </c>
      <c r="N148" s="936" t="e">
        <f t="shared" si="102"/>
        <v>#VALUE!</v>
      </c>
      <c r="O148" s="936" t="e">
        <f t="shared" si="102"/>
        <v>#VALUE!</v>
      </c>
      <c r="P148" s="936" t="e">
        <f t="shared" si="102"/>
        <v>#VALUE!</v>
      </c>
      <c r="Q148" s="936" t="e">
        <f t="shared" si="102"/>
        <v>#VALUE!</v>
      </c>
      <c r="R148" s="936" t="e">
        <f t="shared" si="102"/>
        <v>#VALUE!</v>
      </c>
      <c r="S148" s="936" t="e">
        <f t="shared" si="102"/>
        <v>#VALUE!</v>
      </c>
      <c r="T148" s="936" t="e">
        <f t="shared" si="102"/>
        <v>#VALUE!</v>
      </c>
      <c r="U148" s="936" t="e">
        <f t="shared" si="102"/>
        <v>#VALUE!</v>
      </c>
      <c r="V148" s="943" t="e">
        <f t="shared" si="91"/>
        <v>#VALUE!</v>
      </c>
      <c r="X148" s="936" t="e">
        <f t="shared" si="99"/>
        <v>#VALUE!</v>
      </c>
      <c r="Y148" s="936" t="e">
        <f t="shared" si="100"/>
        <v>#VALUE!</v>
      </c>
    </row>
    <row r="149" spans="2:25" s="937" customFormat="1">
      <c r="B149" s="940" t="s">
        <v>1468</v>
      </c>
      <c r="C149" s="941" t="e">
        <f t="shared" si="87"/>
        <v>#VALUE!</v>
      </c>
      <c r="D149" s="941" t="s">
        <v>537</v>
      </c>
      <c r="E149" s="941" t="s">
        <v>858</v>
      </c>
      <c r="F149" s="941" t="s">
        <v>531</v>
      </c>
      <c r="G149" s="941" t="e">
        <f t="shared" si="98"/>
        <v>#VALUE!</v>
      </c>
      <c r="H149" s="942" t="s">
        <v>284</v>
      </c>
      <c r="I149" s="941" t="s">
        <v>543</v>
      </c>
      <c r="J149" s="941" t="s">
        <v>344</v>
      </c>
      <c r="K149" s="941"/>
      <c r="L149" s="941" t="s">
        <v>544</v>
      </c>
      <c r="M149" s="941" t="s">
        <v>545</v>
      </c>
      <c r="N149" s="941" t="s">
        <v>778</v>
      </c>
      <c r="O149" s="941" t="s">
        <v>546</v>
      </c>
      <c r="P149" s="941" t="s">
        <v>1301</v>
      </c>
      <c r="Q149" s="941" t="s">
        <v>1302</v>
      </c>
      <c r="R149" s="941" t="s">
        <v>2409</v>
      </c>
      <c r="S149" s="941" t="s">
        <v>2483</v>
      </c>
      <c r="T149" s="941" t="s">
        <v>2558</v>
      </c>
      <c r="U149" s="941" t="s">
        <v>345</v>
      </c>
      <c r="V149" s="943" t="e">
        <f t="shared" si="91"/>
        <v>#VALUE!</v>
      </c>
      <c r="X149" s="936" t="e">
        <f t="shared" si="99"/>
        <v>#VALUE!</v>
      </c>
      <c r="Y149" s="936" t="e">
        <f t="shared" si="100"/>
        <v>#VALUE!</v>
      </c>
    </row>
    <row r="150" spans="2:25" s="937" customFormat="1">
      <c r="B150" s="940" t="s">
        <v>1469</v>
      </c>
      <c r="C150" s="941">
        <f t="shared" si="87"/>
        <v>0</v>
      </c>
      <c r="D150" s="941">
        <v>0</v>
      </c>
      <c r="E150" s="941">
        <v>0</v>
      </c>
      <c r="F150" s="941">
        <v>0</v>
      </c>
      <c r="G150" s="941">
        <f t="shared" si="98"/>
        <v>0</v>
      </c>
      <c r="H150" s="942">
        <v>0</v>
      </c>
      <c r="I150" s="941">
        <v>0</v>
      </c>
      <c r="J150" s="941">
        <v>0</v>
      </c>
      <c r="K150" s="941"/>
      <c r="L150" s="941">
        <v>0</v>
      </c>
      <c r="M150" s="941">
        <v>0</v>
      </c>
      <c r="N150" s="941">
        <v>0</v>
      </c>
      <c r="O150" s="941">
        <v>0</v>
      </c>
      <c r="P150" s="941">
        <v>0</v>
      </c>
      <c r="Q150" s="941">
        <v>0</v>
      </c>
      <c r="R150" s="941">
        <v>0</v>
      </c>
      <c r="S150" s="941">
        <v>0</v>
      </c>
      <c r="T150" s="941">
        <v>0</v>
      </c>
      <c r="U150" s="941">
        <v>0</v>
      </c>
      <c r="V150" s="943">
        <f t="shared" si="91"/>
        <v>0</v>
      </c>
      <c r="X150" s="936">
        <f t="shared" si="99"/>
        <v>0</v>
      </c>
      <c r="Y150" s="936">
        <f t="shared" si="100"/>
        <v>0</v>
      </c>
    </row>
    <row r="151" spans="2:25" s="937" customFormat="1">
      <c r="B151" s="940" t="s">
        <v>1924</v>
      </c>
      <c r="C151" s="941" t="e">
        <f t="shared" si="87"/>
        <v>#VALUE!</v>
      </c>
      <c r="D151" s="936" t="e">
        <f>D149-D150</f>
        <v>#VALUE!</v>
      </c>
      <c r="E151" s="936" t="e">
        <f>E149-E150</f>
        <v>#VALUE!</v>
      </c>
      <c r="F151" s="936" t="e">
        <f>F149-F150</f>
        <v>#VALUE!</v>
      </c>
      <c r="G151" s="941" t="e">
        <f t="shared" si="98"/>
        <v>#VALUE!</v>
      </c>
      <c r="H151" s="937" t="e">
        <f>IF(C151=0,0,(C149*H149-C150*H150)/C151)</f>
        <v>#VALUE!</v>
      </c>
      <c r="I151" s="936" t="e">
        <f t="shared" ref="I151:U151" si="103">I149-I150</f>
        <v>#VALUE!</v>
      </c>
      <c r="J151" s="936" t="e">
        <f>J149-J150</f>
        <v>#VALUE!</v>
      </c>
      <c r="K151" s="936"/>
      <c r="L151" s="936" t="e">
        <f t="shared" si="103"/>
        <v>#VALUE!</v>
      </c>
      <c r="M151" s="936" t="e">
        <f t="shared" si="103"/>
        <v>#VALUE!</v>
      </c>
      <c r="N151" s="936" t="e">
        <f t="shared" si="103"/>
        <v>#VALUE!</v>
      </c>
      <c r="O151" s="936" t="e">
        <f t="shared" si="103"/>
        <v>#VALUE!</v>
      </c>
      <c r="P151" s="936" t="e">
        <f t="shared" si="103"/>
        <v>#VALUE!</v>
      </c>
      <c r="Q151" s="936" t="e">
        <f t="shared" si="103"/>
        <v>#VALUE!</v>
      </c>
      <c r="R151" s="936" t="e">
        <f t="shared" si="103"/>
        <v>#VALUE!</v>
      </c>
      <c r="S151" s="936" t="e">
        <f t="shared" si="103"/>
        <v>#VALUE!</v>
      </c>
      <c r="T151" s="936" t="e">
        <f t="shared" si="103"/>
        <v>#VALUE!</v>
      </c>
      <c r="U151" s="936" t="e">
        <f t="shared" si="103"/>
        <v>#VALUE!</v>
      </c>
      <c r="V151" s="943" t="e">
        <f t="shared" si="91"/>
        <v>#VALUE!</v>
      </c>
      <c r="X151" s="936" t="e">
        <f t="shared" si="99"/>
        <v>#VALUE!</v>
      </c>
      <c r="Y151" s="936" t="e">
        <f t="shared" si="100"/>
        <v>#VALUE!</v>
      </c>
    </row>
    <row r="152" spans="2:25" s="937" customFormat="1">
      <c r="B152" s="940" t="s">
        <v>925</v>
      </c>
      <c r="C152" s="941" t="e">
        <f t="shared" si="87"/>
        <v>#VALUE!</v>
      </c>
      <c r="D152" s="941" t="s">
        <v>1574</v>
      </c>
      <c r="E152" s="941" t="s">
        <v>853</v>
      </c>
      <c r="F152" s="941" t="s">
        <v>2209</v>
      </c>
      <c r="G152" s="941" t="e">
        <f t="shared" si="98"/>
        <v>#VALUE!</v>
      </c>
      <c r="H152" s="942" t="s">
        <v>428</v>
      </c>
      <c r="I152" s="941" t="s">
        <v>339</v>
      </c>
      <c r="J152" s="941" t="s">
        <v>533</v>
      </c>
      <c r="K152" s="941"/>
      <c r="L152" s="941" t="s">
        <v>340</v>
      </c>
      <c r="M152" s="941" t="s">
        <v>341</v>
      </c>
      <c r="N152" s="941" t="s">
        <v>773</v>
      </c>
      <c r="O152" s="941" t="s">
        <v>342</v>
      </c>
      <c r="P152" s="941" t="s">
        <v>343</v>
      </c>
      <c r="Q152" s="941" t="s">
        <v>1040</v>
      </c>
      <c r="R152" s="941" t="s">
        <v>2410</v>
      </c>
      <c r="S152" s="941" t="s">
        <v>2484</v>
      </c>
      <c r="T152" s="941" t="s">
        <v>2559</v>
      </c>
      <c r="U152" s="941" t="s">
        <v>534</v>
      </c>
      <c r="V152" s="943" t="e">
        <f t="shared" si="91"/>
        <v>#VALUE!</v>
      </c>
      <c r="X152" s="936" t="e">
        <f t="shared" si="99"/>
        <v>#VALUE!</v>
      </c>
      <c r="Y152" s="936" t="e">
        <f t="shared" si="100"/>
        <v>#VALUE!</v>
      </c>
    </row>
    <row r="153" spans="2:25" s="937" customFormat="1">
      <c r="B153" s="940" t="s">
        <v>925</v>
      </c>
      <c r="C153" s="941">
        <f t="shared" si="87"/>
        <v>0</v>
      </c>
      <c r="D153" s="941">
        <v>0</v>
      </c>
      <c r="E153" s="941">
        <v>0</v>
      </c>
      <c r="F153" s="941">
        <v>0</v>
      </c>
      <c r="G153" s="941">
        <f t="shared" si="98"/>
        <v>0</v>
      </c>
      <c r="H153" s="942">
        <v>0</v>
      </c>
      <c r="I153" s="941">
        <v>0</v>
      </c>
      <c r="J153" s="941">
        <v>0</v>
      </c>
      <c r="K153" s="941"/>
      <c r="L153" s="941">
        <v>0</v>
      </c>
      <c r="M153" s="941">
        <v>0</v>
      </c>
      <c r="N153" s="941">
        <v>0</v>
      </c>
      <c r="O153" s="941">
        <v>0</v>
      </c>
      <c r="P153" s="941">
        <v>0</v>
      </c>
      <c r="Q153" s="941">
        <v>0</v>
      </c>
      <c r="R153" s="941">
        <v>0</v>
      </c>
      <c r="S153" s="941">
        <v>0</v>
      </c>
      <c r="T153" s="941">
        <v>0</v>
      </c>
      <c r="U153" s="941">
        <v>0</v>
      </c>
      <c r="V153" s="943">
        <f t="shared" si="91"/>
        <v>0</v>
      </c>
      <c r="X153" s="936">
        <f t="shared" si="99"/>
        <v>0</v>
      </c>
      <c r="Y153" s="936">
        <f t="shared" si="100"/>
        <v>0</v>
      </c>
    </row>
    <row r="154" spans="2:25" s="937" customFormat="1">
      <c r="B154" s="940" t="s">
        <v>925</v>
      </c>
      <c r="C154" s="941" t="e">
        <f t="shared" si="87"/>
        <v>#VALUE!</v>
      </c>
      <c r="D154" s="936" t="e">
        <f>D152-D153</f>
        <v>#VALUE!</v>
      </c>
      <c r="E154" s="936" t="e">
        <f>E152-E153</f>
        <v>#VALUE!</v>
      </c>
      <c r="F154" s="936" t="e">
        <f>F152-F153</f>
        <v>#VALUE!</v>
      </c>
      <c r="G154" s="941" t="e">
        <f t="shared" si="98"/>
        <v>#VALUE!</v>
      </c>
      <c r="H154" s="937" t="e">
        <f>IF(C154=0,0,(C152*H152-C153*H153)/C154)</f>
        <v>#VALUE!</v>
      </c>
      <c r="I154" s="936" t="e">
        <f t="shared" ref="I154:U154" si="104">I152-I153</f>
        <v>#VALUE!</v>
      </c>
      <c r="J154" s="936" t="e">
        <f>J152-J153</f>
        <v>#VALUE!</v>
      </c>
      <c r="K154" s="936"/>
      <c r="L154" s="936" t="e">
        <f t="shared" si="104"/>
        <v>#VALUE!</v>
      </c>
      <c r="M154" s="936" t="e">
        <f t="shared" si="104"/>
        <v>#VALUE!</v>
      </c>
      <c r="N154" s="936" t="e">
        <f t="shared" si="104"/>
        <v>#VALUE!</v>
      </c>
      <c r="O154" s="936" t="e">
        <f t="shared" si="104"/>
        <v>#VALUE!</v>
      </c>
      <c r="P154" s="936" t="e">
        <f t="shared" si="104"/>
        <v>#VALUE!</v>
      </c>
      <c r="Q154" s="936" t="e">
        <f t="shared" si="104"/>
        <v>#VALUE!</v>
      </c>
      <c r="R154" s="936" t="e">
        <f t="shared" si="104"/>
        <v>#VALUE!</v>
      </c>
      <c r="S154" s="936" t="e">
        <f t="shared" si="104"/>
        <v>#VALUE!</v>
      </c>
      <c r="T154" s="936" t="e">
        <f t="shared" si="104"/>
        <v>#VALUE!</v>
      </c>
      <c r="U154" s="936" t="e">
        <f t="shared" si="104"/>
        <v>#VALUE!</v>
      </c>
      <c r="V154" s="943" t="e">
        <f t="shared" si="91"/>
        <v>#VALUE!</v>
      </c>
      <c r="X154" s="936" t="e">
        <f t="shared" si="99"/>
        <v>#VALUE!</v>
      </c>
      <c r="Y154" s="936" t="e">
        <f t="shared" si="100"/>
        <v>#VALUE!</v>
      </c>
    </row>
    <row r="155" spans="2:25" s="937" customFormat="1">
      <c r="B155" s="940" t="s">
        <v>1925</v>
      </c>
      <c r="C155" s="941" t="e">
        <f t="shared" si="87"/>
        <v>#VALUE!</v>
      </c>
      <c r="D155" s="941" t="s">
        <v>490</v>
      </c>
      <c r="E155" s="941" t="s">
        <v>855</v>
      </c>
      <c r="F155" s="941" t="s">
        <v>2211</v>
      </c>
      <c r="G155" s="941" t="e">
        <f t="shared" si="98"/>
        <v>#VALUE!</v>
      </c>
      <c r="H155" s="942" t="s">
        <v>497</v>
      </c>
      <c r="I155" s="941" t="s">
        <v>1352</v>
      </c>
      <c r="J155" s="941" t="s">
        <v>516</v>
      </c>
      <c r="K155" s="941"/>
      <c r="L155" s="941" t="s">
        <v>1757</v>
      </c>
      <c r="M155" s="941" t="s">
        <v>1758</v>
      </c>
      <c r="N155" s="941" t="s">
        <v>775</v>
      </c>
      <c r="O155" s="941" t="s">
        <v>1759</v>
      </c>
      <c r="P155" s="941" t="s">
        <v>1760</v>
      </c>
      <c r="Q155" s="941" t="s">
        <v>1254</v>
      </c>
      <c r="R155" s="941" t="s">
        <v>2411</v>
      </c>
      <c r="S155" s="941" t="s">
        <v>2485</v>
      </c>
      <c r="T155" s="941" t="s">
        <v>2560</v>
      </c>
      <c r="U155" s="941" t="s">
        <v>517</v>
      </c>
      <c r="V155" s="943" t="e">
        <f t="shared" si="91"/>
        <v>#VALUE!</v>
      </c>
      <c r="X155" s="936" t="e">
        <f t="shared" si="99"/>
        <v>#VALUE!</v>
      </c>
      <c r="Y155" s="936" t="e">
        <f t="shared" si="100"/>
        <v>#VALUE!</v>
      </c>
    </row>
    <row r="156" spans="2:25" s="937" customFormat="1">
      <c r="B156" s="940" t="s">
        <v>1926</v>
      </c>
      <c r="C156" s="941">
        <f t="shared" si="87"/>
        <v>0</v>
      </c>
      <c r="D156" s="941">
        <v>0</v>
      </c>
      <c r="E156" s="941">
        <v>0</v>
      </c>
      <c r="F156" s="941">
        <v>0</v>
      </c>
      <c r="G156" s="941">
        <f t="shared" si="98"/>
        <v>0</v>
      </c>
      <c r="H156" s="942">
        <v>0</v>
      </c>
      <c r="I156" s="941">
        <v>0</v>
      </c>
      <c r="J156" s="941">
        <v>0</v>
      </c>
      <c r="K156" s="941"/>
      <c r="L156" s="941">
        <v>0</v>
      </c>
      <c r="M156" s="941">
        <v>0</v>
      </c>
      <c r="N156" s="941">
        <v>0</v>
      </c>
      <c r="O156" s="941">
        <v>0</v>
      </c>
      <c r="P156" s="941">
        <v>0</v>
      </c>
      <c r="Q156" s="941">
        <v>0</v>
      </c>
      <c r="R156" s="941">
        <v>0</v>
      </c>
      <c r="S156" s="941">
        <v>0</v>
      </c>
      <c r="T156" s="941">
        <v>0</v>
      </c>
      <c r="U156" s="941">
        <v>0</v>
      </c>
      <c r="V156" s="943">
        <f t="shared" si="91"/>
        <v>0</v>
      </c>
      <c r="X156" s="936">
        <f t="shared" si="99"/>
        <v>0</v>
      </c>
      <c r="Y156" s="936">
        <f t="shared" si="100"/>
        <v>0</v>
      </c>
    </row>
    <row r="157" spans="2:25" s="937" customFormat="1">
      <c r="B157" s="940" t="s">
        <v>1927</v>
      </c>
      <c r="C157" s="941" t="e">
        <f t="shared" si="87"/>
        <v>#VALUE!</v>
      </c>
      <c r="D157" s="936" t="e">
        <f>D155-D156</f>
        <v>#VALUE!</v>
      </c>
      <c r="E157" s="936" t="e">
        <f>E155-E156</f>
        <v>#VALUE!</v>
      </c>
      <c r="F157" s="936" t="e">
        <f>F155-F156</f>
        <v>#VALUE!</v>
      </c>
      <c r="G157" s="941" t="e">
        <f t="shared" si="98"/>
        <v>#VALUE!</v>
      </c>
      <c r="H157" s="937" t="e">
        <f>IF(C157=0,0,(C155*H155-C156*H156)/C157)</f>
        <v>#VALUE!</v>
      </c>
      <c r="I157" s="936" t="e">
        <f t="shared" ref="I157:U157" si="105">I155-I156</f>
        <v>#VALUE!</v>
      </c>
      <c r="J157" s="936" t="e">
        <f>J155-J156</f>
        <v>#VALUE!</v>
      </c>
      <c r="K157" s="936"/>
      <c r="L157" s="936" t="e">
        <f t="shared" si="105"/>
        <v>#VALUE!</v>
      </c>
      <c r="M157" s="936" t="e">
        <f t="shared" si="105"/>
        <v>#VALUE!</v>
      </c>
      <c r="N157" s="936" t="e">
        <f t="shared" si="105"/>
        <v>#VALUE!</v>
      </c>
      <c r="O157" s="936" t="e">
        <f t="shared" si="105"/>
        <v>#VALUE!</v>
      </c>
      <c r="P157" s="936" t="e">
        <f t="shared" si="105"/>
        <v>#VALUE!</v>
      </c>
      <c r="Q157" s="936" t="e">
        <f t="shared" si="105"/>
        <v>#VALUE!</v>
      </c>
      <c r="R157" s="936" t="e">
        <f t="shared" si="105"/>
        <v>#VALUE!</v>
      </c>
      <c r="S157" s="936" t="e">
        <f t="shared" si="105"/>
        <v>#VALUE!</v>
      </c>
      <c r="T157" s="936" t="e">
        <f t="shared" si="105"/>
        <v>#VALUE!</v>
      </c>
      <c r="U157" s="936" t="e">
        <f t="shared" si="105"/>
        <v>#VALUE!</v>
      </c>
      <c r="V157" s="943" t="e">
        <f t="shared" si="91"/>
        <v>#VALUE!</v>
      </c>
      <c r="X157" s="936" t="e">
        <f t="shared" si="99"/>
        <v>#VALUE!</v>
      </c>
      <c r="Y157" s="936" t="e">
        <f t="shared" si="100"/>
        <v>#VALUE!</v>
      </c>
    </row>
    <row r="158" spans="2:25" s="937" customFormat="1">
      <c r="B158" s="940" t="s">
        <v>1290</v>
      </c>
      <c r="C158" s="941">
        <f t="shared" si="87"/>
        <v>0</v>
      </c>
      <c r="D158" s="936">
        <f>D131+D134+D137+D140+D144+D147+D150+D153+D156</f>
        <v>0</v>
      </c>
      <c r="E158" s="936">
        <f>E131+E134+E137+E140+E144+E147+E150+E153+E156</f>
        <v>0</v>
      </c>
      <c r="F158" s="936">
        <f>F131+F134+F137+F140+F144+F147+F150+F153+F156</f>
        <v>0</v>
      </c>
      <c r="G158" s="936">
        <f>G131+G134+G137+G140+G144+G147+G150+G153+G156</f>
        <v>0</v>
      </c>
      <c r="H158" s="937">
        <f>IF(C158=0,0,(C131*H131+C134*H134+C137*H137+C140*H140+C144*H144+C147*H147+C150*H150+C153*H153+C156*H156)/C158)</f>
        <v>0</v>
      </c>
      <c r="I158" s="936">
        <f>I131+I134+I137+I140+I144+I147+I150+I153+I156</f>
        <v>0</v>
      </c>
      <c r="J158" s="936">
        <f>J131+J134+J137+J140+J144+J147+J150+J153+J156</f>
        <v>0</v>
      </c>
      <c r="K158" s="936"/>
      <c r="L158" s="936">
        <f t="shared" ref="L158:Y158" si="106">L131+L134+L137+L140+L144+L147+L150+L153+L156</f>
        <v>0</v>
      </c>
      <c r="M158" s="936">
        <f t="shared" si="106"/>
        <v>0</v>
      </c>
      <c r="N158" s="936">
        <f t="shared" si="106"/>
        <v>0</v>
      </c>
      <c r="O158" s="936">
        <f t="shared" si="106"/>
        <v>0</v>
      </c>
      <c r="P158" s="936">
        <f t="shared" si="106"/>
        <v>0</v>
      </c>
      <c r="Q158" s="936">
        <f t="shared" si="106"/>
        <v>0</v>
      </c>
      <c r="R158" s="936">
        <f t="shared" si="106"/>
        <v>0</v>
      </c>
      <c r="S158" s="936">
        <f t="shared" si="106"/>
        <v>0</v>
      </c>
      <c r="T158" s="936">
        <f t="shared" si="106"/>
        <v>0</v>
      </c>
      <c r="U158" s="936">
        <f t="shared" si="106"/>
        <v>0</v>
      </c>
      <c r="V158" s="936">
        <f t="shared" si="106"/>
        <v>0</v>
      </c>
      <c r="W158" s="936">
        <f t="shared" si="106"/>
        <v>0</v>
      </c>
      <c r="X158" s="936">
        <f t="shared" si="106"/>
        <v>0</v>
      </c>
      <c r="Y158" s="936">
        <f t="shared" si="106"/>
        <v>0</v>
      </c>
    </row>
    <row r="159" spans="2:25" s="937" customFormat="1"/>
    <row r="160" spans="2:25" s="937" customFormat="1"/>
    <row r="161" spans="1:47" s="937" customFormat="1">
      <c r="B161" s="938" t="s">
        <v>1928</v>
      </c>
    </row>
    <row r="162" spans="1:47" s="937" customFormat="1">
      <c r="A162" s="939"/>
      <c r="B162" s="940" t="s">
        <v>1203</v>
      </c>
      <c r="C162" s="941" t="e">
        <f t="shared" ref="C162:C191" si="107">D162+G162</f>
        <v>#VALUE!</v>
      </c>
      <c r="D162" s="941" t="s">
        <v>2201</v>
      </c>
      <c r="E162" s="941" t="s">
        <v>248</v>
      </c>
      <c r="F162" s="941" t="s">
        <v>1155</v>
      </c>
      <c r="G162" s="941" t="e">
        <f t="shared" ref="G162:G174" si="108">E162+F162</f>
        <v>#VALUE!</v>
      </c>
      <c r="H162" s="942" t="s">
        <v>496</v>
      </c>
      <c r="I162" s="941" t="s">
        <v>2158</v>
      </c>
      <c r="J162" s="941" t="s">
        <v>691</v>
      </c>
      <c r="K162" s="941"/>
      <c r="L162" s="941" t="s">
        <v>2159</v>
      </c>
      <c r="M162" s="941" t="s">
        <v>2160</v>
      </c>
      <c r="N162" s="941" t="s">
        <v>574</v>
      </c>
      <c r="O162" s="941" t="s">
        <v>688</v>
      </c>
      <c r="P162" s="941" t="s">
        <v>689</v>
      </c>
      <c r="Q162" s="941" t="s">
        <v>690</v>
      </c>
      <c r="R162" s="941" t="s">
        <v>2412</v>
      </c>
      <c r="S162" s="941" t="s">
        <v>2486</v>
      </c>
      <c r="T162" s="941" t="s">
        <v>2561</v>
      </c>
      <c r="U162" s="941" t="s">
        <v>692</v>
      </c>
      <c r="V162" s="943" t="e">
        <f t="shared" ref="V162:V190" si="109">C162-I162-L162-M162-N162-O162-P162-Q162-R162-J162-U162-S162</f>
        <v>#VALUE!</v>
      </c>
      <c r="X162" s="936" t="e">
        <f>SUM(I162:V162)</f>
        <v>#VALUE!</v>
      </c>
      <c r="Y162" s="936" t="e">
        <f t="shared" ref="Y162:Y174" si="110">C162-X162</f>
        <v>#VALUE!</v>
      </c>
      <c r="AU162" s="941" t="s">
        <v>664</v>
      </c>
    </row>
    <row r="163" spans="1:47" s="937" customFormat="1">
      <c r="A163" s="939"/>
      <c r="B163" s="940" t="s">
        <v>1293</v>
      </c>
      <c r="C163" s="941" t="e">
        <f t="shared" si="107"/>
        <v>#VALUE!</v>
      </c>
      <c r="D163" s="941" t="s">
        <v>2203</v>
      </c>
      <c r="E163" s="941" t="s">
        <v>249</v>
      </c>
      <c r="F163" s="941" t="s">
        <v>1157</v>
      </c>
      <c r="G163" s="941" t="e">
        <f t="shared" si="108"/>
        <v>#VALUE!</v>
      </c>
      <c r="H163" s="942" t="s">
        <v>184</v>
      </c>
      <c r="I163" s="941" t="s">
        <v>1901</v>
      </c>
      <c r="J163" s="941" t="s">
        <v>684</v>
      </c>
      <c r="K163" s="941"/>
      <c r="L163" s="941" t="s">
        <v>1902</v>
      </c>
      <c r="M163" s="941" t="s">
        <v>1539</v>
      </c>
      <c r="N163" s="941" t="s">
        <v>576</v>
      </c>
      <c r="O163" s="941" t="s">
        <v>1540</v>
      </c>
      <c r="P163" s="941" t="s">
        <v>1541</v>
      </c>
      <c r="Q163" s="941" t="s">
        <v>1542</v>
      </c>
      <c r="R163" s="941" t="s">
        <v>2413</v>
      </c>
      <c r="S163" s="941" t="s">
        <v>2487</v>
      </c>
      <c r="T163" s="941" t="s">
        <v>2562</v>
      </c>
      <c r="U163" s="941" t="s">
        <v>685</v>
      </c>
      <c r="V163" s="943" t="e">
        <f t="shared" si="109"/>
        <v>#VALUE!</v>
      </c>
      <c r="X163" s="936" t="e">
        <f t="shared" ref="X163:X174" si="111">SUM(I163:V163)</f>
        <v>#VALUE!</v>
      </c>
      <c r="Y163" s="936" t="e">
        <f t="shared" si="110"/>
        <v>#VALUE!</v>
      </c>
      <c r="AU163" s="941" t="s">
        <v>666</v>
      </c>
    </row>
    <row r="164" spans="1:47" s="937" customFormat="1">
      <c r="B164" s="940" t="s">
        <v>1294</v>
      </c>
      <c r="C164" s="941">
        <f t="shared" si="107"/>
        <v>0</v>
      </c>
      <c r="D164" s="941">
        <v>0</v>
      </c>
      <c r="E164" s="941">
        <v>0</v>
      </c>
      <c r="F164" s="941">
        <v>0</v>
      </c>
      <c r="G164" s="941">
        <f t="shared" si="108"/>
        <v>0</v>
      </c>
      <c r="H164" s="942">
        <v>0</v>
      </c>
      <c r="I164" s="941">
        <v>0</v>
      </c>
      <c r="J164" s="941">
        <v>0</v>
      </c>
      <c r="K164" s="941"/>
      <c r="L164" s="941">
        <v>0</v>
      </c>
      <c r="M164" s="941">
        <v>0</v>
      </c>
      <c r="N164" s="941">
        <v>0</v>
      </c>
      <c r="O164" s="941">
        <v>0</v>
      </c>
      <c r="P164" s="941">
        <v>0</v>
      </c>
      <c r="Q164" s="941">
        <v>0</v>
      </c>
      <c r="R164" s="941">
        <v>0</v>
      </c>
      <c r="S164" s="941">
        <v>0</v>
      </c>
      <c r="T164" s="941">
        <v>0</v>
      </c>
      <c r="U164" s="941">
        <v>0</v>
      </c>
      <c r="V164" s="943">
        <f t="shared" si="109"/>
        <v>0</v>
      </c>
      <c r="X164" s="936">
        <f t="shared" si="111"/>
        <v>0</v>
      </c>
      <c r="Y164" s="936">
        <f t="shared" si="110"/>
        <v>0</v>
      </c>
    </row>
    <row r="165" spans="1:47" s="937" customFormat="1">
      <c r="B165" s="940" t="s">
        <v>1283</v>
      </c>
      <c r="C165" s="941" t="e">
        <f t="shared" si="107"/>
        <v>#VALUE!</v>
      </c>
      <c r="D165" s="936" t="e">
        <f>D163-D164</f>
        <v>#VALUE!</v>
      </c>
      <c r="E165" s="936" t="e">
        <f>E163-E164</f>
        <v>#VALUE!</v>
      </c>
      <c r="F165" s="936" t="e">
        <f>F163-F164</f>
        <v>#VALUE!</v>
      </c>
      <c r="G165" s="941" t="e">
        <f t="shared" si="108"/>
        <v>#VALUE!</v>
      </c>
      <c r="H165" s="937" t="e">
        <f>IF(C165=0,0,(C163*H163-C164*H164)/C165)</f>
        <v>#VALUE!</v>
      </c>
      <c r="I165" s="936" t="e">
        <f t="shared" ref="I165:U165" si="112">I163-I164</f>
        <v>#VALUE!</v>
      </c>
      <c r="J165" s="936" t="e">
        <f>J163-J164</f>
        <v>#VALUE!</v>
      </c>
      <c r="K165" s="936"/>
      <c r="L165" s="936" t="e">
        <f t="shared" si="112"/>
        <v>#VALUE!</v>
      </c>
      <c r="M165" s="936" t="e">
        <f t="shared" si="112"/>
        <v>#VALUE!</v>
      </c>
      <c r="N165" s="936" t="e">
        <f t="shared" si="112"/>
        <v>#VALUE!</v>
      </c>
      <c r="O165" s="936" t="e">
        <f t="shared" si="112"/>
        <v>#VALUE!</v>
      </c>
      <c r="P165" s="936" t="e">
        <f t="shared" si="112"/>
        <v>#VALUE!</v>
      </c>
      <c r="Q165" s="936" t="e">
        <f t="shared" si="112"/>
        <v>#VALUE!</v>
      </c>
      <c r="R165" s="936" t="e">
        <f t="shared" si="112"/>
        <v>#VALUE!</v>
      </c>
      <c r="S165" s="936" t="e">
        <f t="shared" si="112"/>
        <v>#VALUE!</v>
      </c>
      <c r="T165" s="936" t="e">
        <f t="shared" si="112"/>
        <v>#VALUE!</v>
      </c>
      <c r="U165" s="936" t="e">
        <f t="shared" si="112"/>
        <v>#VALUE!</v>
      </c>
      <c r="V165" s="943" t="e">
        <f t="shared" si="109"/>
        <v>#VALUE!</v>
      </c>
      <c r="X165" s="936" t="e">
        <f t="shared" si="111"/>
        <v>#VALUE!</v>
      </c>
      <c r="Y165" s="936" t="e">
        <f t="shared" si="110"/>
        <v>#VALUE!</v>
      </c>
    </row>
    <row r="166" spans="1:47" s="937" customFormat="1">
      <c r="A166" s="939"/>
      <c r="B166" s="940" t="s">
        <v>1284</v>
      </c>
      <c r="C166" s="941" t="e">
        <f t="shared" si="107"/>
        <v>#VALUE!</v>
      </c>
      <c r="D166" s="941" t="s">
        <v>2204</v>
      </c>
      <c r="E166" s="941" t="s">
        <v>250</v>
      </c>
      <c r="F166" s="941" t="s">
        <v>1158</v>
      </c>
      <c r="G166" s="941" t="e">
        <f t="shared" si="108"/>
        <v>#VALUE!</v>
      </c>
      <c r="H166" s="942" t="s">
        <v>185</v>
      </c>
      <c r="I166" s="941" t="s">
        <v>736</v>
      </c>
      <c r="J166" s="941" t="s">
        <v>1568</v>
      </c>
      <c r="K166" s="941"/>
      <c r="L166" s="941" t="s">
        <v>737</v>
      </c>
      <c r="M166" s="941" t="s">
        <v>738</v>
      </c>
      <c r="N166" s="941" t="s">
        <v>577</v>
      </c>
      <c r="O166" s="941" t="s">
        <v>88</v>
      </c>
      <c r="P166" s="941" t="s">
        <v>89</v>
      </c>
      <c r="Q166" s="941" t="s">
        <v>811</v>
      </c>
      <c r="R166" s="941" t="s">
        <v>2414</v>
      </c>
      <c r="S166" s="941" t="s">
        <v>2488</v>
      </c>
      <c r="T166" s="941" t="s">
        <v>2563</v>
      </c>
      <c r="U166" s="941" t="s">
        <v>1569</v>
      </c>
      <c r="V166" s="943" t="e">
        <f t="shared" si="109"/>
        <v>#VALUE!</v>
      </c>
      <c r="X166" s="936" t="e">
        <f t="shared" si="111"/>
        <v>#VALUE!</v>
      </c>
      <c r="Y166" s="936" t="e">
        <f t="shared" si="110"/>
        <v>#VALUE!</v>
      </c>
      <c r="AU166" s="941" t="s">
        <v>1177</v>
      </c>
    </row>
    <row r="167" spans="1:47" s="937" customFormat="1">
      <c r="B167" s="940" t="s">
        <v>1285</v>
      </c>
      <c r="C167" s="941">
        <f t="shared" si="107"/>
        <v>0</v>
      </c>
      <c r="D167" s="941">
        <v>0</v>
      </c>
      <c r="E167" s="941">
        <v>0</v>
      </c>
      <c r="F167" s="941">
        <v>0</v>
      </c>
      <c r="G167" s="941">
        <f t="shared" si="108"/>
        <v>0</v>
      </c>
      <c r="H167" s="942">
        <v>0</v>
      </c>
      <c r="I167" s="941">
        <v>0</v>
      </c>
      <c r="J167" s="941">
        <v>0</v>
      </c>
      <c r="K167" s="941"/>
      <c r="L167" s="941">
        <v>0</v>
      </c>
      <c r="M167" s="941">
        <v>0</v>
      </c>
      <c r="N167" s="941">
        <v>0</v>
      </c>
      <c r="O167" s="941">
        <v>0</v>
      </c>
      <c r="P167" s="941">
        <v>0</v>
      </c>
      <c r="Q167" s="941">
        <v>0</v>
      </c>
      <c r="R167" s="941">
        <v>0</v>
      </c>
      <c r="S167" s="941">
        <v>0</v>
      </c>
      <c r="T167" s="941">
        <v>0</v>
      </c>
      <c r="U167" s="941">
        <v>0</v>
      </c>
      <c r="V167" s="943">
        <f t="shared" si="109"/>
        <v>0</v>
      </c>
      <c r="X167" s="936">
        <f t="shared" si="111"/>
        <v>0</v>
      </c>
      <c r="Y167" s="936">
        <f t="shared" si="110"/>
        <v>0</v>
      </c>
    </row>
    <row r="168" spans="1:47" s="937" customFormat="1">
      <c r="B168" s="940" t="s">
        <v>1286</v>
      </c>
      <c r="C168" s="941" t="e">
        <f t="shared" si="107"/>
        <v>#VALUE!</v>
      </c>
      <c r="D168" s="936" t="e">
        <f>D166-D167</f>
        <v>#VALUE!</v>
      </c>
      <c r="E168" s="936" t="e">
        <f>E166-E167</f>
        <v>#VALUE!</v>
      </c>
      <c r="F168" s="936" t="e">
        <f>F166-F167</f>
        <v>#VALUE!</v>
      </c>
      <c r="G168" s="941" t="e">
        <f t="shared" si="108"/>
        <v>#VALUE!</v>
      </c>
      <c r="H168" s="937" t="e">
        <f>IF(C168=0,0,(C166*H166-C167*H167)/C168)</f>
        <v>#VALUE!</v>
      </c>
      <c r="I168" s="936" t="e">
        <f t="shared" ref="I168:U168" si="113">I166-I167</f>
        <v>#VALUE!</v>
      </c>
      <c r="J168" s="936" t="e">
        <f>J166-J167</f>
        <v>#VALUE!</v>
      </c>
      <c r="K168" s="936"/>
      <c r="L168" s="936" t="e">
        <f t="shared" si="113"/>
        <v>#VALUE!</v>
      </c>
      <c r="M168" s="936" t="e">
        <f t="shared" si="113"/>
        <v>#VALUE!</v>
      </c>
      <c r="N168" s="936" t="e">
        <f t="shared" si="113"/>
        <v>#VALUE!</v>
      </c>
      <c r="O168" s="936" t="e">
        <f t="shared" si="113"/>
        <v>#VALUE!</v>
      </c>
      <c r="P168" s="936" t="e">
        <f t="shared" si="113"/>
        <v>#VALUE!</v>
      </c>
      <c r="Q168" s="936" t="e">
        <f t="shared" si="113"/>
        <v>#VALUE!</v>
      </c>
      <c r="R168" s="936" t="e">
        <f t="shared" si="113"/>
        <v>#VALUE!</v>
      </c>
      <c r="S168" s="936" t="e">
        <f t="shared" si="113"/>
        <v>#VALUE!</v>
      </c>
      <c r="T168" s="936" t="e">
        <f t="shared" si="113"/>
        <v>#VALUE!</v>
      </c>
      <c r="U168" s="936" t="e">
        <f t="shared" si="113"/>
        <v>#VALUE!</v>
      </c>
      <c r="V168" s="943" t="e">
        <f t="shared" si="109"/>
        <v>#VALUE!</v>
      </c>
      <c r="X168" s="936" t="e">
        <f t="shared" si="111"/>
        <v>#VALUE!</v>
      </c>
      <c r="Y168" s="936" t="e">
        <f t="shared" si="110"/>
        <v>#VALUE!</v>
      </c>
    </row>
    <row r="169" spans="1:47" s="937" customFormat="1">
      <c r="B169" s="940" t="s">
        <v>1287</v>
      </c>
      <c r="C169" s="941" t="e">
        <f t="shared" si="107"/>
        <v>#VALUE!</v>
      </c>
      <c r="D169" s="941" t="s">
        <v>1881</v>
      </c>
      <c r="E169" s="941" t="s">
        <v>484</v>
      </c>
      <c r="F169" s="941" t="s">
        <v>2037</v>
      </c>
      <c r="G169" s="941" t="e">
        <f t="shared" si="108"/>
        <v>#VALUE!</v>
      </c>
      <c r="H169" s="942" t="s">
        <v>413</v>
      </c>
      <c r="I169" s="941" t="s">
        <v>1384</v>
      </c>
      <c r="J169" s="941" t="s">
        <v>1316</v>
      </c>
      <c r="K169" s="941"/>
      <c r="L169" s="941" t="s">
        <v>1385</v>
      </c>
      <c r="M169" s="941" t="s">
        <v>1929</v>
      </c>
      <c r="N169" s="941" t="s">
        <v>579</v>
      </c>
      <c r="O169" s="941" t="s">
        <v>1538</v>
      </c>
      <c r="P169" s="941" t="s">
        <v>1314</v>
      </c>
      <c r="Q169" s="941" t="s">
        <v>1315</v>
      </c>
      <c r="R169" s="941" t="s">
        <v>2415</v>
      </c>
      <c r="S169" s="941" t="s">
        <v>2489</v>
      </c>
      <c r="T169" s="941" t="s">
        <v>2564</v>
      </c>
      <c r="U169" s="941" t="s">
        <v>1317</v>
      </c>
      <c r="V169" s="943" t="e">
        <f t="shared" si="109"/>
        <v>#VALUE!</v>
      </c>
      <c r="X169" s="936" t="e">
        <f t="shared" si="111"/>
        <v>#VALUE!</v>
      </c>
      <c r="Y169" s="936" t="e">
        <f t="shared" si="110"/>
        <v>#VALUE!</v>
      </c>
    </row>
    <row r="170" spans="1:47" s="945" customFormat="1" ht="15.75">
      <c r="B170" s="946" t="s">
        <v>2152</v>
      </c>
      <c r="C170" s="947">
        <f t="shared" si="107"/>
        <v>0</v>
      </c>
      <c r="D170" s="947">
        <v>0</v>
      </c>
      <c r="E170" s="947">
        <v>0</v>
      </c>
      <c r="F170" s="947">
        <v>0</v>
      </c>
      <c r="G170" s="947">
        <f t="shared" si="108"/>
        <v>0</v>
      </c>
      <c r="H170" s="948">
        <v>0</v>
      </c>
      <c r="I170" s="947">
        <v>0</v>
      </c>
      <c r="J170" s="947">
        <v>0</v>
      </c>
      <c r="K170" s="947"/>
      <c r="L170" s="947">
        <v>0</v>
      </c>
      <c r="M170" s="947">
        <v>0</v>
      </c>
      <c r="N170" s="947">
        <v>0</v>
      </c>
      <c r="O170" s="947">
        <v>0</v>
      </c>
      <c r="P170" s="947">
        <v>0</v>
      </c>
      <c r="Q170" s="947">
        <v>0</v>
      </c>
      <c r="R170" s="947">
        <v>0</v>
      </c>
      <c r="S170" s="947">
        <v>0</v>
      </c>
      <c r="T170" s="947">
        <v>0</v>
      </c>
      <c r="U170" s="947">
        <v>0</v>
      </c>
      <c r="V170" s="943">
        <f t="shared" si="109"/>
        <v>0</v>
      </c>
      <c r="X170" s="949">
        <f t="shared" si="111"/>
        <v>0</v>
      </c>
      <c r="Y170" s="949">
        <f t="shared" si="110"/>
        <v>0</v>
      </c>
    </row>
    <row r="171" spans="1:47" s="937" customFormat="1">
      <c r="B171" s="940" t="s">
        <v>1706</v>
      </c>
      <c r="C171" s="941" t="e">
        <f t="shared" si="107"/>
        <v>#VALUE!</v>
      </c>
      <c r="D171" s="936" t="e">
        <f>D169-D170</f>
        <v>#VALUE!</v>
      </c>
      <c r="E171" s="936" t="e">
        <f>E169-E170</f>
        <v>#VALUE!</v>
      </c>
      <c r="F171" s="936" t="e">
        <f>F169-F170</f>
        <v>#VALUE!</v>
      </c>
      <c r="G171" s="941" t="e">
        <f t="shared" si="108"/>
        <v>#VALUE!</v>
      </c>
      <c r="H171" s="937" t="e">
        <f>IF(C171=0,0,(C169*H169-C170*H170)/C171)</f>
        <v>#VALUE!</v>
      </c>
      <c r="I171" s="936" t="e">
        <f t="shared" ref="I171:U171" si="114">I169-I170</f>
        <v>#VALUE!</v>
      </c>
      <c r="J171" s="936" t="e">
        <f>J169-J170</f>
        <v>#VALUE!</v>
      </c>
      <c r="K171" s="936"/>
      <c r="L171" s="936" t="e">
        <f t="shared" si="114"/>
        <v>#VALUE!</v>
      </c>
      <c r="M171" s="936" t="e">
        <f t="shared" si="114"/>
        <v>#VALUE!</v>
      </c>
      <c r="N171" s="936" t="e">
        <f t="shared" si="114"/>
        <v>#VALUE!</v>
      </c>
      <c r="O171" s="936" t="e">
        <f t="shared" si="114"/>
        <v>#VALUE!</v>
      </c>
      <c r="P171" s="936" t="e">
        <f t="shared" si="114"/>
        <v>#VALUE!</v>
      </c>
      <c r="Q171" s="936" t="e">
        <f t="shared" si="114"/>
        <v>#VALUE!</v>
      </c>
      <c r="R171" s="936" t="e">
        <f t="shared" si="114"/>
        <v>#VALUE!</v>
      </c>
      <c r="S171" s="936" t="e">
        <f t="shared" si="114"/>
        <v>#VALUE!</v>
      </c>
      <c r="T171" s="936" t="e">
        <f t="shared" si="114"/>
        <v>#VALUE!</v>
      </c>
      <c r="U171" s="936" t="e">
        <f t="shared" si="114"/>
        <v>#VALUE!</v>
      </c>
      <c r="V171" s="943" t="e">
        <f t="shared" si="109"/>
        <v>#VALUE!</v>
      </c>
      <c r="X171" s="936" t="e">
        <f t="shared" si="111"/>
        <v>#VALUE!</v>
      </c>
      <c r="Y171" s="936" t="e">
        <f t="shared" si="110"/>
        <v>#VALUE!</v>
      </c>
    </row>
    <row r="172" spans="1:47" s="937" customFormat="1">
      <c r="B172" s="940" t="s">
        <v>1707</v>
      </c>
      <c r="C172" s="941" t="e">
        <f t="shared" si="107"/>
        <v>#VALUE!</v>
      </c>
      <c r="D172" s="941" t="s">
        <v>905</v>
      </c>
      <c r="E172" s="941" t="s">
        <v>906</v>
      </c>
      <c r="F172" s="941" t="s">
        <v>167</v>
      </c>
      <c r="G172" s="941" t="e">
        <f t="shared" si="108"/>
        <v>#VALUE!</v>
      </c>
      <c r="H172" s="942" t="s">
        <v>414</v>
      </c>
      <c r="I172" s="941" t="s">
        <v>168</v>
      </c>
      <c r="J172" s="941" t="s">
        <v>2116</v>
      </c>
      <c r="K172" s="941"/>
      <c r="L172" s="941" t="s">
        <v>169</v>
      </c>
      <c r="M172" s="941" t="s">
        <v>1220</v>
      </c>
      <c r="N172" s="941" t="s">
        <v>1221</v>
      </c>
      <c r="O172" s="941" t="s">
        <v>1222</v>
      </c>
      <c r="P172" s="941" t="s">
        <v>1223</v>
      </c>
      <c r="Q172" s="941" t="s">
        <v>1224</v>
      </c>
      <c r="R172" s="941" t="s">
        <v>2416</v>
      </c>
      <c r="S172" s="941" t="s">
        <v>2490</v>
      </c>
      <c r="T172" s="941" t="s">
        <v>2565</v>
      </c>
      <c r="U172" s="941" t="s">
        <v>2117</v>
      </c>
      <c r="V172" s="943" t="e">
        <f t="shared" si="109"/>
        <v>#VALUE!</v>
      </c>
      <c r="X172" s="936" t="e">
        <f t="shared" si="111"/>
        <v>#VALUE!</v>
      </c>
      <c r="Y172" s="936" t="e">
        <f t="shared" si="110"/>
        <v>#VALUE!</v>
      </c>
    </row>
    <row r="173" spans="1:47" s="937" customFormat="1">
      <c r="B173" s="940" t="s">
        <v>1708</v>
      </c>
      <c r="C173" s="941">
        <f t="shared" si="107"/>
        <v>0</v>
      </c>
      <c r="D173" s="941">
        <v>0</v>
      </c>
      <c r="E173" s="941">
        <v>0</v>
      </c>
      <c r="F173" s="941">
        <v>0</v>
      </c>
      <c r="G173" s="941">
        <f t="shared" si="108"/>
        <v>0</v>
      </c>
      <c r="H173" s="942">
        <v>0</v>
      </c>
      <c r="I173" s="941">
        <v>0</v>
      </c>
      <c r="J173" s="941">
        <v>0</v>
      </c>
      <c r="K173" s="941"/>
      <c r="L173" s="941">
        <v>0</v>
      </c>
      <c r="M173" s="941">
        <v>0</v>
      </c>
      <c r="N173" s="941">
        <v>0</v>
      </c>
      <c r="O173" s="941">
        <v>0</v>
      </c>
      <c r="P173" s="941">
        <v>0</v>
      </c>
      <c r="Q173" s="941">
        <v>0</v>
      </c>
      <c r="R173" s="941">
        <v>0</v>
      </c>
      <c r="S173" s="941">
        <v>0</v>
      </c>
      <c r="T173" s="941">
        <v>0</v>
      </c>
      <c r="U173" s="941">
        <v>0</v>
      </c>
      <c r="V173" s="943">
        <f t="shared" si="109"/>
        <v>0</v>
      </c>
      <c r="X173" s="936">
        <f t="shared" si="111"/>
        <v>0</v>
      </c>
      <c r="Y173" s="936">
        <f t="shared" si="110"/>
        <v>0</v>
      </c>
    </row>
    <row r="174" spans="1:47" s="937" customFormat="1">
      <c r="B174" s="940" t="s">
        <v>2215</v>
      </c>
      <c r="C174" s="941" t="e">
        <f t="shared" si="107"/>
        <v>#VALUE!</v>
      </c>
      <c r="D174" s="936" t="e">
        <f>D172-D173</f>
        <v>#VALUE!</v>
      </c>
      <c r="E174" s="936" t="e">
        <f>E172-E173</f>
        <v>#VALUE!</v>
      </c>
      <c r="F174" s="936" t="e">
        <f>F172-F173</f>
        <v>#VALUE!</v>
      </c>
      <c r="G174" s="941" t="e">
        <f t="shared" si="108"/>
        <v>#VALUE!</v>
      </c>
      <c r="H174" s="937" t="e">
        <f>IF(C174=0,0,(C172*H172-C173*H173)/C174)</f>
        <v>#VALUE!</v>
      </c>
      <c r="I174" s="936" t="e">
        <f t="shared" ref="I174:U174" si="115">I172-I173</f>
        <v>#VALUE!</v>
      </c>
      <c r="J174" s="936" t="e">
        <f>J172-J173</f>
        <v>#VALUE!</v>
      </c>
      <c r="K174" s="936"/>
      <c r="L174" s="936" t="e">
        <f t="shared" si="115"/>
        <v>#VALUE!</v>
      </c>
      <c r="M174" s="936" t="e">
        <f t="shared" si="115"/>
        <v>#VALUE!</v>
      </c>
      <c r="N174" s="936" t="e">
        <f t="shared" si="115"/>
        <v>#VALUE!</v>
      </c>
      <c r="O174" s="936" t="e">
        <f t="shared" si="115"/>
        <v>#VALUE!</v>
      </c>
      <c r="P174" s="936" t="e">
        <f t="shared" si="115"/>
        <v>#VALUE!</v>
      </c>
      <c r="Q174" s="936" t="e">
        <f t="shared" si="115"/>
        <v>#VALUE!</v>
      </c>
      <c r="R174" s="936" t="e">
        <f t="shared" si="115"/>
        <v>#VALUE!</v>
      </c>
      <c r="S174" s="936" t="e">
        <f t="shared" si="115"/>
        <v>#VALUE!</v>
      </c>
      <c r="T174" s="936" t="e">
        <f t="shared" si="115"/>
        <v>#VALUE!</v>
      </c>
      <c r="U174" s="936" t="e">
        <f t="shared" si="115"/>
        <v>#VALUE!</v>
      </c>
      <c r="V174" s="943" t="e">
        <f t="shared" si="109"/>
        <v>#VALUE!</v>
      </c>
      <c r="X174" s="936" t="e">
        <f t="shared" si="111"/>
        <v>#VALUE!</v>
      </c>
      <c r="Y174" s="936" t="e">
        <f t="shared" si="110"/>
        <v>#VALUE!</v>
      </c>
    </row>
    <row r="175" spans="1:47" s="937" customFormat="1">
      <c r="B175" s="940" t="s">
        <v>703</v>
      </c>
      <c r="C175" s="941" t="e">
        <f t="shared" si="107"/>
        <v>#VALUE!</v>
      </c>
      <c r="D175" s="941" t="s">
        <v>1296</v>
      </c>
      <c r="V175" s="943" t="e">
        <f t="shared" si="109"/>
        <v>#VALUE!</v>
      </c>
    </row>
    <row r="176" spans="1:47" s="937" customFormat="1">
      <c r="B176" s="940" t="s">
        <v>2216</v>
      </c>
      <c r="C176" s="941" t="e">
        <f t="shared" si="107"/>
        <v>#VALUE!</v>
      </c>
      <c r="D176" s="941" t="s">
        <v>1255</v>
      </c>
      <c r="E176" s="941" t="s">
        <v>486</v>
      </c>
      <c r="F176" s="941" t="s">
        <v>1162</v>
      </c>
      <c r="G176" s="941" t="e">
        <f t="shared" ref="G176:G190" si="116">E176+F176</f>
        <v>#VALUE!</v>
      </c>
      <c r="H176" s="942" t="s">
        <v>415</v>
      </c>
      <c r="I176" s="941" t="s">
        <v>1695</v>
      </c>
      <c r="J176" s="941" t="s">
        <v>1545</v>
      </c>
      <c r="K176" s="941"/>
      <c r="L176" s="941" t="s">
        <v>1696</v>
      </c>
      <c r="M176" s="941" t="s">
        <v>1697</v>
      </c>
      <c r="N176" s="941" t="s">
        <v>581</v>
      </c>
      <c r="O176" s="941" t="s">
        <v>1698</v>
      </c>
      <c r="P176" s="941" t="s">
        <v>714</v>
      </c>
      <c r="Q176" s="941" t="s">
        <v>1904</v>
      </c>
      <c r="R176" s="941" t="s">
        <v>2417</v>
      </c>
      <c r="S176" s="941" t="s">
        <v>2491</v>
      </c>
      <c r="T176" s="941" t="s">
        <v>2566</v>
      </c>
      <c r="U176" s="941" t="s">
        <v>1546</v>
      </c>
      <c r="V176" s="943" t="e">
        <f t="shared" si="109"/>
        <v>#VALUE!</v>
      </c>
      <c r="X176" s="936" t="e">
        <f t="shared" ref="X176:X190" si="117">SUM(I176:V176)</f>
        <v>#VALUE!</v>
      </c>
      <c r="Y176" s="936" t="e">
        <f t="shared" ref="Y176:Y190" si="118">C176-X176</f>
        <v>#VALUE!</v>
      </c>
    </row>
    <row r="177" spans="2:25" s="937" customFormat="1">
      <c r="B177" s="940" t="s">
        <v>2217</v>
      </c>
      <c r="C177" s="941">
        <f t="shared" si="107"/>
        <v>0</v>
      </c>
      <c r="D177" s="941">
        <v>0</v>
      </c>
      <c r="E177" s="941">
        <v>0</v>
      </c>
      <c r="F177" s="941">
        <v>0</v>
      </c>
      <c r="G177" s="941">
        <f t="shared" si="116"/>
        <v>0</v>
      </c>
      <c r="H177" s="942">
        <v>0</v>
      </c>
      <c r="I177" s="941">
        <v>0</v>
      </c>
      <c r="J177" s="941">
        <v>0</v>
      </c>
      <c r="K177" s="941"/>
      <c r="L177" s="941">
        <v>0</v>
      </c>
      <c r="M177" s="941">
        <v>0</v>
      </c>
      <c r="N177" s="941">
        <v>0</v>
      </c>
      <c r="O177" s="941">
        <v>0</v>
      </c>
      <c r="P177" s="941">
        <v>0</v>
      </c>
      <c r="Q177" s="941">
        <v>0</v>
      </c>
      <c r="R177" s="941">
        <v>0</v>
      </c>
      <c r="S177" s="941">
        <v>0</v>
      </c>
      <c r="T177" s="941">
        <v>0</v>
      </c>
      <c r="U177" s="941">
        <v>0</v>
      </c>
      <c r="V177" s="943">
        <f t="shared" si="109"/>
        <v>0</v>
      </c>
      <c r="X177" s="936">
        <f t="shared" si="117"/>
        <v>0</v>
      </c>
      <c r="Y177" s="936">
        <f t="shared" si="118"/>
        <v>0</v>
      </c>
    </row>
    <row r="178" spans="2:25" s="937" customFormat="1">
      <c r="B178" s="940" t="s">
        <v>2218</v>
      </c>
      <c r="C178" s="941" t="e">
        <f t="shared" si="107"/>
        <v>#VALUE!</v>
      </c>
      <c r="D178" s="936" t="e">
        <f>D176-D177</f>
        <v>#VALUE!</v>
      </c>
      <c r="E178" s="936" t="e">
        <f>E176-E177</f>
        <v>#VALUE!</v>
      </c>
      <c r="F178" s="936" t="e">
        <f>F176-F177</f>
        <v>#VALUE!</v>
      </c>
      <c r="G178" s="941" t="e">
        <f t="shared" si="116"/>
        <v>#VALUE!</v>
      </c>
      <c r="H178" s="937" t="e">
        <f>IF(C178=0,0,(C176*H176-C177*H177)/C178)</f>
        <v>#VALUE!</v>
      </c>
      <c r="I178" s="936" t="e">
        <f t="shared" ref="I178:U178" si="119">I176-I177</f>
        <v>#VALUE!</v>
      </c>
      <c r="J178" s="936" t="e">
        <f>J176-J177</f>
        <v>#VALUE!</v>
      </c>
      <c r="K178" s="936"/>
      <c r="L178" s="936" t="e">
        <f t="shared" si="119"/>
        <v>#VALUE!</v>
      </c>
      <c r="M178" s="936" t="e">
        <f t="shared" si="119"/>
        <v>#VALUE!</v>
      </c>
      <c r="N178" s="936" t="e">
        <f t="shared" si="119"/>
        <v>#VALUE!</v>
      </c>
      <c r="O178" s="936" t="e">
        <f t="shared" si="119"/>
        <v>#VALUE!</v>
      </c>
      <c r="P178" s="936" t="e">
        <f t="shared" si="119"/>
        <v>#VALUE!</v>
      </c>
      <c r="Q178" s="936" t="e">
        <f t="shared" si="119"/>
        <v>#VALUE!</v>
      </c>
      <c r="R178" s="936" t="e">
        <f t="shared" si="119"/>
        <v>#VALUE!</v>
      </c>
      <c r="S178" s="936" t="e">
        <f t="shared" si="119"/>
        <v>#VALUE!</v>
      </c>
      <c r="T178" s="936" t="e">
        <f t="shared" si="119"/>
        <v>#VALUE!</v>
      </c>
      <c r="U178" s="936" t="e">
        <f t="shared" si="119"/>
        <v>#VALUE!</v>
      </c>
      <c r="V178" s="943" t="e">
        <f t="shared" si="109"/>
        <v>#VALUE!</v>
      </c>
      <c r="X178" s="936" t="e">
        <f t="shared" si="117"/>
        <v>#VALUE!</v>
      </c>
      <c r="Y178" s="936" t="e">
        <f t="shared" si="118"/>
        <v>#VALUE!</v>
      </c>
    </row>
    <row r="179" spans="2:25" s="937" customFormat="1">
      <c r="B179" s="940" t="s">
        <v>2219</v>
      </c>
      <c r="C179" s="941" t="e">
        <f t="shared" si="107"/>
        <v>#VALUE!</v>
      </c>
      <c r="D179" s="941" t="s">
        <v>1882</v>
      </c>
      <c r="E179" s="941" t="s">
        <v>485</v>
      </c>
      <c r="F179" s="941" t="s">
        <v>1161</v>
      </c>
      <c r="G179" s="941" t="e">
        <f t="shared" si="116"/>
        <v>#VALUE!</v>
      </c>
      <c r="H179" s="942" t="s">
        <v>338</v>
      </c>
      <c r="I179" s="941" t="s">
        <v>2166</v>
      </c>
      <c r="J179" s="941" t="s">
        <v>1415</v>
      </c>
      <c r="K179" s="941"/>
      <c r="L179" s="941" t="s">
        <v>2167</v>
      </c>
      <c r="M179" s="941" t="s">
        <v>2168</v>
      </c>
      <c r="N179" s="941" t="s">
        <v>580</v>
      </c>
      <c r="O179" s="941" t="s">
        <v>2169</v>
      </c>
      <c r="P179" s="941" t="s">
        <v>2170</v>
      </c>
      <c r="Q179" s="941" t="s">
        <v>2171</v>
      </c>
      <c r="R179" s="941" t="s">
        <v>2418</v>
      </c>
      <c r="S179" s="941" t="s">
        <v>2492</v>
      </c>
      <c r="T179" s="941" t="s">
        <v>2567</v>
      </c>
      <c r="U179" s="941" t="s">
        <v>1416</v>
      </c>
      <c r="V179" s="943" t="e">
        <f t="shared" si="109"/>
        <v>#VALUE!</v>
      </c>
      <c r="X179" s="936" t="e">
        <f t="shared" si="117"/>
        <v>#VALUE!</v>
      </c>
      <c r="Y179" s="936" t="e">
        <f t="shared" si="118"/>
        <v>#VALUE!</v>
      </c>
    </row>
    <row r="180" spans="2:25" s="937" customFormat="1">
      <c r="B180" s="940" t="s">
        <v>2220</v>
      </c>
      <c r="C180" s="941">
        <f t="shared" si="107"/>
        <v>0</v>
      </c>
      <c r="D180" s="941">
        <v>0</v>
      </c>
      <c r="E180" s="941">
        <v>0</v>
      </c>
      <c r="F180" s="941">
        <v>0</v>
      </c>
      <c r="G180" s="941">
        <f t="shared" si="116"/>
        <v>0</v>
      </c>
      <c r="H180" s="942">
        <v>0</v>
      </c>
      <c r="I180" s="941">
        <v>0</v>
      </c>
      <c r="J180" s="941">
        <v>0</v>
      </c>
      <c r="K180" s="941"/>
      <c r="L180" s="941">
        <v>0</v>
      </c>
      <c r="M180" s="941">
        <v>0</v>
      </c>
      <c r="N180" s="941">
        <v>0</v>
      </c>
      <c r="O180" s="941">
        <v>0</v>
      </c>
      <c r="P180" s="941">
        <v>0</v>
      </c>
      <c r="Q180" s="941">
        <v>0</v>
      </c>
      <c r="R180" s="941">
        <v>0</v>
      </c>
      <c r="S180" s="941">
        <v>0</v>
      </c>
      <c r="T180" s="941">
        <v>0</v>
      </c>
      <c r="U180" s="941">
        <v>0</v>
      </c>
      <c r="V180" s="943">
        <f t="shared" si="109"/>
        <v>0</v>
      </c>
      <c r="X180" s="936">
        <f t="shared" si="117"/>
        <v>0</v>
      </c>
      <c r="Y180" s="936">
        <f t="shared" si="118"/>
        <v>0</v>
      </c>
    </row>
    <row r="181" spans="2:25" s="937" customFormat="1">
      <c r="B181" s="940" t="s">
        <v>1467</v>
      </c>
      <c r="C181" s="941" t="e">
        <f t="shared" si="107"/>
        <v>#VALUE!</v>
      </c>
      <c r="D181" s="936" t="e">
        <f>D179-D180</f>
        <v>#VALUE!</v>
      </c>
      <c r="E181" s="936" t="e">
        <f>E179-E180</f>
        <v>#VALUE!</v>
      </c>
      <c r="F181" s="936" t="e">
        <f>F179-F180</f>
        <v>#VALUE!</v>
      </c>
      <c r="G181" s="941" t="e">
        <f t="shared" si="116"/>
        <v>#VALUE!</v>
      </c>
      <c r="H181" s="937" t="e">
        <f>IF(C181=0,0,(C179*H179-C180*H180)/C181)</f>
        <v>#VALUE!</v>
      </c>
      <c r="I181" s="936" t="e">
        <f t="shared" ref="I181:U181" si="120">I179-I180</f>
        <v>#VALUE!</v>
      </c>
      <c r="J181" s="936" t="e">
        <f>J179-J180</f>
        <v>#VALUE!</v>
      </c>
      <c r="K181" s="936"/>
      <c r="L181" s="936" t="e">
        <f t="shared" si="120"/>
        <v>#VALUE!</v>
      </c>
      <c r="M181" s="936" t="e">
        <f t="shared" si="120"/>
        <v>#VALUE!</v>
      </c>
      <c r="N181" s="936" t="e">
        <f t="shared" si="120"/>
        <v>#VALUE!</v>
      </c>
      <c r="O181" s="936" t="e">
        <f t="shared" si="120"/>
        <v>#VALUE!</v>
      </c>
      <c r="P181" s="936" t="e">
        <f t="shared" si="120"/>
        <v>#VALUE!</v>
      </c>
      <c r="Q181" s="936" t="e">
        <f t="shared" si="120"/>
        <v>#VALUE!</v>
      </c>
      <c r="R181" s="936" t="e">
        <f t="shared" si="120"/>
        <v>#VALUE!</v>
      </c>
      <c r="S181" s="936" t="e">
        <f t="shared" si="120"/>
        <v>#VALUE!</v>
      </c>
      <c r="T181" s="936" t="e">
        <f t="shared" si="120"/>
        <v>#VALUE!</v>
      </c>
      <c r="U181" s="936" t="e">
        <f t="shared" si="120"/>
        <v>#VALUE!</v>
      </c>
      <c r="V181" s="943" t="e">
        <f t="shared" si="109"/>
        <v>#VALUE!</v>
      </c>
      <c r="X181" s="936" t="e">
        <f t="shared" si="117"/>
        <v>#VALUE!</v>
      </c>
      <c r="Y181" s="936" t="e">
        <f t="shared" si="118"/>
        <v>#VALUE!</v>
      </c>
    </row>
    <row r="182" spans="2:25" s="937" customFormat="1">
      <c r="B182" s="940" t="s">
        <v>1468</v>
      </c>
      <c r="C182" s="941" t="e">
        <f t="shared" si="107"/>
        <v>#VALUE!</v>
      </c>
      <c r="D182" s="941" t="s">
        <v>1880</v>
      </c>
      <c r="E182" s="941" t="s">
        <v>483</v>
      </c>
      <c r="F182" s="941" t="s">
        <v>2036</v>
      </c>
      <c r="G182" s="941" t="e">
        <f t="shared" si="116"/>
        <v>#VALUE!</v>
      </c>
      <c r="H182" s="942" t="s">
        <v>903</v>
      </c>
      <c r="I182" s="941" t="s">
        <v>1918</v>
      </c>
      <c r="J182" s="941" t="s">
        <v>294</v>
      </c>
      <c r="K182" s="941"/>
      <c r="L182" s="941" t="s">
        <v>85</v>
      </c>
      <c r="M182" s="941" t="s">
        <v>86</v>
      </c>
      <c r="N182" s="941" t="s">
        <v>578</v>
      </c>
      <c r="O182" s="941" t="s">
        <v>87</v>
      </c>
      <c r="P182" s="941" t="s">
        <v>292</v>
      </c>
      <c r="Q182" s="941" t="s">
        <v>293</v>
      </c>
      <c r="R182" s="941" t="s">
        <v>2419</v>
      </c>
      <c r="S182" s="941" t="s">
        <v>2493</v>
      </c>
      <c r="T182" s="941" t="s">
        <v>2568</v>
      </c>
      <c r="U182" s="941" t="s">
        <v>527</v>
      </c>
      <c r="V182" s="943" t="e">
        <f t="shared" si="109"/>
        <v>#VALUE!</v>
      </c>
      <c r="X182" s="936" t="e">
        <f t="shared" si="117"/>
        <v>#VALUE!</v>
      </c>
      <c r="Y182" s="936" t="e">
        <f t="shared" si="118"/>
        <v>#VALUE!</v>
      </c>
    </row>
    <row r="183" spans="2:25" s="937" customFormat="1">
      <c r="B183" s="940" t="s">
        <v>1469</v>
      </c>
      <c r="C183" s="941">
        <f t="shared" si="107"/>
        <v>0</v>
      </c>
      <c r="D183" s="941">
        <v>0</v>
      </c>
      <c r="E183" s="941">
        <v>0</v>
      </c>
      <c r="F183" s="941">
        <v>0</v>
      </c>
      <c r="G183" s="941">
        <f t="shared" si="116"/>
        <v>0</v>
      </c>
      <c r="H183" s="942">
        <v>0</v>
      </c>
      <c r="I183" s="941">
        <v>0</v>
      </c>
      <c r="J183" s="941">
        <v>0</v>
      </c>
      <c r="K183" s="941"/>
      <c r="L183" s="941">
        <v>0</v>
      </c>
      <c r="M183" s="941">
        <v>0</v>
      </c>
      <c r="N183" s="941">
        <v>0</v>
      </c>
      <c r="O183" s="941">
        <v>0</v>
      </c>
      <c r="P183" s="941">
        <v>0</v>
      </c>
      <c r="Q183" s="941">
        <v>0</v>
      </c>
      <c r="R183" s="941">
        <v>0</v>
      </c>
      <c r="S183" s="941">
        <v>0</v>
      </c>
      <c r="T183" s="941">
        <v>0</v>
      </c>
      <c r="U183" s="941">
        <v>0</v>
      </c>
      <c r="V183" s="943">
        <f t="shared" si="109"/>
        <v>0</v>
      </c>
      <c r="X183" s="936">
        <f t="shared" si="117"/>
        <v>0</v>
      </c>
      <c r="Y183" s="936">
        <f t="shared" si="118"/>
        <v>0</v>
      </c>
    </row>
    <row r="184" spans="2:25" s="937" customFormat="1">
      <c r="B184" s="940" t="s">
        <v>1924</v>
      </c>
      <c r="C184" s="941" t="e">
        <f t="shared" si="107"/>
        <v>#VALUE!</v>
      </c>
      <c r="D184" s="936" t="e">
        <f>D182-D183</f>
        <v>#VALUE!</v>
      </c>
      <c r="E184" s="936" t="e">
        <f>E182-E183</f>
        <v>#VALUE!</v>
      </c>
      <c r="F184" s="936" t="e">
        <f>F182-F183</f>
        <v>#VALUE!</v>
      </c>
      <c r="G184" s="941" t="e">
        <f t="shared" si="116"/>
        <v>#VALUE!</v>
      </c>
      <c r="H184" s="937" t="e">
        <f>IF(C184=0,0,(C182*H182-C183*H183)/C184)</f>
        <v>#VALUE!</v>
      </c>
      <c r="I184" s="936" t="e">
        <f t="shared" ref="I184:U184" si="121">I182-I183</f>
        <v>#VALUE!</v>
      </c>
      <c r="J184" s="936" t="e">
        <f>J182-J183</f>
        <v>#VALUE!</v>
      </c>
      <c r="K184" s="936"/>
      <c r="L184" s="936" t="e">
        <f t="shared" si="121"/>
        <v>#VALUE!</v>
      </c>
      <c r="M184" s="936" t="e">
        <f t="shared" si="121"/>
        <v>#VALUE!</v>
      </c>
      <c r="N184" s="936" t="e">
        <f t="shared" si="121"/>
        <v>#VALUE!</v>
      </c>
      <c r="O184" s="936" t="e">
        <f t="shared" si="121"/>
        <v>#VALUE!</v>
      </c>
      <c r="P184" s="936" t="e">
        <f t="shared" si="121"/>
        <v>#VALUE!</v>
      </c>
      <c r="Q184" s="936" t="e">
        <f t="shared" si="121"/>
        <v>#VALUE!</v>
      </c>
      <c r="R184" s="936" t="e">
        <f t="shared" si="121"/>
        <v>#VALUE!</v>
      </c>
      <c r="S184" s="936" t="e">
        <f t="shared" si="121"/>
        <v>#VALUE!</v>
      </c>
      <c r="T184" s="936" t="e">
        <f t="shared" si="121"/>
        <v>#VALUE!</v>
      </c>
      <c r="U184" s="936" t="e">
        <f t="shared" si="121"/>
        <v>#VALUE!</v>
      </c>
      <c r="V184" s="943" t="e">
        <f t="shared" si="109"/>
        <v>#VALUE!</v>
      </c>
      <c r="X184" s="936" t="e">
        <f t="shared" si="117"/>
        <v>#VALUE!</v>
      </c>
      <c r="Y184" s="936" t="e">
        <f t="shared" si="118"/>
        <v>#VALUE!</v>
      </c>
    </row>
    <row r="185" spans="2:25" s="937" customFormat="1">
      <c r="B185" s="940" t="s">
        <v>925</v>
      </c>
      <c r="C185" s="941" t="e">
        <f t="shared" si="107"/>
        <v>#VALUE!</v>
      </c>
      <c r="D185" s="941" t="s">
        <v>2200</v>
      </c>
      <c r="E185" s="941" t="s">
        <v>139</v>
      </c>
      <c r="F185" s="941" t="s">
        <v>1154</v>
      </c>
      <c r="G185" s="941" t="e">
        <f t="shared" si="116"/>
        <v>#VALUE!</v>
      </c>
      <c r="H185" s="942" t="s">
        <v>438</v>
      </c>
      <c r="I185" s="941" t="s">
        <v>1368</v>
      </c>
      <c r="J185" s="941" t="s">
        <v>2156</v>
      </c>
      <c r="K185" s="941"/>
      <c r="L185" s="941" t="s">
        <v>1369</v>
      </c>
      <c r="M185" s="941" t="s">
        <v>1370</v>
      </c>
      <c r="N185" s="941" t="s">
        <v>573</v>
      </c>
      <c r="O185" s="941" t="s">
        <v>2153</v>
      </c>
      <c r="P185" s="941" t="s">
        <v>2154</v>
      </c>
      <c r="Q185" s="941" t="s">
        <v>2155</v>
      </c>
      <c r="R185" s="941" t="s">
        <v>2420</v>
      </c>
      <c r="S185" s="941" t="s">
        <v>2494</v>
      </c>
      <c r="T185" s="941" t="s">
        <v>2569</v>
      </c>
      <c r="U185" s="941" t="s">
        <v>2157</v>
      </c>
      <c r="V185" s="943" t="e">
        <f t="shared" si="109"/>
        <v>#VALUE!</v>
      </c>
      <c r="X185" s="936" t="e">
        <f t="shared" si="117"/>
        <v>#VALUE!</v>
      </c>
      <c r="Y185" s="936" t="e">
        <f t="shared" si="118"/>
        <v>#VALUE!</v>
      </c>
    </row>
    <row r="186" spans="2:25" s="937" customFormat="1">
      <c r="B186" s="940" t="s">
        <v>925</v>
      </c>
      <c r="C186" s="941">
        <f t="shared" si="107"/>
        <v>0</v>
      </c>
      <c r="D186" s="941">
        <v>0</v>
      </c>
      <c r="E186" s="941">
        <v>0</v>
      </c>
      <c r="F186" s="941">
        <v>0</v>
      </c>
      <c r="G186" s="941">
        <f t="shared" si="116"/>
        <v>0</v>
      </c>
      <c r="H186" s="942">
        <v>0</v>
      </c>
      <c r="I186" s="941">
        <v>0</v>
      </c>
      <c r="J186" s="941">
        <v>0</v>
      </c>
      <c r="K186" s="941"/>
      <c r="L186" s="941">
        <v>0</v>
      </c>
      <c r="M186" s="941">
        <v>0</v>
      </c>
      <c r="N186" s="941">
        <v>0</v>
      </c>
      <c r="O186" s="941">
        <v>0</v>
      </c>
      <c r="P186" s="941">
        <v>0</v>
      </c>
      <c r="Q186" s="941">
        <v>0</v>
      </c>
      <c r="R186" s="941">
        <v>0</v>
      </c>
      <c r="S186" s="941">
        <v>0</v>
      </c>
      <c r="T186" s="941">
        <v>0</v>
      </c>
      <c r="U186" s="941">
        <v>0</v>
      </c>
      <c r="V186" s="943">
        <f t="shared" si="109"/>
        <v>0</v>
      </c>
      <c r="X186" s="936">
        <f t="shared" si="117"/>
        <v>0</v>
      </c>
      <c r="Y186" s="936">
        <f t="shared" si="118"/>
        <v>0</v>
      </c>
    </row>
    <row r="187" spans="2:25" s="937" customFormat="1">
      <c r="B187" s="940" t="s">
        <v>925</v>
      </c>
      <c r="C187" s="941" t="e">
        <f t="shared" si="107"/>
        <v>#VALUE!</v>
      </c>
      <c r="D187" s="936" t="e">
        <f>D185-D186</f>
        <v>#VALUE!</v>
      </c>
      <c r="E187" s="936" t="e">
        <f>E185-E186</f>
        <v>#VALUE!</v>
      </c>
      <c r="F187" s="936" t="e">
        <f>F185-F186</f>
        <v>#VALUE!</v>
      </c>
      <c r="G187" s="941" t="e">
        <f t="shared" si="116"/>
        <v>#VALUE!</v>
      </c>
      <c r="H187" s="937" t="e">
        <f>IF(C187=0,0,(C185*H185-C186*H186)/C187)</f>
        <v>#VALUE!</v>
      </c>
      <c r="I187" s="936" t="e">
        <f t="shared" ref="I187:U187" si="122">I185-I186</f>
        <v>#VALUE!</v>
      </c>
      <c r="J187" s="936" t="e">
        <f>J185-J186</f>
        <v>#VALUE!</v>
      </c>
      <c r="K187" s="936"/>
      <c r="L187" s="936" t="e">
        <f t="shared" si="122"/>
        <v>#VALUE!</v>
      </c>
      <c r="M187" s="936" t="e">
        <f t="shared" si="122"/>
        <v>#VALUE!</v>
      </c>
      <c r="N187" s="936" t="e">
        <f t="shared" si="122"/>
        <v>#VALUE!</v>
      </c>
      <c r="O187" s="936" t="e">
        <f t="shared" si="122"/>
        <v>#VALUE!</v>
      </c>
      <c r="P187" s="936" t="e">
        <f t="shared" si="122"/>
        <v>#VALUE!</v>
      </c>
      <c r="Q187" s="936" t="e">
        <f t="shared" si="122"/>
        <v>#VALUE!</v>
      </c>
      <c r="R187" s="936" t="e">
        <f t="shared" si="122"/>
        <v>#VALUE!</v>
      </c>
      <c r="S187" s="936" t="e">
        <f t="shared" si="122"/>
        <v>#VALUE!</v>
      </c>
      <c r="T187" s="936" t="e">
        <f t="shared" si="122"/>
        <v>#VALUE!</v>
      </c>
      <c r="U187" s="936" t="e">
        <f t="shared" si="122"/>
        <v>#VALUE!</v>
      </c>
      <c r="V187" s="943" t="e">
        <f t="shared" si="109"/>
        <v>#VALUE!</v>
      </c>
      <c r="X187" s="936" t="e">
        <f t="shared" si="117"/>
        <v>#VALUE!</v>
      </c>
      <c r="Y187" s="936" t="e">
        <f t="shared" si="118"/>
        <v>#VALUE!</v>
      </c>
    </row>
    <row r="188" spans="2:25" s="937" customFormat="1">
      <c r="B188" s="940" t="s">
        <v>1925</v>
      </c>
      <c r="C188" s="941" t="e">
        <f t="shared" si="107"/>
        <v>#VALUE!</v>
      </c>
      <c r="D188" s="941" t="s">
        <v>2202</v>
      </c>
      <c r="E188" s="941" t="s">
        <v>1994</v>
      </c>
      <c r="F188" s="941" t="s">
        <v>1156</v>
      </c>
      <c r="G188" s="941" t="e">
        <f t="shared" si="116"/>
        <v>#VALUE!</v>
      </c>
      <c r="H188" s="942" t="s">
        <v>439</v>
      </c>
      <c r="I188" s="941" t="s">
        <v>693</v>
      </c>
      <c r="J188" s="941" t="s">
        <v>1899</v>
      </c>
      <c r="K188" s="941"/>
      <c r="L188" s="941" t="s">
        <v>694</v>
      </c>
      <c r="M188" s="941" t="s">
        <v>695</v>
      </c>
      <c r="N188" s="941" t="s">
        <v>575</v>
      </c>
      <c r="O188" s="941" t="s">
        <v>696</v>
      </c>
      <c r="P188" s="941" t="s">
        <v>1897</v>
      </c>
      <c r="Q188" s="941" t="s">
        <v>1898</v>
      </c>
      <c r="R188" s="941" t="s">
        <v>2421</v>
      </c>
      <c r="S188" s="941" t="s">
        <v>2495</v>
      </c>
      <c r="T188" s="941" t="s">
        <v>2570</v>
      </c>
      <c r="U188" s="941" t="s">
        <v>1900</v>
      </c>
      <c r="V188" s="943" t="e">
        <f t="shared" si="109"/>
        <v>#VALUE!</v>
      </c>
      <c r="X188" s="936" t="e">
        <f t="shared" si="117"/>
        <v>#VALUE!</v>
      </c>
      <c r="Y188" s="936" t="e">
        <f t="shared" si="118"/>
        <v>#VALUE!</v>
      </c>
    </row>
    <row r="189" spans="2:25" s="937" customFormat="1">
      <c r="B189" s="940" t="s">
        <v>1926</v>
      </c>
      <c r="C189" s="941">
        <f t="shared" si="107"/>
        <v>0</v>
      </c>
      <c r="D189" s="941">
        <v>0</v>
      </c>
      <c r="E189" s="941">
        <v>0</v>
      </c>
      <c r="F189" s="941">
        <v>0</v>
      </c>
      <c r="G189" s="941">
        <f t="shared" si="116"/>
        <v>0</v>
      </c>
      <c r="H189" s="942">
        <v>0</v>
      </c>
      <c r="I189" s="941">
        <v>0</v>
      </c>
      <c r="J189" s="941">
        <v>0</v>
      </c>
      <c r="K189" s="941"/>
      <c r="L189" s="941">
        <v>0</v>
      </c>
      <c r="M189" s="941">
        <v>0</v>
      </c>
      <c r="N189" s="941">
        <v>0</v>
      </c>
      <c r="O189" s="941">
        <v>0</v>
      </c>
      <c r="P189" s="941">
        <v>0</v>
      </c>
      <c r="Q189" s="941">
        <v>0</v>
      </c>
      <c r="R189" s="941">
        <v>0</v>
      </c>
      <c r="S189" s="941">
        <v>0</v>
      </c>
      <c r="T189" s="941">
        <v>0</v>
      </c>
      <c r="U189" s="941">
        <v>0</v>
      </c>
      <c r="V189" s="943">
        <f t="shared" si="109"/>
        <v>0</v>
      </c>
      <c r="X189" s="936">
        <f t="shared" si="117"/>
        <v>0</v>
      </c>
      <c r="Y189" s="936">
        <f t="shared" si="118"/>
        <v>0</v>
      </c>
    </row>
    <row r="190" spans="2:25" s="937" customFormat="1">
      <c r="B190" s="940" t="s">
        <v>1927</v>
      </c>
      <c r="C190" s="941" t="e">
        <f t="shared" si="107"/>
        <v>#VALUE!</v>
      </c>
      <c r="D190" s="936" t="e">
        <f>D188-D189</f>
        <v>#VALUE!</v>
      </c>
      <c r="E190" s="936" t="e">
        <f>E188-E189</f>
        <v>#VALUE!</v>
      </c>
      <c r="F190" s="936" t="e">
        <f>F188-F189</f>
        <v>#VALUE!</v>
      </c>
      <c r="G190" s="941" t="e">
        <f t="shared" si="116"/>
        <v>#VALUE!</v>
      </c>
      <c r="H190" s="937" t="e">
        <f>IF(C190=0,0,(C188*H188-C189*H189)/C190)</f>
        <v>#VALUE!</v>
      </c>
      <c r="I190" s="936" t="e">
        <f t="shared" ref="I190:U190" si="123">I188-I189</f>
        <v>#VALUE!</v>
      </c>
      <c r="J190" s="936" t="e">
        <f>J188-J189</f>
        <v>#VALUE!</v>
      </c>
      <c r="K190" s="936"/>
      <c r="L190" s="936" t="e">
        <f t="shared" si="123"/>
        <v>#VALUE!</v>
      </c>
      <c r="M190" s="936" t="e">
        <f t="shared" si="123"/>
        <v>#VALUE!</v>
      </c>
      <c r="N190" s="936" t="e">
        <f t="shared" si="123"/>
        <v>#VALUE!</v>
      </c>
      <c r="O190" s="936" t="e">
        <f t="shared" si="123"/>
        <v>#VALUE!</v>
      </c>
      <c r="P190" s="936" t="e">
        <f t="shared" si="123"/>
        <v>#VALUE!</v>
      </c>
      <c r="Q190" s="936" t="e">
        <f t="shared" si="123"/>
        <v>#VALUE!</v>
      </c>
      <c r="R190" s="936" t="e">
        <f t="shared" si="123"/>
        <v>#VALUE!</v>
      </c>
      <c r="S190" s="936" t="e">
        <f t="shared" si="123"/>
        <v>#VALUE!</v>
      </c>
      <c r="T190" s="936" t="e">
        <f t="shared" si="123"/>
        <v>#VALUE!</v>
      </c>
      <c r="U190" s="936" t="e">
        <f t="shared" si="123"/>
        <v>#VALUE!</v>
      </c>
      <c r="V190" s="943" t="e">
        <f t="shared" si="109"/>
        <v>#VALUE!</v>
      </c>
      <c r="X190" s="936" t="e">
        <f t="shared" si="117"/>
        <v>#VALUE!</v>
      </c>
      <c r="Y190" s="936" t="e">
        <f t="shared" si="118"/>
        <v>#VALUE!</v>
      </c>
    </row>
    <row r="191" spans="2:25" s="937" customFormat="1">
      <c r="B191" s="940" t="s">
        <v>1290</v>
      </c>
      <c r="C191" s="941">
        <f t="shared" si="107"/>
        <v>0</v>
      </c>
      <c r="D191" s="936">
        <f>D164+D167+D170+D173+D177+D180+D183+D186+D189</f>
        <v>0</v>
      </c>
      <c r="E191" s="936">
        <f>E164+E167+E170+E173+E177+E180+E183+E186+E189</f>
        <v>0</v>
      </c>
      <c r="F191" s="936">
        <f>F164+F167+F170+F173+F177+F180+F183+F186+F189</f>
        <v>0</v>
      </c>
      <c r="G191" s="936">
        <f>G164+G167+G170+G173+G177+G180+G183+G186+G189</f>
        <v>0</v>
      </c>
      <c r="H191" s="937">
        <f>IF(C191=0,0,(C164*H164+C167*H167+C170*H170+C173*H173+C177*H177+C180*H180+C183*H183+C186*H186+C189*H189)/C191)</f>
        <v>0</v>
      </c>
      <c r="I191" s="936">
        <f>I164+I167+I170+I173+I177+I180+I183+I186+I189</f>
        <v>0</v>
      </c>
      <c r="J191" s="936">
        <f>J164+J167+J170+J173+J177+J180+J183+J186+J189</f>
        <v>0</v>
      </c>
      <c r="K191" s="936"/>
      <c r="L191" s="936">
        <f t="shared" ref="L191:Y191" si="124">L164+L167+L170+L173+L177+L180+L183+L186+L189</f>
        <v>0</v>
      </c>
      <c r="M191" s="936">
        <f t="shared" si="124"/>
        <v>0</v>
      </c>
      <c r="N191" s="936">
        <f t="shared" si="124"/>
        <v>0</v>
      </c>
      <c r="O191" s="936">
        <f t="shared" si="124"/>
        <v>0</v>
      </c>
      <c r="P191" s="936">
        <f t="shared" si="124"/>
        <v>0</v>
      </c>
      <c r="Q191" s="936">
        <f t="shared" si="124"/>
        <v>0</v>
      </c>
      <c r="R191" s="936">
        <f t="shared" si="124"/>
        <v>0</v>
      </c>
      <c r="S191" s="936">
        <f t="shared" si="124"/>
        <v>0</v>
      </c>
      <c r="T191" s="936">
        <f t="shared" si="124"/>
        <v>0</v>
      </c>
      <c r="U191" s="936">
        <f t="shared" si="124"/>
        <v>0</v>
      </c>
      <c r="V191" s="936">
        <f t="shared" si="124"/>
        <v>0</v>
      </c>
      <c r="W191" s="936">
        <f t="shared" si="124"/>
        <v>0</v>
      </c>
      <c r="X191" s="936">
        <f t="shared" si="124"/>
        <v>0</v>
      </c>
      <c r="Y191" s="936">
        <f t="shared" si="124"/>
        <v>0</v>
      </c>
    </row>
    <row r="192" spans="2:25" s="937" customFormat="1"/>
    <row r="193" s="937" customFormat="1"/>
    <row r="194" s="937" customFormat="1"/>
    <row r="195" s="937" customFormat="1"/>
    <row r="196" s="937" customFormat="1"/>
    <row r="197" s="937" customFormat="1"/>
    <row r="198" s="937" customFormat="1"/>
    <row r="199" s="937" customFormat="1"/>
    <row r="200" s="937" customFormat="1"/>
    <row r="201" s="937" customFormat="1"/>
    <row r="202" s="937" customFormat="1"/>
    <row r="203" s="937" customFormat="1"/>
    <row r="204" s="937" customFormat="1"/>
    <row r="205" s="937" customFormat="1"/>
    <row r="206" s="937" customFormat="1"/>
    <row r="207" s="937" customFormat="1"/>
    <row r="208" s="937" customFormat="1"/>
    <row r="209" s="937" customFormat="1"/>
    <row r="210" s="937" customFormat="1"/>
    <row r="211" s="937" customFormat="1"/>
    <row r="212" s="937" customFormat="1"/>
    <row r="213" s="937" customFormat="1"/>
    <row r="214" s="937" customFormat="1"/>
    <row r="215" s="937" customFormat="1"/>
    <row r="216" s="937" customFormat="1"/>
    <row r="217" s="937" customFormat="1"/>
    <row r="218" s="937" customFormat="1"/>
    <row r="219" s="937" customFormat="1"/>
    <row r="220" s="937" customFormat="1"/>
    <row r="221" s="937" customFormat="1"/>
    <row r="222" s="937" customFormat="1"/>
    <row r="223" s="937" customFormat="1"/>
    <row r="224" s="937" customFormat="1"/>
    <row r="225" s="937" customFormat="1"/>
    <row r="226" s="937" customFormat="1"/>
    <row r="227" s="937" customFormat="1"/>
    <row r="228" s="937" customFormat="1"/>
    <row r="229" s="937" customFormat="1"/>
    <row r="230" s="937" customFormat="1"/>
    <row r="231" s="937" customFormat="1"/>
    <row r="232" s="937" customFormat="1"/>
    <row r="233" s="937" customFormat="1"/>
    <row r="234" s="937" customFormat="1"/>
    <row r="235" s="937" customFormat="1"/>
    <row r="236" s="937" customFormat="1"/>
    <row r="237" s="937" customFormat="1"/>
    <row r="238" s="937" customFormat="1"/>
    <row r="239" s="937" customFormat="1"/>
    <row r="240" s="937" customFormat="1"/>
    <row r="241" s="937" customFormat="1"/>
    <row r="242" s="937" customFormat="1"/>
    <row r="243" s="937" customFormat="1"/>
    <row r="244" s="937" customFormat="1"/>
    <row r="245" s="937" customFormat="1"/>
    <row r="246" s="937" customFormat="1"/>
    <row r="247" s="937" customFormat="1"/>
    <row r="248" s="937" customFormat="1"/>
    <row r="249" s="937" customFormat="1"/>
    <row r="250" s="937" customFormat="1"/>
    <row r="251" s="937" customFormat="1"/>
    <row r="252" s="937" customFormat="1"/>
    <row r="253" s="937" customFormat="1"/>
    <row r="254" s="937" customFormat="1"/>
    <row r="255" s="937" customFormat="1"/>
    <row r="256" s="937" customFormat="1"/>
    <row r="257" s="937" customFormat="1"/>
    <row r="258" s="937" customFormat="1"/>
    <row r="259" s="937" customFormat="1"/>
    <row r="260" s="937" customFormat="1"/>
    <row r="261" s="937" customFormat="1"/>
    <row r="262" s="937" customFormat="1"/>
    <row r="263" s="937" customFormat="1"/>
    <row r="264" s="937" customFormat="1"/>
    <row r="265" s="937" customFormat="1"/>
    <row r="266" s="937" customFormat="1"/>
    <row r="267" s="937" customFormat="1"/>
    <row r="268" s="937" customFormat="1"/>
    <row r="269" s="937" customFormat="1"/>
    <row r="270" s="937" customFormat="1"/>
    <row r="271" s="937" customFormat="1"/>
    <row r="272" s="937" customFormat="1"/>
    <row r="273" s="937" customFormat="1"/>
    <row r="274" s="937" customFormat="1"/>
    <row r="275" s="937" customFormat="1"/>
    <row r="276" s="937" customFormat="1"/>
    <row r="277" s="937" customFormat="1"/>
    <row r="278" s="937" customFormat="1"/>
    <row r="279" s="937" customFormat="1"/>
    <row r="280" s="937" customFormat="1"/>
    <row r="281" s="937" customFormat="1"/>
    <row r="282" s="937" customFormat="1"/>
    <row r="283" s="937" customFormat="1"/>
    <row r="284" s="937" customFormat="1"/>
    <row r="285" s="937" customFormat="1"/>
    <row r="286" s="937" customFormat="1"/>
    <row r="287" s="937" customFormat="1"/>
    <row r="288" s="937" customFormat="1"/>
    <row r="289" s="937" customFormat="1"/>
    <row r="290" s="937" customFormat="1"/>
    <row r="291" s="937" customFormat="1"/>
    <row r="292" s="937" customFormat="1"/>
    <row r="293" s="937" customFormat="1"/>
    <row r="294" s="937" customFormat="1"/>
    <row r="295" s="937" customFormat="1"/>
    <row r="296" s="937" customFormat="1"/>
    <row r="297" s="937" customFormat="1"/>
    <row r="298" s="937" customFormat="1"/>
    <row r="299" s="937" customFormat="1"/>
    <row r="300" s="937" customFormat="1"/>
    <row r="301" s="937" customFormat="1"/>
    <row r="302" s="937" customFormat="1"/>
    <row r="303" s="937" customFormat="1"/>
    <row r="304" s="937" customFormat="1"/>
    <row r="305" s="937" customFormat="1"/>
    <row r="306" s="937" customFormat="1"/>
    <row r="307" s="937" customFormat="1"/>
    <row r="308" s="937" customFormat="1"/>
    <row r="309" s="937" customFormat="1"/>
    <row r="310" s="937" customFormat="1"/>
    <row r="311" s="937" customFormat="1"/>
    <row r="312" s="937" customFormat="1"/>
    <row r="313" s="937" customFormat="1"/>
  </sheetData>
  <mergeCells count="1">
    <mergeCell ref="R1:U1"/>
  </mergeCells>
  <phoneticPr fontId="0" type="noConversion"/>
  <conditionalFormatting sqref="G120 AU119:AU120 U120:V120 L120:P120">
    <cfRule type="cellIs" dxfId="34" priority="31" stopIfTrue="1" operator="notEqual">
      <formula>H119+I119</formula>
    </cfRule>
    <cfRule type="cellIs" dxfId="33" priority="32" stopIfTrue="1" operator="notEqual">
      <formula>G122</formula>
    </cfRule>
  </conditionalFormatting>
  <conditionalFormatting sqref="C119:C120 D119:E119 U119:V119 L119:N119">
    <cfRule type="cellIs" dxfId="32" priority="29" stopIfTrue="1" operator="notEqual">
      <formula>D119+G119</formula>
    </cfRule>
    <cfRule type="cellIs" dxfId="31" priority="30" stopIfTrue="1" operator="notEqual">
      <formula>C122</formula>
    </cfRule>
  </conditionalFormatting>
  <conditionalFormatting sqref="D120:E120 I120">
    <cfRule type="cellIs" dxfId="30" priority="27" stopIfTrue="1" operator="notEqual">
      <formula>G120+H120</formula>
    </cfRule>
    <cfRule type="cellIs" dxfId="29" priority="28" stopIfTrue="1" operator="notEqual">
      <formula>D123</formula>
    </cfRule>
  </conditionalFormatting>
  <conditionalFormatting sqref="K120">
    <cfRule type="cellIs" dxfId="28" priority="25" stopIfTrue="1" operator="notEqual">
      <formula>M120+N120</formula>
    </cfRule>
    <cfRule type="cellIs" dxfId="27" priority="26" stopIfTrue="1" operator="notEqual">
      <formula>K123</formula>
    </cfRule>
  </conditionalFormatting>
  <conditionalFormatting sqref="K119">
    <cfRule type="cellIs" dxfId="26" priority="23" stopIfTrue="1" operator="notEqual">
      <formula>M119+P119</formula>
    </cfRule>
    <cfRule type="cellIs" dxfId="25" priority="24" stopIfTrue="1" operator="notEqual">
      <formula>K122</formula>
    </cfRule>
  </conditionalFormatting>
  <conditionalFormatting sqref="F120 I119">
    <cfRule type="cellIs" dxfId="24" priority="21" stopIfTrue="1" operator="notEqual">
      <formula>I119+L119</formula>
    </cfRule>
    <cfRule type="cellIs" dxfId="23" priority="22" stopIfTrue="1" operator="notEqual">
      <formula>F122</formula>
    </cfRule>
  </conditionalFormatting>
  <conditionalFormatting sqref="F119:G119">
    <cfRule type="cellIs" dxfId="22" priority="19" stopIfTrue="1" operator="notEqual">
      <formula>G119+L119</formula>
    </cfRule>
    <cfRule type="cellIs" dxfId="21" priority="20" stopIfTrue="1" operator="notEqual">
      <formula>F122</formula>
    </cfRule>
  </conditionalFormatting>
  <conditionalFormatting sqref="J120">
    <cfRule type="cellIs" dxfId="20" priority="17" stopIfTrue="1" operator="notEqual">
      <formula>U120+V120</formula>
    </cfRule>
    <cfRule type="cellIs" dxfId="19" priority="18" stopIfTrue="1" operator="notEqual">
      <formula>J123</formula>
    </cfRule>
  </conditionalFormatting>
  <conditionalFormatting sqref="R120:S120">
    <cfRule type="cellIs" dxfId="18" priority="15" stopIfTrue="1" operator="notEqual">
      <formula>J120+U120</formula>
    </cfRule>
    <cfRule type="cellIs" dxfId="17" priority="16" stopIfTrue="1" operator="notEqual">
      <formula>R123</formula>
    </cfRule>
  </conditionalFormatting>
  <conditionalFormatting sqref="Q120">
    <cfRule type="cellIs" dxfId="16" priority="13" stopIfTrue="1" operator="notEqual">
      <formula>R120+J120</formula>
    </cfRule>
    <cfRule type="cellIs" dxfId="15" priority="14" stopIfTrue="1" operator="notEqual">
      <formula>Q123</formula>
    </cfRule>
  </conditionalFormatting>
  <conditionalFormatting sqref="J119">
    <cfRule type="cellIs" dxfId="14" priority="11" stopIfTrue="1" operator="notEqual">
      <formula>U119+X119</formula>
    </cfRule>
    <cfRule type="cellIs" dxfId="13" priority="12" stopIfTrue="1" operator="notEqual">
      <formula>J122</formula>
    </cfRule>
  </conditionalFormatting>
  <conditionalFormatting sqref="R119:S119">
    <cfRule type="cellIs" dxfId="12" priority="9" stopIfTrue="1" operator="notEqual">
      <formula>J119+W119</formula>
    </cfRule>
    <cfRule type="cellIs" dxfId="11" priority="10" stopIfTrue="1" operator="notEqual">
      <formula>R122</formula>
    </cfRule>
  </conditionalFormatting>
  <conditionalFormatting sqref="O119">
    <cfRule type="cellIs" dxfId="10" priority="7" stopIfTrue="1" operator="notEqual">
      <formula>P119+J119</formula>
    </cfRule>
    <cfRule type="cellIs" dxfId="9" priority="8" stopIfTrue="1" operator="notEqual">
      <formula>O122</formula>
    </cfRule>
  </conditionalFormatting>
  <conditionalFormatting sqref="P119:Q119">
    <cfRule type="cellIs" dxfId="8" priority="5" stopIfTrue="1" operator="notEqual">
      <formula>Q119+U119</formula>
    </cfRule>
    <cfRule type="cellIs" dxfId="7" priority="6" stopIfTrue="1" operator="notEqual">
      <formula>P122</formula>
    </cfRule>
  </conditionalFormatting>
  <conditionalFormatting sqref="T120">
    <cfRule type="cellIs" dxfId="6" priority="3" stopIfTrue="1" operator="notEqual">
      <formula>U120+V120</formula>
    </cfRule>
    <cfRule type="cellIs" dxfId="5" priority="4" stopIfTrue="1" operator="notEqual">
      <formula>T123</formula>
    </cfRule>
  </conditionalFormatting>
  <conditionalFormatting sqref="T119">
    <cfRule type="cellIs" dxfId="4" priority="1" stopIfTrue="1" operator="notEqual">
      <formula>U119+X119</formula>
    </cfRule>
    <cfRule type="cellIs" dxfId="3" priority="2" stopIfTrue="1" operator="notEqual">
      <formula>T122</formula>
    </cfRule>
  </conditionalFormatting>
  <dataValidations xWindow="432" yWindow="573" count="1">
    <dataValidation allowBlank="1" showInputMessage="1" showErrorMessage="1" prompt="Ячейка окрасится в случаях: _x000a_а) Итого ссуд не равно сумме начисляемых и неначисляемых ссуд_x000a_б) Итого ссуд не равно итого ссуд и лизинга в балансовом отчёте" sqref="AU119:AU120 KQ119:KQ120 UM119:UM120 AEI119:AEI120 AOE119:AOE120 AYA119:AYA120 BHW119:BHW120 BRS119:BRS120 CBO119:CBO120 CLK119:CLK120 CVG119:CVG120 DFC119:DFC120 DOY119:DOY120 DYU119:DYU120 EIQ119:EIQ120 ESM119:ESM120 FCI119:FCI120 FME119:FME120 FWA119:FWA120 GFW119:GFW120 GPS119:GPS120 GZO119:GZO120 HJK119:HJK120 HTG119:HTG120 IDC119:IDC120 IMY119:IMY120 IWU119:IWU120 JGQ119:JGQ120 JQM119:JQM120 KAI119:KAI120 KKE119:KKE120 KUA119:KUA120 LDW119:LDW120 LNS119:LNS120 LXO119:LXO120 MHK119:MHK120 MRG119:MRG120 NBC119:NBC120 NKY119:NKY120 NUU119:NUU120 OEQ119:OEQ120 OOM119:OOM120 OYI119:OYI120 PIE119:PIE120 PSA119:PSA120 QBW119:QBW120 QLS119:QLS120 QVO119:QVO120 RFK119:RFK120 RPG119:RPG120 RZC119:RZC120 SIY119:SIY120 SSU119:SSU120 TCQ119:TCQ120 TMM119:TMM120 TWI119:TWI120 UGE119:UGE120 UQA119:UQA120 UZW119:UZW120 VJS119:VJS120 VTO119:VTO120 WDK119:WDK120 WNG119:WNG120 WXC119:WXC120 AU65655:AU65656 KQ65655:KQ65656 UM65655:UM65656 AEI65655:AEI65656 AOE65655:AOE65656 AYA65655:AYA65656 BHW65655:BHW65656 BRS65655:BRS65656 CBO65655:CBO65656 CLK65655:CLK65656 CVG65655:CVG65656 DFC65655:DFC65656 DOY65655:DOY65656 DYU65655:DYU65656 EIQ65655:EIQ65656 ESM65655:ESM65656 FCI65655:FCI65656 FME65655:FME65656 FWA65655:FWA65656 GFW65655:GFW65656 GPS65655:GPS65656 GZO65655:GZO65656 HJK65655:HJK65656 HTG65655:HTG65656 IDC65655:IDC65656 IMY65655:IMY65656 IWU65655:IWU65656 JGQ65655:JGQ65656 JQM65655:JQM65656 KAI65655:KAI65656 KKE65655:KKE65656 KUA65655:KUA65656 LDW65655:LDW65656 LNS65655:LNS65656 LXO65655:LXO65656 MHK65655:MHK65656 MRG65655:MRG65656 NBC65655:NBC65656 NKY65655:NKY65656 NUU65655:NUU65656 OEQ65655:OEQ65656 OOM65655:OOM65656 OYI65655:OYI65656 PIE65655:PIE65656 PSA65655:PSA65656 QBW65655:QBW65656 QLS65655:QLS65656 QVO65655:QVO65656 RFK65655:RFK65656 RPG65655:RPG65656 RZC65655:RZC65656 SIY65655:SIY65656 SSU65655:SSU65656 TCQ65655:TCQ65656 TMM65655:TMM65656 TWI65655:TWI65656 UGE65655:UGE65656 UQA65655:UQA65656 UZW65655:UZW65656 VJS65655:VJS65656 VTO65655:VTO65656 WDK65655:WDK65656 WNG65655:WNG65656 WXC65655:WXC65656 AU131191:AU131192 KQ131191:KQ131192 UM131191:UM131192 AEI131191:AEI131192 AOE131191:AOE131192 AYA131191:AYA131192 BHW131191:BHW131192 BRS131191:BRS131192 CBO131191:CBO131192 CLK131191:CLK131192 CVG131191:CVG131192 DFC131191:DFC131192 DOY131191:DOY131192 DYU131191:DYU131192 EIQ131191:EIQ131192 ESM131191:ESM131192 FCI131191:FCI131192 FME131191:FME131192 FWA131191:FWA131192 GFW131191:GFW131192 GPS131191:GPS131192 GZO131191:GZO131192 HJK131191:HJK131192 HTG131191:HTG131192 IDC131191:IDC131192 IMY131191:IMY131192 IWU131191:IWU131192 JGQ131191:JGQ131192 JQM131191:JQM131192 KAI131191:KAI131192 KKE131191:KKE131192 KUA131191:KUA131192 LDW131191:LDW131192 LNS131191:LNS131192 LXO131191:LXO131192 MHK131191:MHK131192 MRG131191:MRG131192 NBC131191:NBC131192 NKY131191:NKY131192 NUU131191:NUU131192 OEQ131191:OEQ131192 OOM131191:OOM131192 OYI131191:OYI131192 PIE131191:PIE131192 PSA131191:PSA131192 QBW131191:QBW131192 QLS131191:QLS131192 QVO131191:QVO131192 RFK131191:RFK131192 RPG131191:RPG131192 RZC131191:RZC131192 SIY131191:SIY131192 SSU131191:SSU131192 TCQ131191:TCQ131192 TMM131191:TMM131192 TWI131191:TWI131192 UGE131191:UGE131192 UQA131191:UQA131192 UZW131191:UZW131192 VJS131191:VJS131192 VTO131191:VTO131192 WDK131191:WDK131192 WNG131191:WNG131192 WXC131191:WXC131192 AU196727:AU196728 KQ196727:KQ196728 UM196727:UM196728 AEI196727:AEI196728 AOE196727:AOE196728 AYA196727:AYA196728 BHW196727:BHW196728 BRS196727:BRS196728 CBO196727:CBO196728 CLK196727:CLK196728 CVG196727:CVG196728 DFC196727:DFC196728 DOY196727:DOY196728 DYU196727:DYU196728 EIQ196727:EIQ196728 ESM196727:ESM196728 FCI196727:FCI196728 FME196727:FME196728 FWA196727:FWA196728 GFW196727:GFW196728 GPS196727:GPS196728 GZO196727:GZO196728 HJK196727:HJK196728 HTG196727:HTG196728 IDC196727:IDC196728 IMY196727:IMY196728 IWU196727:IWU196728 JGQ196727:JGQ196728 JQM196727:JQM196728 KAI196727:KAI196728 KKE196727:KKE196728 KUA196727:KUA196728 LDW196727:LDW196728 LNS196727:LNS196728 LXO196727:LXO196728 MHK196727:MHK196728 MRG196727:MRG196728 NBC196727:NBC196728 NKY196727:NKY196728 NUU196727:NUU196728 OEQ196727:OEQ196728 OOM196727:OOM196728 OYI196727:OYI196728 PIE196727:PIE196728 PSA196727:PSA196728 QBW196727:QBW196728 QLS196727:QLS196728 QVO196727:QVO196728 RFK196727:RFK196728 RPG196727:RPG196728 RZC196727:RZC196728 SIY196727:SIY196728 SSU196727:SSU196728 TCQ196727:TCQ196728 TMM196727:TMM196728 TWI196727:TWI196728 UGE196727:UGE196728 UQA196727:UQA196728 UZW196727:UZW196728 VJS196727:VJS196728 VTO196727:VTO196728 WDK196727:WDK196728 WNG196727:WNG196728 WXC196727:WXC196728 AU262263:AU262264 KQ262263:KQ262264 UM262263:UM262264 AEI262263:AEI262264 AOE262263:AOE262264 AYA262263:AYA262264 BHW262263:BHW262264 BRS262263:BRS262264 CBO262263:CBO262264 CLK262263:CLK262264 CVG262263:CVG262264 DFC262263:DFC262264 DOY262263:DOY262264 DYU262263:DYU262264 EIQ262263:EIQ262264 ESM262263:ESM262264 FCI262263:FCI262264 FME262263:FME262264 FWA262263:FWA262264 GFW262263:GFW262264 GPS262263:GPS262264 GZO262263:GZO262264 HJK262263:HJK262264 HTG262263:HTG262264 IDC262263:IDC262264 IMY262263:IMY262264 IWU262263:IWU262264 JGQ262263:JGQ262264 JQM262263:JQM262264 KAI262263:KAI262264 KKE262263:KKE262264 KUA262263:KUA262264 LDW262263:LDW262264 LNS262263:LNS262264 LXO262263:LXO262264 MHK262263:MHK262264 MRG262263:MRG262264 NBC262263:NBC262264 NKY262263:NKY262264 NUU262263:NUU262264 OEQ262263:OEQ262264 OOM262263:OOM262264 OYI262263:OYI262264 PIE262263:PIE262264 PSA262263:PSA262264 QBW262263:QBW262264 QLS262263:QLS262264 QVO262263:QVO262264 RFK262263:RFK262264 RPG262263:RPG262264 RZC262263:RZC262264 SIY262263:SIY262264 SSU262263:SSU262264 TCQ262263:TCQ262264 TMM262263:TMM262264 TWI262263:TWI262264 UGE262263:UGE262264 UQA262263:UQA262264 UZW262263:UZW262264 VJS262263:VJS262264 VTO262263:VTO262264 WDK262263:WDK262264 WNG262263:WNG262264 WXC262263:WXC262264 AU327799:AU327800 KQ327799:KQ327800 UM327799:UM327800 AEI327799:AEI327800 AOE327799:AOE327800 AYA327799:AYA327800 BHW327799:BHW327800 BRS327799:BRS327800 CBO327799:CBO327800 CLK327799:CLK327800 CVG327799:CVG327800 DFC327799:DFC327800 DOY327799:DOY327800 DYU327799:DYU327800 EIQ327799:EIQ327800 ESM327799:ESM327800 FCI327799:FCI327800 FME327799:FME327800 FWA327799:FWA327800 GFW327799:GFW327800 GPS327799:GPS327800 GZO327799:GZO327800 HJK327799:HJK327800 HTG327799:HTG327800 IDC327799:IDC327800 IMY327799:IMY327800 IWU327799:IWU327800 JGQ327799:JGQ327800 JQM327799:JQM327800 KAI327799:KAI327800 KKE327799:KKE327800 KUA327799:KUA327800 LDW327799:LDW327800 LNS327799:LNS327800 LXO327799:LXO327800 MHK327799:MHK327800 MRG327799:MRG327800 NBC327799:NBC327800 NKY327799:NKY327800 NUU327799:NUU327800 OEQ327799:OEQ327800 OOM327799:OOM327800 OYI327799:OYI327800 PIE327799:PIE327800 PSA327799:PSA327800 QBW327799:QBW327800 QLS327799:QLS327800 QVO327799:QVO327800 RFK327799:RFK327800 RPG327799:RPG327800 RZC327799:RZC327800 SIY327799:SIY327800 SSU327799:SSU327800 TCQ327799:TCQ327800 TMM327799:TMM327800 TWI327799:TWI327800 UGE327799:UGE327800 UQA327799:UQA327800 UZW327799:UZW327800 VJS327799:VJS327800 VTO327799:VTO327800 WDK327799:WDK327800 WNG327799:WNG327800 WXC327799:WXC327800 AU393335:AU393336 KQ393335:KQ393336 UM393335:UM393336 AEI393335:AEI393336 AOE393335:AOE393336 AYA393335:AYA393336 BHW393335:BHW393336 BRS393335:BRS393336 CBO393335:CBO393336 CLK393335:CLK393336 CVG393335:CVG393336 DFC393335:DFC393336 DOY393335:DOY393336 DYU393335:DYU393336 EIQ393335:EIQ393336 ESM393335:ESM393336 FCI393335:FCI393336 FME393335:FME393336 FWA393335:FWA393336 GFW393335:GFW393336 GPS393335:GPS393336 GZO393335:GZO393336 HJK393335:HJK393336 HTG393335:HTG393336 IDC393335:IDC393336 IMY393335:IMY393336 IWU393335:IWU393336 JGQ393335:JGQ393336 JQM393335:JQM393336 KAI393335:KAI393336 KKE393335:KKE393336 KUA393335:KUA393336 LDW393335:LDW393336 LNS393335:LNS393336 LXO393335:LXO393336 MHK393335:MHK393336 MRG393335:MRG393336 NBC393335:NBC393336 NKY393335:NKY393336 NUU393335:NUU393336 OEQ393335:OEQ393336 OOM393335:OOM393336 OYI393335:OYI393336 PIE393335:PIE393336 PSA393335:PSA393336 QBW393335:QBW393336 QLS393335:QLS393336 QVO393335:QVO393336 RFK393335:RFK393336 RPG393335:RPG393336 RZC393335:RZC393336 SIY393335:SIY393336 SSU393335:SSU393336 TCQ393335:TCQ393336 TMM393335:TMM393336 TWI393335:TWI393336 UGE393335:UGE393336 UQA393335:UQA393336 UZW393335:UZW393336 VJS393335:VJS393336 VTO393335:VTO393336 WDK393335:WDK393336 WNG393335:WNG393336 WXC393335:WXC393336 AU458871:AU458872 KQ458871:KQ458872 UM458871:UM458872 AEI458871:AEI458872 AOE458871:AOE458872 AYA458871:AYA458872 BHW458871:BHW458872 BRS458871:BRS458872 CBO458871:CBO458872 CLK458871:CLK458872 CVG458871:CVG458872 DFC458871:DFC458872 DOY458871:DOY458872 DYU458871:DYU458872 EIQ458871:EIQ458872 ESM458871:ESM458872 FCI458871:FCI458872 FME458871:FME458872 FWA458871:FWA458872 GFW458871:GFW458872 GPS458871:GPS458872 GZO458871:GZO458872 HJK458871:HJK458872 HTG458871:HTG458872 IDC458871:IDC458872 IMY458871:IMY458872 IWU458871:IWU458872 JGQ458871:JGQ458872 JQM458871:JQM458872 KAI458871:KAI458872 KKE458871:KKE458872 KUA458871:KUA458872 LDW458871:LDW458872 LNS458871:LNS458872 LXO458871:LXO458872 MHK458871:MHK458872 MRG458871:MRG458872 NBC458871:NBC458872 NKY458871:NKY458872 NUU458871:NUU458872 OEQ458871:OEQ458872 OOM458871:OOM458872 OYI458871:OYI458872 PIE458871:PIE458872 PSA458871:PSA458872 QBW458871:QBW458872 QLS458871:QLS458872 QVO458871:QVO458872 RFK458871:RFK458872 RPG458871:RPG458872 RZC458871:RZC458872 SIY458871:SIY458872 SSU458871:SSU458872 TCQ458871:TCQ458872 TMM458871:TMM458872 TWI458871:TWI458872 UGE458871:UGE458872 UQA458871:UQA458872 UZW458871:UZW458872 VJS458871:VJS458872 VTO458871:VTO458872 WDK458871:WDK458872 WNG458871:WNG458872 WXC458871:WXC458872 AU524407:AU524408 KQ524407:KQ524408 UM524407:UM524408 AEI524407:AEI524408 AOE524407:AOE524408 AYA524407:AYA524408 BHW524407:BHW524408 BRS524407:BRS524408 CBO524407:CBO524408 CLK524407:CLK524408 CVG524407:CVG524408 DFC524407:DFC524408 DOY524407:DOY524408 DYU524407:DYU524408 EIQ524407:EIQ524408 ESM524407:ESM524408 FCI524407:FCI524408 FME524407:FME524408 FWA524407:FWA524408 GFW524407:GFW524408 GPS524407:GPS524408 GZO524407:GZO524408 HJK524407:HJK524408 HTG524407:HTG524408 IDC524407:IDC524408 IMY524407:IMY524408 IWU524407:IWU524408 JGQ524407:JGQ524408 JQM524407:JQM524408 KAI524407:KAI524408 KKE524407:KKE524408 KUA524407:KUA524408 LDW524407:LDW524408 LNS524407:LNS524408 LXO524407:LXO524408 MHK524407:MHK524408 MRG524407:MRG524408 NBC524407:NBC524408 NKY524407:NKY524408 NUU524407:NUU524408 OEQ524407:OEQ524408 OOM524407:OOM524408 OYI524407:OYI524408 PIE524407:PIE524408 PSA524407:PSA524408 QBW524407:QBW524408 QLS524407:QLS524408 QVO524407:QVO524408 RFK524407:RFK524408 RPG524407:RPG524408 RZC524407:RZC524408 SIY524407:SIY524408 SSU524407:SSU524408 TCQ524407:TCQ524408 TMM524407:TMM524408 TWI524407:TWI524408 UGE524407:UGE524408 UQA524407:UQA524408 UZW524407:UZW524408 VJS524407:VJS524408 VTO524407:VTO524408 WDK524407:WDK524408 WNG524407:WNG524408 WXC524407:WXC524408 AU589943:AU589944 KQ589943:KQ589944 UM589943:UM589944 AEI589943:AEI589944 AOE589943:AOE589944 AYA589943:AYA589944 BHW589943:BHW589944 BRS589943:BRS589944 CBO589943:CBO589944 CLK589943:CLK589944 CVG589943:CVG589944 DFC589943:DFC589944 DOY589943:DOY589944 DYU589943:DYU589944 EIQ589943:EIQ589944 ESM589943:ESM589944 FCI589943:FCI589944 FME589943:FME589944 FWA589943:FWA589944 GFW589943:GFW589944 GPS589943:GPS589944 GZO589943:GZO589944 HJK589943:HJK589944 HTG589943:HTG589944 IDC589943:IDC589944 IMY589943:IMY589944 IWU589943:IWU589944 JGQ589943:JGQ589944 JQM589943:JQM589944 KAI589943:KAI589944 KKE589943:KKE589944 KUA589943:KUA589944 LDW589943:LDW589944 LNS589943:LNS589944 LXO589943:LXO589944 MHK589943:MHK589944 MRG589943:MRG589944 NBC589943:NBC589944 NKY589943:NKY589944 NUU589943:NUU589944 OEQ589943:OEQ589944 OOM589943:OOM589944 OYI589943:OYI589944 PIE589943:PIE589944 PSA589943:PSA589944 QBW589943:QBW589944 QLS589943:QLS589944 QVO589943:QVO589944 RFK589943:RFK589944 RPG589943:RPG589944 RZC589943:RZC589944 SIY589943:SIY589944 SSU589943:SSU589944 TCQ589943:TCQ589944 TMM589943:TMM589944 TWI589943:TWI589944 UGE589943:UGE589944 UQA589943:UQA589944 UZW589943:UZW589944 VJS589943:VJS589944 VTO589943:VTO589944 WDK589943:WDK589944 WNG589943:WNG589944 WXC589943:WXC589944 AU655479:AU655480 KQ655479:KQ655480 UM655479:UM655480 AEI655479:AEI655480 AOE655479:AOE655480 AYA655479:AYA655480 BHW655479:BHW655480 BRS655479:BRS655480 CBO655479:CBO655480 CLK655479:CLK655480 CVG655479:CVG655480 DFC655479:DFC655480 DOY655479:DOY655480 DYU655479:DYU655480 EIQ655479:EIQ655480 ESM655479:ESM655480 FCI655479:FCI655480 FME655479:FME655480 FWA655479:FWA655480 GFW655479:GFW655480 GPS655479:GPS655480 GZO655479:GZO655480 HJK655479:HJK655480 HTG655479:HTG655480 IDC655479:IDC655480 IMY655479:IMY655480 IWU655479:IWU655480 JGQ655479:JGQ655480 JQM655479:JQM655480 KAI655479:KAI655480 KKE655479:KKE655480 KUA655479:KUA655480 LDW655479:LDW655480 LNS655479:LNS655480 LXO655479:LXO655480 MHK655479:MHK655480 MRG655479:MRG655480 NBC655479:NBC655480 NKY655479:NKY655480 NUU655479:NUU655480 OEQ655479:OEQ655480 OOM655479:OOM655480 OYI655479:OYI655480 PIE655479:PIE655480 PSA655479:PSA655480 QBW655479:QBW655480 QLS655479:QLS655480 QVO655479:QVO655480 RFK655479:RFK655480 RPG655479:RPG655480 RZC655479:RZC655480 SIY655479:SIY655480 SSU655479:SSU655480 TCQ655479:TCQ655480 TMM655479:TMM655480 TWI655479:TWI655480 UGE655479:UGE655480 UQA655479:UQA655480 UZW655479:UZW655480 VJS655479:VJS655480 VTO655479:VTO655480 WDK655479:WDK655480 WNG655479:WNG655480 WXC655479:WXC655480 AU721015:AU721016 KQ721015:KQ721016 UM721015:UM721016 AEI721015:AEI721016 AOE721015:AOE721016 AYA721015:AYA721016 BHW721015:BHW721016 BRS721015:BRS721016 CBO721015:CBO721016 CLK721015:CLK721016 CVG721015:CVG721016 DFC721015:DFC721016 DOY721015:DOY721016 DYU721015:DYU721016 EIQ721015:EIQ721016 ESM721015:ESM721016 FCI721015:FCI721016 FME721015:FME721016 FWA721015:FWA721016 GFW721015:GFW721016 GPS721015:GPS721016 GZO721015:GZO721016 HJK721015:HJK721016 HTG721015:HTG721016 IDC721015:IDC721016 IMY721015:IMY721016 IWU721015:IWU721016 JGQ721015:JGQ721016 JQM721015:JQM721016 KAI721015:KAI721016 KKE721015:KKE721016 KUA721015:KUA721016 LDW721015:LDW721016 LNS721015:LNS721016 LXO721015:LXO721016 MHK721015:MHK721016 MRG721015:MRG721016 NBC721015:NBC721016 NKY721015:NKY721016 NUU721015:NUU721016 OEQ721015:OEQ721016 OOM721015:OOM721016 OYI721015:OYI721016 PIE721015:PIE721016 PSA721015:PSA721016 QBW721015:QBW721016 QLS721015:QLS721016 QVO721015:QVO721016 RFK721015:RFK721016 RPG721015:RPG721016 RZC721015:RZC721016 SIY721015:SIY721016 SSU721015:SSU721016 TCQ721015:TCQ721016 TMM721015:TMM721016 TWI721015:TWI721016 UGE721015:UGE721016 UQA721015:UQA721016 UZW721015:UZW721016 VJS721015:VJS721016 VTO721015:VTO721016 WDK721015:WDK721016 WNG721015:WNG721016 WXC721015:WXC721016 AU786551:AU786552 KQ786551:KQ786552 UM786551:UM786552 AEI786551:AEI786552 AOE786551:AOE786552 AYA786551:AYA786552 BHW786551:BHW786552 BRS786551:BRS786552 CBO786551:CBO786552 CLK786551:CLK786552 CVG786551:CVG786552 DFC786551:DFC786552 DOY786551:DOY786552 DYU786551:DYU786552 EIQ786551:EIQ786552 ESM786551:ESM786552 FCI786551:FCI786552 FME786551:FME786552 FWA786551:FWA786552 GFW786551:GFW786552 GPS786551:GPS786552 GZO786551:GZO786552 HJK786551:HJK786552 HTG786551:HTG786552 IDC786551:IDC786552 IMY786551:IMY786552 IWU786551:IWU786552 JGQ786551:JGQ786552 JQM786551:JQM786552 KAI786551:KAI786552 KKE786551:KKE786552 KUA786551:KUA786552 LDW786551:LDW786552 LNS786551:LNS786552 LXO786551:LXO786552 MHK786551:MHK786552 MRG786551:MRG786552 NBC786551:NBC786552 NKY786551:NKY786552 NUU786551:NUU786552 OEQ786551:OEQ786552 OOM786551:OOM786552 OYI786551:OYI786552 PIE786551:PIE786552 PSA786551:PSA786552 QBW786551:QBW786552 QLS786551:QLS786552 QVO786551:QVO786552 RFK786551:RFK786552 RPG786551:RPG786552 RZC786551:RZC786552 SIY786551:SIY786552 SSU786551:SSU786552 TCQ786551:TCQ786552 TMM786551:TMM786552 TWI786551:TWI786552 UGE786551:UGE786552 UQA786551:UQA786552 UZW786551:UZW786552 VJS786551:VJS786552 VTO786551:VTO786552 WDK786551:WDK786552 WNG786551:WNG786552 WXC786551:WXC786552 AU852087:AU852088 KQ852087:KQ852088 UM852087:UM852088 AEI852087:AEI852088 AOE852087:AOE852088 AYA852087:AYA852088 BHW852087:BHW852088 BRS852087:BRS852088 CBO852087:CBO852088 CLK852087:CLK852088 CVG852087:CVG852088 DFC852087:DFC852088 DOY852087:DOY852088 DYU852087:DYU852088 EIQ852087:EIQ852088 ESM852087:ESM852088 FCI852087:FCI852088 FME852087:FME852088 FWA852087:FWA852088 GFW852087:GFW852088 GPS852087:GPS852088 GZO852087:GZO852088 HJK852087:HJK852088 HTG852087:HTG852088 IDC852087:IDC852088 IMY852087:IMY852088 IWU852087:IWU852088 JGQ852087:JGQ852088 JQM852087:JQM852088 KAI852087:KAI852088 KKE852087:KKE852088 KUA852087:KUA852088 LDW852087:LDW852088 LNS852087:LNS852088 LXO852087:LXO852088 MHK852087:MHK852088 MRG852087:MRG852088 NBC852087:NBC852088 NKY852087:NKY852088 NUU852087:NUU852088 OEQ852087:OEQ852088 OOM852087:OOM852088 OYI852087:OYI852088 PIE852087:PIE852088 PSA852087:PSA852088 QBW852087:QBW852088 QLS852087:QLS852088 QVO852087:QVO852088 RFK852087:RFK852088 RPG852087:RPG852088 RZC852087:RZC852088 SIY852087:SIY852088 SSU852087:SSU852088 TCQ852087:TCQ852088 TMM852087:TMM852088 TWI852087:TWI852088 UGE852087:UGE852088 UQA852087:UQA852088 UZW852087:UZW852088 VJS852087:VJS852088 VTO852087:VTO852088 WDK852087:WDK852088 WNG852087:WNG852088 WXC852087:WXC852088 AU917623:AU917624 KQ917623:KQ917624 UM917623:UM917624 AEI917623:AEI917624 AOE917623:AOE917624 AYA917623:AYA917624 BHW917623:BHW917624 BRS917623:BRS917624 CBO917623:CBO917624 CLK917623:CLK917624 CVG917623:CVG917624 DFC917623:DFC917624 DOY917623:DOY917624 DYU917623:DYU917624 EIQ917623:EIQ917624 ESM917623:ESM917624 FCI917623:FCI917624 FME917623:FME917624 FWA917623:FWA917624 GFW917623:GFW917624 GPS917623:GPS917624 GZO917623:GZO917624 HJK917623:HJK917624 HTG917623:HTG917624 IDC917623:IDC917624 IMY917623:IMY917624 IWU917623:IWU917624 JGQ917623:JGQ917624 JQM917623:JQM917624 KAI917623:KAI917624 KKE917623:KKE917624 KUA917623:KUA917624 LDW917623:LDW917624 LNS917623:LNS917624 LXO917623:LXO917624 MHK917623:MHK917624 MRG917623:MRG917624 NBC917623:NBC917624 NKY917623:NKY917624 NUU917623:NUU917624 OEQ917623:OEQ917624 OOM917623:OOM917624 OYI917623:OYI917624 PIE917623:PIE917624 PSA917623:PSA917624 QBW917623:QBW917624 QLS917623:QLS917624 QVO917623:QVO917624 RFK917623:RFK917624 RPG917623:RPG917624 RZC917623:RZC917624 SIY917623:SIY917624 SSU917623:SSU917624 TCQ917623:TCQ917624 TMM917623:TMM917624 TWI917623:TWI917624 UGE917623:UGE917624 UQA917623:UQA917624 UZW917623:UZW917624 VJS917623:VJS917624 VTO917623:VTO917624 WDK917623:WDK917624 WNG917623:WNG917624 WXC917623:WXC917624 AU983159:AU983160 KQ983159:KQ983160 UM983159:UM983160 AEI983159:AEI983160 AOE983159:AOE983160 AYA983159:AYA983160 BHW983159:BHW983160 BRS983159:BRS983160 CBO983159:CBO983160 CLK983159:CLK983160 CVG983159:CVG983160 DFC983159:DFC983160 DOY983159:DOY983160 DYU983159:DYU983160 EIQ983159:EIQ983160 ESM983159:ESM983160 FCI983159:FCI983160 FME983159:FME983160 FWA983159:FWA983160 GFW983159:GFW983160 GPS983159:GPS983160 GZO983159:GZO983160 HJK983159:HJK983160 HTG983159:HTG983160 IDC983159:IDC983160 IMY983159:IMY983160 IWU983159:IWU983160 JGQ983159:JGQ983160 JQM983159:JQM983160 KAI983159:KAI983160 KKE983159:KKE983160 KUA983159:KUA983160 LDW983159:LDW983160 LNS983159:LNS983160 LXO983159:LXO983160 MHK983159:MHK983160 MRG983159:MRG983160 NBC983159:NBC983160 NKY983159:NKY983160 NUU983159:NUU983160 OEQ983159:OEQ983160 OOM983159:OOM983160 OYI983159:OYI983160 PIE983159:PIE983160 PSA983159:PSA983160 QBW983159:QBW983160 QLS983159:QLS983160 QVO983159:QVO983160 RFK983159:RFK983160 RPG983159:RPG983160 RZC983159:RZC983160 SIY983159:SIY983160 SSU983159:SSU983160 TCQ983159:TCQ983160 TMM983159:TMM983160 TWI983159:TWI983160 UGE983159:UGE983160 UQA983159:UQA983160 UZW983159:UZW983160 VJS983159:VJS983160 VTO983159:VTO983160 WDK983159:WDK983160 WNG983159:WNG983160 WXC983159:WXC983160 C119:G120 IY119:JC120 SU119:SY120 ACQ119:ACU120 AMM119:AMQ120 AWI119:AWM120 BGE119:BGI120 BQA119:BQE120 BZW119:CAA120 CJS119:CJW120 CTO119:CTS120 DDK119:DDO120 DNG119:DNK120 DXC119:DXG120 EGY119:EHC120 EQU119:EQY120 FAQ119:FAU120 FKM119:FKQ120 FUI119:FUM120 GEE119:GEI120 GOA119:GOE120 GXW119:GYA120 HHS119:HHW120 HRO119:HRS120 IBK119:IBO120 ILG119:ILK120 IVC119:IVG120 JEY119:JFC120 JOU119:JOY120 JYQ119:JYU120 KIM119:KIQ120 KSI119:KSM120 LCE119:LCI120 LMA119:LME120 LVW119:LWA120 MFS119:MFW120 MPO119:MPS120 MZK119:MZO120 NJG119:NJK120 NTC119:NTG120 OCY119:ODC120 OMU119:OMY120 OWQ119:OWU120 PGM119:PGQ120 PQI119:PQM120 QAE119:QAI120 QKA119:QKE120 QTW119:QUA120 RDS119:RDW120 RNO119:RNS120 RXK119:RXO120 SHG119:SHK120 SRC119:SRG120 TAY119:TBC120 TKU119:TKY120 TUQ119:TUU120 UEM119:UEQ120 UOI119:UOM120 UYE119:UYI120 VIA119:VIE120 VRW119:VSA120 WBS119:WBW120 WLO119:WLS120 WVK119:WVO120 C65655:G65656 IY65655:JC65656 SU65655:SY65656 ACQ65655:ACU65656 AMM65655:AMQ65656 AWI65655:AWM65656 BGE65655:BGI65656 BQA65655:BQE65656 BZW65655:CAA65656 CJS65655:CJW65656 CTO65655:CTS65656 DDK65655:DDO65656 DNG65655:DNK65656 DXC65655:DXG65656 EGY65655:EHC65656 EQU65655:EQY65656 FAQ65655:FAU65656 FKM65655:FKQ65656 FUI65655:FUM65656 GEE65655:GEI65656 GOA65655:GOE65656 GXW65655:GYA65656 HHS65655:HHW65656 HRO65655:HRS65656 IBK65655:IBO65656 ILG65655:ILK65656 IVC65655:IVG65656 JEY65655:JFC65656 JOU65655:JOY65656 JYQ65655:JYU65656 KIM65655:KIQ65656 KSI65655:KSM65656 LCE65655:LCI65656 LMA65655:LME65656 LVW65655:LWA65656 MFS65655:MFW65656 MPO65655:MPS65656 MZK65655:MZO65656 NJG65655:NJK65656 NTC65655:NTG65656 OCY65655:ODC65656 OMU65655:OMY65656 OWQ65655:OWU65656 PGM65655:PGQ65656 PQI65655:PQM65656 QAE65655:QAI65656 QKA65655:QKE65656 QTW65655:QUA65656 RDS65655:RDW65656 RNO65655:RNS65656 RXK65655:RXO65656 SHG65655:SHK65656 SRC65655:SRG65656 TAY65655:TBC65656 TKU65655:TKY65656 TUQ65655:TUU65656 UEM65655:UEQ65656 UOI65655:UOM65656 UYE65655:UYI65656 VIA65655:VIE65656 VRW65655:VSA65656 WBS65655:WBW65656 WLO65655:WLS65656 WVK65655:WVO65656 C131191:G131192 IY131191:JC131192 SU131191:SY131192 ACQ131191:ACU131192 AMM131191:AMQ131192 AWI131191:AWM131192 BGE131191:BGI131192 BQA131191:BQE131192 BZW131191:CAA131192 CJS131191:CJW131192 CTO131191:CTS131192 DDK131191:DDO131192 DNG131191:DNK131192 DXC131191:DXG131192 EGY131191:EHC131192 EQU131191:EQY131192 FAQ131191:FAU131192 FKM131191:FKQ131192 FUI131191:FUM131192 GEE131191:GEI131192 GOA131191:GOE131192 GXW131191:GYA131192 HHS131191:HHW131192 HRO131191:HRS131192 IBK131191:IBO131192 ILG131191:ILK131192 IVC131191:IVG131192 JEY131191:JFC131192 JOU131191:JOY131192 JYQ131191:JYU131192 KIM131191:KIQ131192 KSI131191:KSM131192 LCE131191:LCI131192 LMA131191:LME131192 LVW131191:LWA131192 MFS131191:MFW131192 MPO131191:MPS131192 MZK131191:MZO131192 NJG131191:NJK131192 NTC131191:NTG131192 OCY131191:ODC131192 OMU131191:OMY131192 OWQ131191:OWU131192 PGM131191:PGQ131192 PQI131191:PQM131192 QAE131191:QAI131192 QKA131191:QKE131192 QTW131191:QUA131192 RDS131191:RDW131192 RNO131191:RNS131192 RXK131191:RXO131192 SHG131191:SHK131192 SRC131191:SRG131192 TAY131191:TBC131192 TKU131191:TKY131192 TUQ131191:TUU131192 UEM131191:UEQ131192 UOI131191:UOM131192 UYE131191:UYI131192 VIA131191:VIE131192 VRW131191:VSA131192 WBS131191:WBW131192 WLO131191:WLS131192 WVK131191:WVO131192 C196727:G196728 IY196727:JC196728 SU196727:SY196728 ACQ196727:ACU196728 AMM196727:AMQ196728 AWI196727:AWM196728 BGE196727:BGI196728 BQA196727:BQE196728 BZW196727:CAA196728 CJS196727:CJW196728 CTO196727:CTS196728 DDK196727:DDO196728 DNG196727:DNK196728 DXC196727:DXG196728 EGY196727:EHC196728 EQU196727:EQY196728 FAQ196727:FAU196728 FKM196727:FKQ196728 FUI196727:FUM196728 GEE196727:GEI196728 GOA196727:GOE196728 GXW196727:GYA196728 HHS196727:HHW196728 HRO196727:HRS196728 IBK196727:IBO196728 ILG196727:ILK196728 IVC196727:IVG196728 JEY196727:JFC196728 JOU196727:JOY196728 JYQ196727:JYU196728 KIM196727:KIQ196728 KSI196727:KSM196728 LCE196727:LCI196728 LMA196727:LME196728 LVW196727:LWA196728 MFS196727:MFW196728 MPO196727:MPS196728 MZK196727:MZO196728 NJG196727:NJK196728 NTC196727:NTG196728 OCY196727:ODC196728 OMU196727:OMY196728 OWQ196727:OWU196728 PGM196727:PGQ196728 PQI196727:PQM196728 QAE196727:QAI196728 QKA196727:QKE196728 QTW196727:QUA196728 RDS196727:RDW196728 RNO196727:RNS196728 RXK196727:RXO196728 SHG196727:SHK196728 SRC196727:SRG196728 TAY196727:TBC196728 TKU196727:TKY196728 TUQ196727:TUU196728 UEM196727:UEQ196728 UOI196727:UOM196728 UYE196727:UYI196728 VIA196727:VIE196728 VRW196727:VSA196728 WBS196727:WBW196728 WLO196727:WLS196728 WVK196727:WVO196728 C262263:G262264 IY262263:JC262264 SU262263:SY262264 ACQ262263:ACU262264 AMM262263:AMQ262264 AWI262263:AWM262264 BGE262263:BGI262264 BQA262263:BQE262264 BZW262263:CAA262264 CJS262263:CJW262264 CTO262263:CTS262264 DDK262263:DDO262264 DNG262263:DNK262264 DXC262263:DXG262264 EGY262263:EHC262264 EQU262263:EQY262264 FAQ262263:FAU262264 FKM262263:FKQ262264 FUI262263:FUM262264 GEE262263:GEI262264 GOA262263:GOE262264 GXW262263:GYA262264 HHS262263:HHW262264 HRO262263:HRS262264 IBK262263:IBO262264 ILG262263:ILK262264 IVC262263:IVG262264 JEY262263:JFC262264 JOU262263:JOY262264 JYQ262263:JYU262264 KIM262263:KIQ262264 KSI262263:KSM262264 LCE262263:LCI262264 LMA262263:LME262264 LVW262263:LWA262264 MFS262263:MFW262264 MPO262263:MPS262264 MZK262263:MZO262264 NJG262263:NJK262264 NTC262263:NTG262264 OCY262263:ODC262264 OMU262263:OMY262264 OWQ262263:OWU262264 PGM262263:PGQ262264 PQI262263:PQM262264 QAE262263:QAI262264 QKA262263:QKE262264 QTW262263:QUA262264 RDS262263:RDW262264 RNO262263:RNS262264 RXK262263:RXO262264 SHG262263:SHK262264 SRC262263:SRG262264 TAY262263:TBC262264 TKU262263:TKY262264 TUQ262263:TUU262264 UEM262263:UEQ262264 UOI262263:UOM262264 UYE262263:UYI262264 VIA262263:VIE262264 VRW262263:VSA262264 WBS262263:WBW262264 WLO262263:WLS262264 WVK262263:WVO262264 C327799:G327800 IY327799:JC327800 SU327799:SY327800 ACQ327799:ACU327800 AMM327799:AMQ327800 AWI327799:AWM327800 BGE327799:BGI327800 BQA327799:BQE327800 BZW327799:CAA327800 CJS327799:CJW327800 CTO327799:CTS327800 DDK327799:DDO327800 DNG327799:DNK327800 DXC327799:DXG327800 EGY327799:EHC327800 EQU327799:EQY327800 FAQ327799:FAU327800 FKM327799:FKQ327800 FUI327799:FUM327800 GEE327799:GEI327800 GOA327799:GOE327800 GXW327799:GYA327800 HHS327799:HHW327800 HRO327799:HRS327800 IBK327799:IBO327800 ILG327799:ILK327800 IVC327799:IVG327800 JEY327799:JFC327800 JOU327799:JOY327800 JYQ327799:JYU327800 KIM327799:KIQ327800 KSI327799:KSM327800 LCE327799:LCI327800 LMA327799:LME327800 LVW327799:LWA327800 MFS327799:MFW327800 MPO327799:MPS327800 MZK327799:MZO327800 NJG327799:NJK327800 NTC327799:NTG327800 OCY327799:ODC327800 OMU327799:OMY327800 OWQ327799:OWU327800 PGM327799:PGQ327800 PQI327799:PQM327800 QAE327799:QAI327800 QKA327799:QKE327800 QTW327799:QUA327800 RDS327799:RDW327800 RNO327799:RNS327800 RXK327799:RXO327800 SHG327799:SHK327800 SRC327799:SRG327800 TAY327799:TBC327800 TKU327799:TKY327800 TUQ327799:TUU327800 UEM327799:UEQ327800 UOI327799:UOM327800 UYE327799:UYI327800 VIA327799:VIE327800 VRW327799:VSA327800 WBS327799:WBW327800 WLO327799:WLS327800 WVK327799:WVO327800 C393335:G393336 IY393335:JC393336 SU393335:SY393336 ACQ393335:ACU393336 AMM393335:AMQ393336 AWI393335:AWM393336 BGE393335:BGI393336 BQA393335:BQE393336 BZW393335:CAA393336 CJS393335:CJW393336 CTO393335:CTS393336 DDK393335:DDO393336 DNG393335:DNK393336 DXC393335:DXG393336 EGY393335:EHC393336 EQU393335:EQY393336 FAQ393335:FAU393336 FKM393335:FKQ393336 FUI393335:FUM393336 GEE393335:GEI393336 GOA393335:GOE393336 GXW393335:GYA393336 HHS393335:HHW393336 HRO393335:HRS393336 IBK393335:IBO393336 ILG393335:ILK393336 IVC393335:IVG393336 JEY393335:JFC393336 JOU393335:JOY393336 JYQ393335:JYU393336 KIM393335:KIQ393336 KSI393335:KSM393336 LCE393335:LCI393336 LMA393335:LME393336 LVW393335:LWA393336 MFS393335:MFW393336 MPO393335:MPS393336 MZK393335:MZO393336 NJG393335:NJK393336 NTC393335:NTG393336 OCY393335:ODC393336 OMU393335:OMY393336 OWQ393335:OWU393336 PGM393335:PGQ393336 PQI393335:PQM393336 QAE393335:QAI393336 QKA393335:QKE393336 QTW393335:QUA393336 RDS393335:RDW393336 RNO393335:RNS393336 RXK393335:RXO393336 SHG393335:SHK393336 SRC393335:SRG393336 TAY393335:TBC393336 TKU393335:TKY393336 TUQ393335:TUU393336 UEM393335:UEQ393336 UOI393335:UOM393336 UYE393335:UYI393336 VIA393335:VIE393336 VRW393335:VSA393336 WBS393335:WBW393336 WLO393335:WLS393336 WVK393335:WVO393336 C458871:G458872 IY458871:JC458872 SU458871:SY458872 ACQ458871:ACU458872 AMM458871:AMQ458872 AWI458871:AWM458872 BGE458871:BGI458872 BQA458871:BQE458872 BZW458871:CAA458872 CJS458871:CJW458872 CTO458871:CTS458872 DDK458871:DDO458872 DNG458871:DNK458872 DXC458871:DXG458872 EGY458871:EHC458872 EQU458871:EQY458872 FAQ458871:FAU458872 FKM458871:FKQ458872 FUI458871:FUM458872 GEE458871:GEI458872 GOA458871:GOE458872 GXW458871:GYA458872 HHS458871:HHW458872 HRO458871:HRS458872 IBK458871:IBO458872 ILG458871:ILK458872 IVC458871:IVG458872 JEY458871:JFC458872 JOU458871:JOY458872 JYQ458871:JYU458872 KIM458871:KIQ458872 KSI458871:KSM458872 LCE458871:LCI458872 LMA458871:LME458872 LVW458871:LWA458872 MFS458871:MFW458872 MPO458871:MPS458872 MZK458871:MZO458872 NJG458871:NJK458872 NTC458871:NTG458872 OCY458871:ODC458872 OMU458871:OMY458872 OWQ458871:OWU458872 PGM458871:PGQ458872 PQI458871:PQM458872 QAE458871:QAI458872 QKA458871:QKE458872 QTW458871:QUA458872 RDS458871:RDW458872 RNO458871:RNS458872 RXK458871:RXO458872 SHG458871:SHK458872 SRC458871:SRG458872 TAY458871:TBC458872 TKU458871:TKY458872 TUQ458871:TUU458872 UEM458871:UEQ458872 UOI458871:UOM458872 UYE458871:UYI458872 VIA458871:VIE458872 VRW458871:VSA458872 WBS458871:WBW458872 WLO458871:WLS458872 WVK458871:WVO458872 C524407:G524408 IY524407:JC524408 SU524407:SY524408 ACQ524407:ACU524408 AMM524407:AMQ524408 AWI524407:AWM524408 BGE524407:BGI524408 BQA524407:BQE524408 BZW524407:CAA524408 CJS524407:CJW524408 CTO524407:CTS524408 DDK524407:DDO524408 DNG524407:DNK524408 DXC524407:DXG524408 EGY524407:EHC524408 EQU524407:EQY524408 FAQ524407:FAU524408 FKM524407:FKQ524408 FUI524407:FUM524408 GEE524407:GEI524408 GOA524407:GOE524408 GXW524407:GYA524408 HHS524407:HHW524408 HRO524407:HRS524408 IBK524407:IBO524408 ILG524407:ILK524408 IVC524407:IVG524408 JEY524407:JFC524408 JOU524407:JOY524408 JYQ524407:JYU524408 KIM524407:KIQ524408 KSI524407:KSM524408 LCE524407:LCI524408 LMA524407:LME524408 LVW524407:LWA524408 MFS524407:MFW524408 MPO524407:MPS524408 MZK524407:MZO524408 NJG524407:NJK524408 NTC524407:NTG524408 OCY524407:ODC524408 OMU524407:OMY524408 OWQ524407:OWU524408 PGM524407:PGQ524408 PQI524407:PQM524408 QAE524407:QAI524408 QKA524407:QKE524408 QTW524407:QUA524408 RDS524407:RDW524408 RNO524407:RNS524408 RXK524407:RXO524408 SHG524407:SHK524408 SRC524407:SRG524408 TAY524407:TBC524408 TKU524407:TKY524408 TUQ524407:TUU524408 UEM524407:UEQ524408 UOI524407:UOM524408 UYE524407:UYI524408 VIA524407:VIE524408 VRW524407:VSA524408 WBS524407:WBW524408 WLO524407:WLS524408 WVK524407:WVO524408 C589943:G589944 IY589943:JC589944 SU589943:SY589944 ACQ589943:ACU589944 AMM589943:AMQ589944 AWI589943:AWM589944 BGE589943:BGI589944 BQA589943:BQE589944 BZW589943:CAA589944 CJS589943:CJW589944 CTO589943:CTS589944 DDK589943:DDO589944 DNG589943:DNK589944 DXC589943:DXG589944 EGY589943:EHC589944 EQU589943:EQY589944 FAQ589943:FAU589944 FKM589943:FKQ589944 FUI589943:FUM589944 GEE589943:GEI589944 GOA589943:GOE589944 GXW589943:GYA589944 HHS589943:HHW589944 HRO589943:HRS589944 IBK589943:IBO589944 ILG589943:ILK589944 IVC589943:IVG589944 JEY589943:JFC589944 JOU589943:JOY589944 JYQ589943:JYU589944 KIM589943:KIQ589944 KSI589943:KSM589944 LCE589943:LCI589944 LMA589943:LME589944 LVW589943:LWA589944 MFS589943:MFW589944 MPO589943:MPS589944 MZK589943:MZO589944 NJG589943:NJK589944 NTC589943:NTG589944 OCY589943:ODC589944 OMU589943:OMY589944 OWQ589943:OWU589944 PGM589943:PGQ589944 PQI589943:PQM589944 QAE589943:QAI589944 QKA589943:QKE589944 QTW589943:QUA589944 RDS589943:RDW589944 RNO589943:RNS589944 RXK589943:RXO589944 SHG589943:SHK589944 SRC589943:SRG589944 TAY589943:TBC589944 TKU589943:TKY589944 TUQ589943:TUU589944 UEM589943:UEQ589944 UOI589943:UOM589944 UYE589943:UYI589944 VIA589943:VIE589944 VRW589943:VSA589944 WBS589943:WBW589944 WLO589943:WLS589944 WVK589943:WVO589944 C655479:G655480 IY655479:JC655480 SU655479:SY655480 ACQ655479:ACU655480 AMM655479:AMQ655480 AWI655479:AWM655480 BGE655479:BGI655480 BQA655479:BQE655480 BZW655479:CAA655480 CJS655479:CJW655480 CTO655479:CTS655480 DDK655479:DDO655480 DNG655479:DNK655480 DXC655479:DXG655480 EGY655479:EHC655480 EQU655479:EQY655480 FAQ655479:FAU655480 FKM655479:FKQ655480 FUI655479:FUM655480 GEE655479:GEI655480 GOA655479:GOE655480 GXW655479:GYA655480 HHS655479:HHW655480 HRO655479:HRS655480 IBK655479:IBO655480 ILG655479:ILK655480 IVC655479:IVG655480 JEY655479:JFC655480 JOU655479:JOY655480 JYQ655479:JYU655480 KIM655479:KIQ655480 KSI655479:KSM655480 LCE655479:LCI655480 LMA655479:LME655480 LVW655479:LWA655480 MFS655479:MFW655480 MPO655479:MPS655480 MZK655479:MZO655480 NJG655479:NJK655480 NTC655479:NTG655480 OCY655479:ODC655480 OMU655479:OMY655480 OWQ655479:OWU655480 PGM655479:PGQ655480 PQI655479:PQM655480 QAE655479:QAI655480 QKA655479:QKE655480 QTW655479:QUA655480 RDS655479:RDW655480 RNO655479:RNS655480 RXK655479:RXO655480 SHG655479:SHK655480 SRC655479:SRG655480 TAY655479:TBC655480 TKU655479:TKY655480 TUQ655479:TUU655480 UEM655479:UEQ655480 UOI655479:UOM655480 UYE655479:UYI655480 VIA655479:VIE655480 VRW655479:VSA655480 WBS655479:WBW655480 WLO655479:WLS655480 WVK655479:WVO655480 C721015:G721016 IY721015:JC721016 SU721015:SY721016 ACQ721015:ACU721016 AMM721015:AMQ721016 AWI721015:AWM721016 BGE721015:BGI721016 BQA721015:BQE721016 BZW721015:CAA721016 CJS721015:CJW721016 CTO721015:CTS721016 DDK721015:DDO721016 DNG721015:DNK721016 DXC721015:DXG721016 EGY721015:EHC721016 EQU721015:EQY721016 FAQ721015:FAU721016 FKM721015:FKQ721016 FUI721015:FUM721016 GEE721015:GEI721016 GOA721015:GOE721016 GXW721015:GYA721016 HHS721015:HHW721016 HRO721015:HRS721016 IBK721015:IBO721016 ILG721015:ILK721016 IVC721015:IVG721016 JEY721015:JFC721016 JOU721015:JOY721016 JYQ721015:JYU721016 KIM721015:KIQ721016 KSI721015:KSM721016 LCE721015:LCI721016 LMA721015:LME721016 LVW721015:LWA721016 MFS721015:MFW721016 MPO721015:MPS721016 MZK721015:MZO721016 NJG721015:NJK721016 NTC721015:NTG721016 OCY721015:ODC721016 OMU721015:OMY721016 OWQ721015:OWU721016 PGM721015:PGQ721016 PQI721015:PQM721016 QAE721015:QAI721016 QKA721015:QKE721016 QTW721015:QUA721016 RDS721015:RDW721016 RNO721015:RNS721016 RXK721015:RXO721016 SHG721015:SHK721016 SRC721015:SRG721016 TAY721015:TBC721016 TKU721015:TKY721016 TUQ721015:TUU721016 UEM721015:UEQ721016 UOI721015:UOM721016 UYE721015:UYI721016 VIA721015:VIE721016 VRW721015:VSA721016 WBS721015:WBW721016 WLO721015:WLS721016 WVK721015:WVO721016 C786551:G786552 IY786551:JC786552 SU786551:SY786552 ACQ786551:ACU786552 AMM786551:AMQ786552 AWI786551:AWM786552 BGE786551:BGI786552 BQA786551:BQE786552 BZW786551:CAA786552 CJS786551:CJW786552 CTO786551:CTS786552 DDK786551:DDO786552 DNG786551:DNK786552 DXC786551:DXG786552 EGY786551:EHC786552 EQU786551:EQY786552 FAQ786551:FAU786552 FKM786551:FKQ786552 FUI786551:FUM786552 GEE786551:GEI786552 GOA786551:GOE786552 GXW786551:GYA786552 HHS786551:HHW786552 HRO786551:HRS786552 IBK786551:IBO786552 ILG786551:ILK786552 IVC786551:IVG786552 JEY786551:JFC786552 JOU786551:JOY786552 JYQ786551:JYU786552 KIM786551:KIQ786552 KSI786551:KSM786552 LCE786551:LCI786552 LMA786551:LME786552 LVW786551:LWA786552 MFS786551:MFW786552 MPO786551:MPS786552 MZK786551:MZO786552 NJG786551:NJK786552 NTC786551:NTG786552 OCY786551:ODC786552 OMU786551:OMY786552 OWQ786551:OWU786552 PGM786551:PGQ786552 PQI786551:PQM786552 QAE786551:QAI786552 QKA786551:QKE786552 QTW786551:QUA786552 RDS786551:RDW786552 RNO786551:RNS786552 RXK786551:RXO786552 SHG786551:SHK786552 SRC786551:SRG786552 TAY786551:TBC786552 TKU786551:TKY786552 TUQ786551:TUU786552 UEM786551:UEQ786552 UOI786551:UOM786552 UYE786551:UYI786552 VIA786551:VIE786552 VRW786551:VSA786552 WBS786551:WBW786552 WLO786551:WLS786552 WVK786551:WVO786552 C852087:G852088 IY852087:JC852088 SU852087:SY852088 ACQ852087:ACU852088 AMM852087:AMQ852088 AWI852087:AWM852088 BGE852087:BGI852088 BQA852087:BQE852088 BZW852087:CAA852088 CJS852087:CJW852088 CTO852087:CTS852088 DDK852087:DDO852088 DNG852087:DNK852088 DXC852087:DXG852088 EGY852087:EHC852088 EQU852087:EQY852088 FAQ852087:FAU852088 FKM852087:FKQ852088 FUI852087:FUM852088 GEE852087:GEI852088 GOA852087:GOE852088 GXW852087:GYA852088 HHS852087:HHW852088 HRO852087:HRS852088 IBK852087:IBO852088 ILG852087:ILK852088 IVC852087:IVG852088 JEY852087:JFC852088 JOU852087:JOY852088 JYQ852087:JYU852088 KIM852087:KIQ852088 KSI852087:KSM852088 LCE852087:LCI852088 LMA852087:LME852088 LVW852087:LWA852088 MFS852087:MFW852088 MPO852087:MPS852088 MZK852087:MZO852088 NJG852087:NJK852088 NTC852087:NTG852088 OCY852087:ODC852088 OMU852087:OMY852088 OWQ852087:OWU852088 PGM852087:PGQ852088 PQI852087:PQM852088 QAE852087:QAI852088 QKA852087:QKE852088 QTW852087:QUA852088 RDS852087:RDW852088 RNO852087:RNS852088 RXK852087:RXO852088 SHG852087:SHK852088 SRC852087:SRG852088 TAY852087:TBC852088 TKU852087:TKY852088 TUQ852087:TUU852088 UEM852087:UEQ852088 UOI852087:UOM852088 UYE852087:UYI852088 VIA852087:VIE852088 VRW852087:VSA852088 WBS852087:WBW852088 WLO852087:WLS852088 WVK852087:WVO852088 C917623:G917624 IY917623:JC917624 SU917623:SY917624 ACQ917623:ACU917624 AMM917623:AMQ917624 AWI917623:AWM917624 BGE917623:BGI917624 BQA917623:BQE917624 BZW917623:CAA917624 CJS917623:CJW917624 CTO917623:CTS917624 DDK917623:DDO917624 DNG917623:DNK917624 DXC917623:DXG917624 EGY917623:EHC917624 EQU917623:EQY917624 FAQ917623:FAU917624 FKM917623:FKQ917624 FUI917623:FUM917624 GEE917623:GEI917624 GOA917623:GOE917624 GXW917623:GYA917624 HHS917623:HHW917624 HRO917623:HRS917624 IBK917623:IBO917624 ILG917623:ILK917624 IVC917623:IVG917624 JEY917623:JFC917624 JOU917623:JOY917624 JYQ917623:JYU917624 KIM917623:KIQ917624 KSI917623:KSM917624 LCE917623:LCI917624 LMA917623:LME917624 LVW917623:LWA917624 MFS917623:MFW917624 MPO917623:MPS917624 MZK917623:MZO917624 NJG917623:NJK917624 NTC917623:NTG917624 OCY917623:ODC917624 OMU917623:OMY917624 OWQ917623:OWU917624 PGM917623:PGQ917624 PQI917623:PQM917624 QAE917623:QAI917624 QKA917623:QKE917624 QTW917623:QUA917624 RDS917623:RDW917624 RNO917623:RNS917624 RXK917623:RXO917624 SHG917623:SHK917624 SRC917623:SRG917624 TAY917623:TBC917624 TKU917623:TKY917624 TUQ917623:TUU917624 UEM917623:UEQ917624 UOI917623:UOM917624 UYE917623:UYI917624 VIA917623:VIE917624 VRW917623:VSA917624 WBS917623:WBW917624 WLO917623:WLS917624 WVK917623:WVO917624 C983159:G983160 IY983159:JC983160 SU983159:SY983160 ACQ983159:ACU983160 AMM983159:AMQ983160 AWI983159:AWM983160 BGE983159:BGI983160 BQA983159:BQE983160 BZW983159:CAA983160 CJS983159:CJW983160 CTO983159:CTS983160 DDK983159:DDO983160 DNG983159:DNK983160 DXC983159:DXG983160 EGY983159:EHC983160 EQU983159:EQY983160 FAQ983159:FAU983160 FKM983159:FKQ983160 FUI983159:FUM983160 GEE983159:GEI983160 GOA983159:GOE983160 GXW983159:GYA983160 HHS983159:HHW983160 HRO983159:HRS983160 IBK983159:IBO983160 ILG983159:ILK983160 IVC983159:IVG983160 JEY983159:JFC983160 JOU983159:JOY983160 JYQ983159:JYU983160 KIM983159:KIQ983160 KSI983159:KSM983160 LCE983159:LCI983160 LMA983159:LME983160 LVW983159:LWA983160 MFS983159:MFW983160 MPO983159:MPS983160 MZK983159:MZO983160 NJG983159:NJK983160 NTC983159:NTG983160 OCY983159:ODC983160 OMU983159:OMY983160 OWQ983159:OWU983160 PGM983159:PGQ983160 PQI983159:PQM983160 QAE983159:QAI983160 QKA983159:QKE983160 QTW983159:QUA983160 RDS983159:RDW983160 RNO983159:RNS983160 RXK983159:RXO983160 SHG983159:SHK983160 SRC983159:SRG983160 TAY983159:TBC983160 TKU983159:TKY983160 TUQ983159:TUU983160 UEM983159:UEQ983160 UOI983159:UOM983160 UYE983159:UYI983160 VIA983159:VIE983160 VRW983159:VSA983160 WBS983159:WBW983160 WLO983159:WLS983160 WVK983159:WVO983160 I119:V120 JE119:JR120 TA119:TN120 ACW119:ADJ120 AMS119:ANF120 AWO119:AXB120 BGK119:BGX120 BQG119:BQT120 CAC119:CAP120 CJY119:CKL120 CTU119:CUH120 DDQ119:DED120 DNM119:DNZ120 DXI119:DXV120 EHE119:EHR120 ERA119:ERN120 FAW119:FBJ120 FKS119:FLF120 FUO119:FVB120 GEK119:GEX120 GOG119:GOT120 GYC119:GYP120 HHY119:HIL120 HRU119:HSH120 IBQ119:ICD120 ILM119:ILZ120 IVI119:IVV120 JFE119:JFR120 JPA119:JPN120 JYW119:JZJ120 KIS119:KJF120 KSO119:KTB120 LCK119:LCX120 LMG119:LMT120 LWC119:LWP120 MFY119:MGL120 MPU119:MQH120 MZQ119:NAD120 NJM119:NJZ120 NTI119:NTV120 ODE119:ODR120 ONA119:ONN120 OWW119:OXJ120 PGS119:PHF120 PQO119:PRB120 QAK119:QAX120 QKG119:QKT120 QUC119:QUP120 RDY119:REL120 RNU119:ROH120 RXQ119:RYD120 SHM119:SHZ120 SRI119:SRV120 TBE119:TBR120 TLA119:TLN120 TUW119:TVJ120 UES119:UFF120 UOO119:UPB120 UYK119:UYX120 VIG119:VIT120 VSC119:VSP120 WBY119:WCL120 WLU119:WMH120 WVQ119:WWD120 I65655:V65656 JE65655:JR65656 TA65655:TN65656 ACW65655:ADJ65656 AMS65655:ANF65656 AWO65655:AXB65656 BGK65655:BGX65656 BQG65655:BQT65656 CAC65655:CAP65656 CJY65655:CKL65656 CTU65655:CUH65656 DDQ65655:DED65656 DNM65655:DNZ65656 DXI65655:DXV65656 EHE65655:EHR65656 ERA65655:ERN65656 FAW65655:FBJ65656 FKS65655:FLF65656 FUO65655:FVB65656 GEK65655:GEX65656 GOG65655:GOT65656 GYC65655:GYP65656 HHY65655:HIL65656 HRU65655:HSH65656 IBQ65655:ICD65656 ILM65655:ILZ65656 IVI65655:IVV65656 JFE65655:JFR65656 JPA65655:JPN65656 JYW65655:JZJ65656 KIS65655:KJF65656 KSO65655:KTB65656 LCK65655:LCX65656 LMG65655:LMT65656 LWC65655:LWP65656 MFY65655:MGL65656 MPU65655:MQH65656 MZQ65655:NAD65656 NJM65655:NJZ65656 NTI65655:NTV65656 ODE65655:ODR65656 ONA65655:ONN65656 OWW65655:OXJ65656 PGS65655:PHF65656 PQO65655:PRB65656 QAK65655:QAX65656 QKG65655:QKT65656 QUC65655:QUP65656 RDY65655:REL65656 RNU65655:ROH65656 RXQ65655:RYD65656 SHM65655:SHZ65656 SRI65655:SRV65656 TBE65655:TBR65656 TLA65655:TLN65656 TUW65655:TVJ65656 UES65655:UFF65656 UOO65655:UPB65656 UYK65655:UYX65656 VIG65655:VIT65656 VSC65655:VSP65656 WBY65655:WCL65656 WLU65655:WMH65656 WVQ65655:WWD65656 I131191:V131192 JE131191:JR131192 TA131191:TN131192 ACW131191:ADJ131192 AMS131191:ANF131192 AWO131191:AXB131192 BGK131191:BGX131192 BQG131191:BQT131192 CAC131191:CAP131192 CJY131191:CKL131192 CTU131191:CUH131192 DDQ131191:DED131192 DNM131191:DNZ131192 DXI131191:DXV131192 EHE131191:EHR131192 ERA131191:ERN131192 FAW131191:FBJ131192 FKS131191:FLF131192 FUO131191:FVB131192 GEK131191:GEX131192 GOG131191:GOT131192 GYC131191:GYP131192 HHY131191:HIL131192 HRU131191:HSH131192 IBQ131191:ICD131192 ILM131191:ILZ131192 IVI131191:IVV131192 JFE131191:JFR131192 JPA131191:JPN131192 JYW131191:JZJ131192 KIS131191:KJF131192 KSO131191:KTB131192 LCK131191:LCX131192 LMG131191:LMT131192 LWC131191:LWP131192 MFY131191:MGL131192 MPU131191:MQH131192 MZQ131191:NAD131192 NJM131191:NJZ131192 NTI131191:NTV131192 ODE131191:ODR131192 ONA131191:ONN131192 OWW131191:OXJ131192 PGS131191:PHF131192 PQO131191:PRB131192 QAK131191:QAX131192 QKG131191:QKT131192 QUC131191:QUP131192 RDY131191:REL131192 RNU131191:ROH131192 RXQ131191:RYD131192 SHM131191:SHZ131192 SRI131191:SRV131192 TBE131191:TBR131192 TLA131191:TLN131192 TUW131191:TVJ131192 UES131191:UFF131192 UOO131191:UPB131192 UYK131191:UYX131192 VIG131191:VIT131192 VSC131191:VSP131192 WBY131191:WCL131192 WLU131191:WMH131192 WVQ131191:WWD131192 I196727:V196728 JE196727:JR196728 TA196727:TN196728 ACW196727:ADJ196728 AMS196727:ANF196728 AWO196727:AXB196728 BGK196727:BGX196728 BQG196727:BQT196728 CAC196727:CAP196728 CJY196727:CKL196728 CTU196727:CUH196728 DDQ196727:DED196728 DNM196727:DNZ196728 DXI196727:DXV196728 EHE196727:EHR196728 ERA196727:ERN196728 FAW196727:FBJ196728 FKS196727:FLF196728 FUO196727:FVB196728 GEK196727:GEX196728 GOG196727:GOT196728 GYC196727:GYP196728 HHY196727:HIL196728 HRU196727:HSH196728 IBQ196727:ICD196728 ILM196727:ILZ196728 IVI196727:IVV196728 JFE196727:JFR196728 JPA196727:JPN196728 JYW196727:JZJ196728 KIS196727:KJF196728 KSO196727:KTB196728 LCK196727:LCX196728 LMG196727:LMT196728 LWC196727:LWP196728 MFY196727:MGL196728 MPU196727:MQH196728 MZQ196727:NAD196728 NJM196727:NJZ196728 NTI196727:NTV196728 ODE196727:ODR196728 ONA196727:ONN196728 OWW196727:OXJ196728 PGS196727:PHF196728 PQO196727:PRB196728 QAK196727:QAX196728 QKG196727:QKT196728 QUC196727:QUP196728 RDY196727:REL196728 RNU196727:ROH196728 RXQ196727:RYD196728 SHM196727:SHZ196728 SRI196727:SRV196728 TBE196727:TBR196728 TLA196727:TLN196728 TUW196727:TVJ196728 UES196727:UFF196728 UOO196727:UPB196728 UYK196727:UYX196728 VIG196727:VIT196728 VSC196727:VSP196728 WBY196727:WCL196728 WLU196727:WMH196728 WVQ196727:WWD196728 I262263:V262264 JE262263:JR262264 TA262263:TN262264 ACW262263:ADJ262264 AMS262263:ANF262264 AWO262263:AXB262264 BGK262263:BGX262264 BQG262263:BQT262264 CAC262263:CAP262264 CJY262263:CKL262264 CTU262263:CUH262264 DDQ262263:DED262264 DNM262263:DNZ262264 DXI262263:DXV262264 EHE262263:EHR262264 ERA262263:ERN262264 FAW262263:FBJ262264 FKS262263:FLF262264 FUO262263:FVB262264 GEK262263:GEX262264 GOG262263:GOT262264 GYC262263:GYP262264 HHY262263:HIL262264 HRU262263:HSH262264 IBQ262263:ICD262264 ILM262263:ILZ262264 IVI262263:IVV262264 JFE262263:JFR262264 JPA262263:JPN262264 JYW262263:JZJ262264 KIS262263:KJF262264 KSO262263:KTB262264 LCK262263:LCX262264 LMG262263:LMT262264 LWC262263:LWP262264 MFY262263:MGL262264 MPU262263:MQH262264 MZQ262263:NAD262264 NJM262263:NJZ262264 NTI262263:NTV262264 ODE262263:ODR262264 ONA262263:ONN262264 OWW262263:OXJ262264 PGS262263:PHF262264 PQO262263:PRB262264 QAK262263:QAX262264 QKG262263:QKT262264 QUC262263:QUP262264 RDY262263:REL262264 RNU262263:ROH262264 RXQ262263:RYD262264 SHM262263:SHZ262264 SRI262263:SRV262264 TBE262263:TBR262264 TLA262263:TLN262264 TUW262263:TVJ262264 UES262263:UFF262264 UOO262263:UPB262264 UYK262263:UYX262264 VIG262263:VIT262264 VSC262263:VSP262264 WBY262263:WCL262264 WLU262263:WMH262264 WVQ262263:WWD262264 I327799:V327800 JE327799:JR327800 TA327799:TN327800 ACW327799:ADJ327800 AMS327799:ANF327800 AWO327799:AXB327800 BGK327799:BGX327800 BQG327799:BQT327800 CAC327799:CAP327800 CJY327799:CKL327800 CTU327799:CUH327800 DDQ327799:DED327800 DNM327799:DNZ327800 DXI327799:DXV327800 EHE327799:EHR327800 ERA327799:ERN327800 FAW327799:FBJ327800 FKS327799:FLF327800 FUO327799:FVB327800 GEK327799:GEX327800 GOG327799:GOT327800 GYC327799:GYP327800 HHY327799:HIL327800 HRU327799:HSH327800 IBQ327799:ICD327800 ILM327799:ILZ327800 IVI327799:IVV327800 JFE327799:JFR327800 JPA327799:JPN327800 JYW327799:JZJ327800 KIS327799:KJF327800 KSO327799:KTB327800 LCK327799:LCX327800 LMG327799:LMT327800 LWC327799:LWP327800 MFY327799:MGL327800 MPU327799:MQH327800 MZQ327799:NAD327800 NJM327799:NJZ327800 NTI327799:NTV327800 ODE327799:ODR327800 ONA327799:ONN327800 OWW327799:OXJ327800 PGS327799:PHF327800 PQO327799:PRB327800 QAK327799:QAX327800 QKG327799:QKT327800 QUC327799:QUP327800 RDY327799:REL327800 RNU327799:ROH327800 RXQ327799:RYD327800 SHM327799:SHZ327800 SRI327799:SRV327800 TBE327799:TBR327800 TLA327799:TLN327800 TUW327799:TVJ327800 UES327799:UFF327800 UOO327799:UPB327800 UYK327799:UYX327800 VIG327799:VIT327800 VSC327799:VSP327800 WBY327799:WCL327800 WLU327799:WMH327800 WVQ327799:WWD327800 I393335:V393336 JE393335:JR393336 TA393335:TN393336 ACW393335:ADJ393336 AMS393335:ANF393336 AWO393335:AXB393336 BGK393335:BGX393336 BQG393335:BQT393336 CAC393335:CAP393336 CJY393335:CKL393336 CTU393335:CUH393336 DDQ393335:DED393336 DNM393335:DNZ393336 DXI393335:DXV393336 EHE393335:EHR393336 ERA393335:ERN393336 FAW393335:FBJ393336 FKS393335:FLF393336 FUO393335:FVB393336 GEK393335:GEX393336 GOG393335:GOT393336 GYC393335:GYP393336 HHY393335:HIL393336 HRU393335:HSH393336 IBQ393335:ICD393336 ILM393335:ILZ393336 IVI393335:IVV393336 JFE393335:JFR393336 JPA393335:JPN393336 JYW393335:JZJ393336 KIS393335:KJF393336 KSO393335:KTB393336 LCK393335:LCX393336 LMG393335:LMT393336 LWC393335:LWP393336 MFY393335:MGL393336 MPU393335:MQH393336 MZQ393335:NAD393336 NJM393335:NJZ393336 NTI393335:NTV393336 ODE393335:ODR393336 ONA393335:ONN393336 OWW393335:OXJ393336 PGS393335:PHF393336 PQO393335:PRB393336 QAK393335:QAX393336 QKG393335:QKT393336 QUC393335:QUP393336 RDY393335:REL393336 RNU393335:ROH393336 RXQ393335:RYD393336 SHM393335:SHZ393336 SRI393335:SRV393336 TBE393335:TBR393336 TLA393335:TLN393336 TUW393335:TVJ393336 UES393335:UFF393336 UOO393335:UPB393336 UYK393335:UYX393336 VIG393335:VIT393336 VSC393335:VSP393336 WBY393335:WCL393336 WLU393335:WMH393336 WVQ393335:WWD393336 I458871:V458872 JE458871:JR458872 TA458871:TN458872 ACW458871:ADJ458872 AMS458871:ANF458872 AWO458871:AXB458872 BGK458871:BGX458872 BQG458871:BQT458872 CAC458871:CAP458872 CJY458871:CKL458872 CTU458871:CUH458872 DDQ458871:DED458872 DNM458871:DNZ458872 DXI458871:DXV458872 EHE458871:EHR458872 ERA458871:ERN458872 FAW458871:FBJ458872 FKS458871:FLF458872 FUO458871:FVB458872 GEK458871:GEX458872 GOG458871:GOT458872 GYC458871:GYP458872 HHY458871:HIL458872 HRU458871:HSH458872 IBQ458871:ICD458872 ILM458871:ILZ458872 IVI458871:IVV458872 JFE458871:JFR458872 JPA458871:JPN458872 JYW458871:JZJ458872 KIS458871:KJF458872 KSO458871:KTB458872 LCK458871:LCX458872 LMG458871:LMT458872 LWC458871:LWP458872 MFY458871:MGL458872 MPU458871:MQH458872 MZQ458871:NAD458872 NJM458871:NJZ458872 NTI458871:NTV458872 ODE458871:ODR458872 ONA458871:ONN458872 OWW458871:OXJ458872 PGS458871:PHF458872 PQO458871:PRB458872 QAK458871:QAX458872 QKG458871:QKT458872 QUC458871:QUP458872 RDY458871:REL458872 RNU458871:ROH458872 RXQ458871:RYD458872 SHM458871:SHZ458872 SRI458871:SRV458872 TBE458871:TBR458872 TLA458871:TLN458872 TUW458871:TVJ458872 UES458871:UFF458872 UOO458871:UPB458872 UYK458871:UYX458872 VIG458871:VIT458872 VSC458871:VSP458872 WBY458871:WCL458872 WLU458871:WMH458872 WVQ458871:WWD458872 I524407:V524408 JE524407:JR524408 TA524407:TN524408 ACW524407:ADJ524408 AMS524407:ANF524408 AWO524407:AXB524408 BGK524407:BGX524408 BQG524407:BQT524408 CAC524407:CAP524408 CJY524407:CKL524408 CTU524407:CUH524408 DDQ524407:DED524408 DNM524407:DNZ524408 DXI524407:DXV524408 EHE524407:EHR524408 ERA524407:ERN524408 FAW524407:FBJ524408 FKS524407:FLF524408 FUO524407:FVB524408 GEK524407:GEX524408 GOG524407:GOT524408 GYC524407:GYP524408 HHY524407:HIL524408 HRU524407:HSH524408 IBQ524407:ICD524408 ILM524407:ILZ524408 IVI524407:IVV524408 JFE524407:JFR524408 JPA524407:JPN524408 JYW524407:JZJ524408 KIS524407:KJF524408 KSO524407:KTB524408 LCK524407:LCX524408 LMG524407:LMT524408 LWC524407:LWP524408 MFY524407:MGL524408 MPU524407:MQH524408 MZQ524407:NAD524408 NJM524407:NJZ524408 NTI524407:NTV524408 ODE524407:ODR524408 ONA524407:ONN524408 OWW524407:OXJ524408 PGS524407:PHF524408 PQO524407:PRB524408 QAK524407:QAX524408 QKG524407:QKT524408 QUC524407:QUP524408 RDY524407:REL524408 RNU524407:ROH524408 RXQ524407:RYD524408 SHM524407:SHZ524408 SRI524407:SRV524408 TBE524407:TBR524408 TLA524407:TLN524408 TUW524407:TVJ524408 UES524407:UFF524408 UOO524407:UPB524408 UYK524407:UYX524408 VIG524407:VIT524408 VSC524407:VSP524408 WBY524407:WCL524408 WLU524407:WMH524408 WVQ524407:WWD524408 I589943:V589944 JE589943:JR589944 TA589943:TN589944 ACW589943:ADJ589944 AMS589943:ANF589944 AWO589943:AXB589944 BGK589943:BGX589944 BQG589943:BQT589944 CAC589943:CAP589944 CJY589943:CKL589944 CTU589943:CUH589944 DDQ589943:DED589944 DNM589943:DNZ589944 DXI589943:DXV589944 EHE589943:EHR589944 ERA589943:ERN589944 FAW589943:FBJ589944 FKS589943:FLF589944 FUO589943:FVB589944 GEK589943:GEX589944 GOG589943:GOT589944 GYC589943:GYP589944 HHY589943:HIL589944 HRU589943:HSH589944 IBQ589943:ICD589944 ILM589943:ILZ589944 IVI589943:IVV589944 JFE589943:JFR589944 JPA589943:JPN589944 JYW589943:JZJ589944 KIS589943:KJF589944 KSO589943:KTB589944 LCK589943:LCX589944 LMG589943:LMT589944 LWC589943:LWP589944 MFY589943:MGL589944 MPU589943:MQH589944 MZQ589943:NAD589944 NJM589943:NJZ589944 NTI589943:NTV589944 ODE589943:ODR589944 ONA589943:ONN589944 OWW589943:OXJ589944 PGS589943:PHF589944 PQO589943:PRB589944 QAK589943:QAX589944 QKG589943:QKT589944 QUC589943:QUP589944 RDY589943:REL589944 RNU589943:ROH589944 RXQ589943:RYD589944 SHM589943:SHZ589944 SRI589943:SRV589944 TBE589943:TBR589944 TLA589943:TLN589944 TUW589943:TVJ589944 UES589943:UFF589944 UOO589943:UPB589944 UYK589943:UYX589944 VIG589943:VIT589944 VSC589943:VSP589944 WBY589943:WCL589944 WLU589943:WMH589944 WVQ589943:WWD589944 I655479:V655480 JE655479:JR655480 TA655479:TN655480 ACW655479:ADJ655480 AMS655479:ANF655480 AWO655479:AXB655480 BGK655479:BGX655480 BQG655479:BQT655480 CAC655479:CAP655480 CJY655479:CKL655480 CTU655479:CUH655480 DDQ655479:DED655480 DNM655479:DNZ655480 DXI655479:DXV655480 EHE655479:EHR655480 ERA655479:ERN655480 FAW655479:FBJ655480 FKS655479:FLF655480 FUO655479:FVB655480 GEK655479:GEX655480 GOG655479:GOT655480 GYC655479:GYP655480 HHY655479:HIL655480 HRU655479:HSH655480 IBQ655479:ICD655480 ILM655479:ILZ655480 IVI655479:IVV655480 JFE655479:JFR655480 JPA655479:JPN655480 JYW655479:JZJ655480 KIS655479:KJF655480 KSO655479:KTB655480 LCK655479:LCX655480 LMG655479:LMT655480 LWC655479:LWP655480 MFY655479:MGL655480 MPU655479:MQH655480 MZQ655479:NAD655480 NJM655479:NJZ655480 NTI655479:NTV655480 ODE655479:ODR655480 ONA655479:ONN655480 OWW655479:OXJ655480 PGS655479:PHF655480 PQO655479:PRB655480 QAK655479:QAX655480 QKG655479:QKT655480 QUC655479:QUP655480 RDY655479:REL655480 RNU655479:ROH655480 RXQ655479:RYD655480 SHM655479:SHZ655480 SRI655479:SRV655480 TBE655479:TBR655480 TLA655479:TLN655480 TUW655479:TVJ655480 UES655479:UFF655480 UOO655479:UPB655480 UYK655479:UYX655480 VIG655479:VIT655480 VSC655479:VSP655480 WBY655479:WCL655480 WLU655479:WMH655480 WVQ655479:WWD655480 I721015:V721016 JE721015:JR721016 TA721015:TN721016 ACW721015:ADJ721016 AMS721015:ANF721016 AWO721015:AXB721016 BGK721015:BGX721016 BQG721015:BQT721016 CAC721015:CAP721016 CJY721015:CKL721016 CTU721015:CUH721016 DDQ721015:DED721016 DNM721015:DNZ721016 DXI721015:DXV721016 EHE721015:EHR721016 ERA721015:ERN721016 FAW721015:FBJ721016 FKS721015:FLF721016 FUO721015:FVB721016 GEK721015:GEX721016 GOG721015:GOT721016 GYC721015:GYP721016 HHY721015:HIL721016 HRU721015:HSH721016 IBQ721015:ICD721016 ILM721015:ILZ721016 IVI721015:IVV721016 JFE721015:JFR721016 JPA721015:JPN721016 JYW721015:JZJ721016 KIS721015:KJF721016 KSO721015:KTB721016 LCK721015:LCX721016 LMG721015:LMT721016 LWC721015:LWP721016 MFY721015:MGL721016 MPU721015:MQH721016 MZQ721015:NAD721016 NJM721015:NJZ721016 NTI721015:NTV721016 ODE721015:ODR721016 ONA721015:ONN721016 OWW721015:OXJ721016 PGS721015:PHF721016 PQO721015:PRB721016 QAK721015:QAX721016 QKG721015:QKT721016 QUC721015:QUP721016 RDY721015:REL721016 RNU721015:ROH721016 RXQ721015:RYD721016 SHM721015:SHZ721016 SRI721015:SRV721016 TBE721015:TBR721016 TLA721015:TLN721016 TUW721015:TVJ721016 UES721015:UFF721016 UOO721015:UPB721016 UYK721015:UYX721016 VIG721015:VIT721016 VSC721015:VSP721016 WBY721015:WCL721016 WLU721015:WMH721016 WVQ721015:WWD721016 I786551:V786552 JE786551:JR786552 TA786551:TN786552 ACW786551:ADJ786552 AMS786551:ANF786552 AWO786551:AXB786552 BGK786551:BGX786552 BQG786551:BQT786552 CAC786551:CAP786552 CJY786551:CKL786552 CTU786551:CUH786552 DDQ786551:DED786552 DNM786551:DNZ786552 DXI786551:DXV786552 EHE786551:EHR786552 ERA786551:ERN786552 FAW786551:FBJ786552 FKS786551:FLF786552 FUO786551:FVB786552 GEK786551:GEX786552 GOG786551:GOT786552 GYC786551:GYP786552 HHY786551:HIL786552 HRU786551:HSH786552 IBQ786551:ICD786552 ILM786551:ILZ786552 IVI786551:IVV786552 JFE786551:JFR786552 JPA786551:JPN786552 JYW786551:JZJ786552 KIS786551:KJF786552 KSO786551:KTB786552 LCK786551:LCX786552 LMG786551:LMT786552 LWC786551:LWP786552 MFY786551:MGL786552 MPU786551:MQH786552 MZQ786551:NAD786552 NJM786551:NJZ786552 NTI786551:NTV786552 ODE786551:ODR786552 ONA786551:ONN786552 OWW786551:OXJ786552 PGS786551:PHF786552 PQO786551:PRB786552 QAK786551:QAX786552 QKG786551:QKT786552 QUC786551:QUP786552 RDY786551:REL786552 RNU786551:ROH786552 RXQ786551:RYD786552 SHM786551:SHZ786552 SRI786551:SRV786552 TBE786551:TBR786552 TLA786551:TLN786552 TUW786551:TVJ786552 UES786551:UFF786552 UOO786551:UPB786552 UYK786551:UYX786552 VIG786551:VIT786552 VSC786551:VSP786552 WBY786551:WCL786552 WLU786551:WMH786552 WVQ786551:WWD786552 I852087:V852088 JE852087:JR852088 TA852087:TN852088 ACW852087:ADJ852088 AMS852087:ANF852088 AWO852087:AXB852088 BGK852087:BGX852088 BQG852087:BQT852088 CAC852087:CAP852088 CJY852087:CKL852088 CTU852087:CUH852088 DDQ852087:DED852088 DNM852087:DNZ852088 DXI852087:DXV852088 EHE852087:EHR852088 ERA852087:ERN852088 FAW852087:FBJ852088 FKS852087:FLF852088 FUO852087:FVB852088 GEK852087:GEX852088 GOG852087:GOT852088 GYC852087:GYP852088 HHY852087:HIL852088 HRU852087:HSH852088 IBQ852087:ICD852088 ILM852087:ILZ852088 IVI852087:IVV852088 JFE852087:JFR852088 JPA852087:JPN852088 JYW852087:JZJ852088 KIS852087:KJF852088 KSO852087:KTB852088 LCK852087:LCX852088 LMG852087:LMT852088 LWC852087:LWP852088 MFY852087:MGL852088 MPU852087:MQH852088 MZQ852087:NAD852088 NJM852087:NJZ852088 NTI852087:NTV852088 ODE852087:ODR852088 ONA852087:ONN852088 OWW852087:OXJ852088 PGS852087:PHF852088 PQO852087:PRB852088 QAK852087:QAX852088 QKG852087:QKT852088 QUC852087:QUP852088 RDY852087:REL852088 RNU852087:ROH852088 RXQ852087:RYD852088 SHM852087:SHZ852088 SRI852087:SRV852088 TBE852087:TBR852088 TLA852087:TLN852088 TUW852087:TVJ852088 UES852087:UFF852088 UOO852087:UPB852088 UYK852087:UYX852088 VIG852087:VIT852088 VSC852087:VSP852088 WBY852087:WCL852088 WLU852087:WMH852088 WVQ852087:WWD852088 I917623:V917624 JE917623:JR917624 TA917623:TN917624 ACW917623:ADJ917624 AMS917623:ANF917624 AWO917623:AXB917624 BGK917623:BGX917624 BQG917623:BQT917624 CAC917623:CAP917624 CJY917623:CKL917624 CTU917623:CUH917624 DDQ917623:DED917624 DNM917623:DNZ917624 DXI917623:DXV917624 EHE917623:EHR917624 ERA917623:ERN917624 FAW917623:FBJ917624 FKS917623:FLF917624 FUO917623:FVB917624 GEK917623:GEX917624 GOG917623:GOT917624 GYC917623:GYP917624 HHY917623:HIL917624 HRU917623:HSH917624 IBQ917623:ICD917624 ILM917623:ILZ917624 IVI917623:IVV917624 JFE917623:JFR917624 JPA917623:JPN917624 JYW917623:JZJ917624 KIS917623:KJF917624 KSO917623:KTB917624 LCK917623:LCX917624 LMG917623:LMT917624 LWC917623:LWP917624 MFY917623:MGL917624 MPU917623:MQH917624 MZQ917623:NAD917624 NJM917623:NJZ917624 NTI917623:NTV917624 ODE917623:ODR917624 ONA917623:ONN917624 OWW917623:OXJ917624 PGS917623:PHF917624 PQO917623:PRB917624 QAK917623:QAX917624 QKG917623:QKT917624 QUC917623:QUP917624 RDY917623:REL917624 RNU917623:ROH917624 RXQ917623:RYD917624 SHM917623:SHZ917624 SRI917623:SRV917624 TBE917623:TBR917624 TLA917623:TLN917624 TUW917623:TVJ917624 UES917623:UFF917624 UOO917623:UPB917624 UYK917623:UYX917624 VIG917623:VIT917624 VSC917623:VSP917624 WBY917623:WCL917624 WLU917623:WMH917624 WVQ917623:WWD917624 I983159:V983160 JE983159:JR983160 TA983159:TN983160 ACW983159:ADJ983160 AMS983159:ANF983160 AWO983159:AXB983160 BGK983159:BGX983160 BQG983159:BQT983160 CAC983159:CAP983160 CJY983159:CKL983160 CTU983159:CUH983160 DDQ983159:DED983160 DNM983159:DNZ983160 DXI983159:DXV983160 EHE983159:EHR983160 ERA983159:ERN983160 FAW983159:FBJ983160 FKS983159:FLF983160 FUO983159:FVB983160 GEK983159:GEX983160 GOG983159:GOT983160 GYC983159:GYP983160 HHY983159:HIL983160 HRU983159:HSH983160 IBQ983159:ICD983160 ILM983159:ILZ983160 IVI983159:IVV983160 JFE983159:JFR983160 JPA983159:JPN983160 JYW983159:JZJ983160 KIS983159:KJF983160 KSO983159:KTB983160 LCK983159:LCX983160 LMG983159:LMT983160 LWC983159:LWP983160 MFY983159:MGL983160 MPU983159:MQH983160 MZQ983159:NAD983160 NJM983159:NJZ983160 NTI983159:NTV983160 ODE983159:ODR983160 ONA983159:ONN983160 OWW983159:OXJ983160 PGS983159:PHF983160 PQO983159:PRB983160 QAK983159:QAX983160 QKG983159:QKT983160 QUC983159:QUP983160 RDY983159:REL983160 RNU983159:ROH983160 RXQ983159:RYD983160 SHM983159:SHZ983160 SRI983159:SRV983160 TBE983159:TBR983160 TLA983159:TLN983160 TUW983159:TVJ983160 UES983159:UFF983160 UOO983159:UPB983160 UYK983159:UYX983160 VIG983159:VIT983160 VSC983159:VSP983160 WBY983159:WCL983160 WLU983159:WMH983160 WVQ983159:WWD983160"/>
  </dataValidations>
  <pageMargins left="0.39" right="0.23" top="0.38" bottom="0.34" header="0.19" footer="0.2"/>
  <pageSetup paperSize="9" scale="80" orientation="landscape" r:id="rId1"/>
  <headerFooter alignWithMargins="0"/>
</worksheet>
</file>

<file path=xl/worksheets/sheet10.xml><?xml version="1.0" encoding="utf-8"?>
<worksheet xmlns="http://schemas.openxmlformats.org/spreadsheetml/2006/main" xmlns:r="http://schemas.openxmlformats.org/officeDocument/2006/relationships">
  <sheetPr codeName="Лист9"/>
  <dimension ref="A1:DS338"/>
  <sheetViews>
    <sheetView topLeftCell="A16" zoomScale="75" workbookViewId="0">
      <selection activeCell="O18" sqref="O18"/>
    </sheetView>
  </sheetViews>
  <sheetFormatPr defaultRowHeight="15.75"/>
  <cols>
    <col min="1" max="1" width="3.7109375" style="25" customWidth="1"/>
    <col min="2" max="2" width="45" style="25" customWidth="1"/>
    <col min="3" max="3" width="26.28515625" style="25" customWidth="1"/>
    <col min="4" max="4" width="13.42578125" style="25" customWidth="1"/>
    <col min="5" max="5" width="13.85546875" style="25" customWidth="1"/>
    <col min="6" max="6" width="13.140625" style="25" customWidth="1"/>
    <col min="7" max="7" width="15.28515625" style="25" customWidth="1"/>
    <col min="8" max="8" width="13" style="25" customWidth="1"/>
    <col min="9" max="10" width="13" style="515" customWidth="1"/>
    <col min="11" max="11" width="12.42578125" style="25" customWidth="1"/>
    <col min="12" max="12" width="15.28515625" style="25" customWidth="1"/>
    <col min="13" max="15" width="9.28515625" style="25" bestFit="1" customWidth="1"/>
    <col min="16" max="16" width="10.42578125" style="25" customWidth="1"/>
    <col min="17" max="17" width="10.28515625" style="25" customWidth="1"/>
    <col min="18" max="18" width="9.140625" style="444"/>
    <col min="19" max="19" width="19.28515625" style="910" customWidth="1"/>
    <col min="20" max="20" width="9.140625" style="910"/>
    <col min="21" max="123" width="9.140625" style="444"/>
    <col min="124" max="16384" width="9.140625" style="25"/>
  </cols>
  <sheetData>
    <row r="1" spans="1:20" ht="70.5" customHeight="1">
      <c r="O1" s="984" t="s">
        <v>2277</v>
      </c>
      <c r="P1" s="984"/>
      <c r="Q1" s="984"/>
    </row>
    <row r="2" spans="1:20">
      <c r="A2" s="110" t="s">
        <v>263</v>
      </c>
      <c r="B2" s="111"/>
      <c r="C2" s="111"/>
      <c r="D2" s="111"/>
      <c r="E2" s="111"/>
      <c r="F2" s="111"/>
      <c r="G2" s="110"/>
      <c r="H2" s="110"/>
      <c r="I2" s="507"/>
      <c r="J2" s="507"/>
      <c r="K2" s="110"/>
      <c r="L2" s="110"/>
      <c r="M2" s="110"/>
      <c r="N2" s="111"/>
      <c r="O2" s="670"/>
      <c r="P2" s="706" t="s">
        <v>2670</v>
      </c>
      <c r="Q2" s="112"/>
    </row>
    <row r="3" spans="1:20">
      <c r="A3" s="373" t="s">
        <v>379</v>
      </c>
      <c r="B3" s="111"/>
      <c r="C3" s="111"/>
      <c r="D3" s="111"/>
      <c r="E3" s="111"/>
      <c r="F3" s="111"/>
      <c r="G3" s="110"/>
      <c r="H3" s="110"/>
      <c r="I3" s="507"/>
      <c r="J3" s="507"/>
      <c r="K3" s="111"/>
      <c r="L3" s="111"/>
      <c r="M3" s="111"/>
      <c r="N3" s="111"/>
      <c r="O3" s="111"/>
      <c r="P3" s="111"/>
      <c r="Q3" s="111"/>
    </row>
    <row r="4" spans="1:20" ht="16.5" thickBot="1">
      <c r="A4" s="44"/>
      <c r="B4" s="44"/>
      <c r="C4" s="44"/>
      <c r="D4" s="44"/>
      <c r="E4" s="44"/>
      <c r="F4" s="44"/>
      <c r="G4" s="113"/>
      <c r="H4" s="113"/>
      <c r="I4" s="508"/>
      <c r="J4" s="508"/>
      <c r="K4" s="44"/>
      <c r="L4" s="44"/>
      <c r="M4" s="44"/>
      <c r="N4" s="44"/>
      <c r="O4" s="44"/>
      <c r="P4" s="44"/>
      <c r="Q4" s="44"/>
    </row>
    <row r="5" spans="1:20" ht="13.5" customHeight="1" thickBot="1">
      <c r="A5" s="114"/>
      <c r="B5" s="115"/>
      <c r="C5" s="985" t="s">
        <v>1394</v>
      </c>
      <c r="D5" s="114"/>
      <c r="E5" s="985" t="s">
        <v>1395</v>
      </c>
      <c r="F5" s="114"/>
      <c r="G5" s="988" t="s">
        <v>1396</v>
      </c>
      <c r="H5" s="989"/>
      <c r="I5" s="989"/>
      <c r="J5" s="990"/>
      <c r="K5" s="994" t="s">
        <v>1527</v>
      </c>
      <c r="L5" s="995"/>
      <c r="M5" s="995"/>
      <c r="N5" s="995"/>
      <c r="O5" s="995"/>
      <c r="P5" s="995"/>
      <c r="Q5" s="996"/>
      <c r="S5" s="910" t="s">
        <v>99</v>
      </c>
    </row>
    <row r="6" spans="1:20" ht="16.5" thickBot="1">
      <c r="A6" s="116"/>
      <c r="B6" s="117"/>
      <c r="C6" s="986"/>
      <c r="D6" s="116"/>
      <c r="E6" s="986"/>
      <c r="F6" s="116"/>
      <c r="G6" s="991"/>
      <c r="H6" s="992"/>
      <c r="I6" s="992"/>
      <c r="J6" s="993"/>
      <c r="K6" s="119"/>
      <c r="L6" s="119"/>
      <c r="M6" s="119"/>
      <c r="N6" s="119"/>
      <c r="O6" s="119"/>
      <c r="P6" s="119"/>
      <c r="Q6" s="119"/>
    </row>
    <row r="7" spans="1:20" ht="16.5" thickBot="1">
      <c r="A7" s="116"/>
      <c r="B7" s="117"/>
      <c r="C7" s="986"/>
      <c r="D7" s="116"/>
      <c r="E7" s="986"/>
      <c r="F7" s="116"/>
      <c r="G7" s="501"/>
      <c r="H7" s="118"/>
      <c r="I7" s="997" t="s">
        <v>495</v>
      </c>
      <c r="J7" s="998"/>
      <c r="K7" s="119"/>
      <c r="L7" s="120" t="s">
        <v>1528</v>
      </c>
      <c r="M7" s="120" t="s">
        <v>1529</v>
      </c>
      <c r="N7" s="120" t="s">
        <v>1530</v>
      </c>
      <c r="O7" s="120" t="s">
        <v>1531</v>
      </c>
      <c r="P7" s="121" t="s">
        <v>1357</v>
      </c>
      <c r="Q7" s="122" t="s">
        <v>1358</v>
      </c>
    </row>
    <row r="8" spans="1:20" ht="16.5" thickBot="1">
      <c r="A8" s="123" t="s">
        <v>938</v>
      </c>
      <c r="B8" s="123" t="s">
        <v>2044</v>
      </c>
      <c r="C8" s="987"/>
      <c r="D8" s="118" t="s">
        <v>1359</v>
      </c>
      <c r="E8" s="987"/>
      <c r="F8" s="118" t="s">
        <v>1359</v>
      </c>
      <c r="G8" s="502" t="s">
        <v>2025</v>
      </c>
      <c r="H8" s="118" t="s">
        <v>1359</v>
      </c>
      <c r="I8" s="509" t="s">
        <v>1274</v>
      </c>
      <c r="J8" s="509" t="s">
        <v>1275</v>
      </c>
      <c r="K8" s="124" t="s">
        <v>1360</v>
      </c>
      <c r="L8" s="120" t="s">
        <v>1361</v>
      </c>
      <c r="M8" s="120" t="s">
        <v>1361</v>
      </c>
      <c r="N8" s="120" t="s">
        <v>1361</v>
      </c>
      <c r="O8" s="120" t="s">
        <v>1361</v>
      </c>
      <c r="P8" s="121" t="s">
        <v>456</v>
      </c>
      <c r="Q8" s="120" t="s">
        <v>1827</v>
      </c>
    </row>
    <row r="9" spans="1:20" ht="16.5" thickBot="1">
      <c r="A9" s="125"/>
      <c r="B9" s="126" t="s">
        <v>1199</v>
      </c>
      <c r="C9" s="126" t="s">
        <v>1200</v>
      </c>
      <c r="D9" s="126" t="s">
        <v>787</v>
      </c>
      <c r="E9" s="126" t="s">
        <v>788</v>
      </c>
      <c r="F9" s="126" t="s">
        <v>789</v>
      </c>
      <c r="G9" s="126" t="s">
        <v>790</v>
      </c>
      <c r="H9" s="126" t="s">
        <v>791</v>
      </c>
      <c r="I9" s="510"/>
      <c r="J9" s="510"/>
      <c r="K9" s="126" t="s">
        <v>1726</v>
      </c>
      <c r="L9" s="126" t="s">
        <v>1727</v>
      </c>
      <c r="M9" s="126" t="s">
        <v>1336</v>
      </c>
      <c r="N9" s="126" t="s">
        <v>1337</v>
      </c>
      <c r="O9" s="127" t="s">
        <v>1338</v>
      </c>
      <c r="P9" s="127" t="s">
        <v>1008</v>
      </c>
      <c r="Q9" s="127" t="s">
        <v>1009</v>
      </c>
    </row>
    <row r="10" spans="1:20" ht="16.5" customHeight="1">
      <c r="A10" s="291" t="s">
        <v>269</v>
      </c>
      <c r="B10" s="128" t="s">
        <v>1828</v>
      </c>
      <c r="C10" s="129"/>
      <c r="D10" s="129"/>
      <c r="E10" s="129"/>
      <c r="F10" s="129"/>
      <c r="G10" s="129"/>
      <c r="H10" s="129"/>
      <c r="I10" s="511"/>
      <c r="J10" s="511"/>
      <c r="K10" s="129"/>
      <c r="L10" s="129"/>
      <c r="M10" s="129"/>
      <c r="N10" s="129"/>
      <c r="O10" s="129"/>
      <c r="P10" s="129"/>
      <c r="Q10" s="292"/>
    </row>
    <row r="11" spans="1:20" s="444" customFormat="1" ht="16.5" customHeight="1">
      <c r="A11" s="438">
        <v>1</v>
      </c>
      <c r="B11" s="439" t="s">
        <v>1829</v>
      </c>
      <c r="C11" s="191" t="e">
        <f>'Loans Receivable'!C113</f>
        <v>#VALUE!</v>
      </c>
      <c r="D11" s="440" t="e">
        <f t="shared" ref="D11:D22" si="0">C11/C$24</f>
        <v>#VALUE!</v>
      </c>
      <c r="E11" s="441"/>
      <c r="F11" s="442" t="e">
        <f>IF(E$24=0,"",E11/E$24)</f>
        <v>#VALUE!</v>
      </c>
      <c r="G11" s="439"/>
      <c r="H11" s="442" t="e">
        <f>IF($G$24=0,"",G11/$G$24)</f>
        <v>#VALUE!</v>
      </c>
      <c r="I11" s="512"/>
      <c r="J11" s="512"/>
      <c r="K11" s="441"/>
      <c r="L11" s="441"/>
      <c r="M11" s="441"/>
      <c r="N11" s="441"/>
      <c r="O11" s="441"/>
      <c r="P11" s="441"/>
      <c r="Q11" s="443"/>
      <c r="S11" s="911">
        <f t="shared" ref="S11:S22" si="1">SUM(K11:Q11)</f>
        <v>0</v>
      </c>
      <c r="T11" s="910"/>
    </row>
    <row r="12" spans="1:20" s="444" customFormat="1" ht="16.5" customHeight="1">
      <c r="A12" s="438">
        <v>2</v>
      </c>
      <c r="B12" s="439" t="s">
        <v>1830</v>
      </c>
      <c r="C12" s="191" t="e">
        <f>'Loans Receivable'!C112</f>
        <v>#VALUE!</v>
      </c>
      <c r="D12" s="440" t="e">
        <f t="shared" si="0"/>
        <v>#VALUE!</v>
      </c>
      <c r="E12" s="441" t="s">
        <v>806</v>
      </c>
      <c r="F12" s="442" t="e">
        <f t="shared" ref="F12:F22" si="2">E12/E$24</f>
        <v>#VALUE!</v>
      </c>
      <c r="G12" s="439" t="e">
        <f>I12+J12</f>
        <v>#VALUE!</v>
      </c>
      <c r="H12" s="442" t="e">
        <f t="shared" ref="H12:H22" si="3">G12/G$24</f>
        <v>#VALUE!</v>
      </c>
      <c r="I12" s="512" t="e">
        <f>'Loans Receivable'!F112</f>
        <v>#VALUE!</v>
      </c>
      <c r="J12" s="512" t="e">
        <f>'Loans Receivable'!E112</f>
        <v>#VALUE!</v>
      </c>
      <c r="K12" s="503" t="s">
        <v>302</v>
      </c>
      <c r="L12" s="503" t="s">
        <v>303</v>
      </c>
      <c r="M12" s="441" t="s">
        <v>304</v>
      </c>
      <c r="N12" s="441" t="s">
        <v>305</v>
      </c>
      <c r="O12" s="441" t="s">
        <v>306</v>
      </c>
      <c r="P12" s="441" t="s">
        <v>307</v>
      </c>
      <c r="Q12" s="443" t="e">
        <f t="shared" ref="Q12:Q22" si="4">G12-P12-O12-N12-M12-L12-K12</f>
        <v>#VALUE!</v>
      </c>
      <c r="S12" s="911" t="e">
        <f t="shared" si="1"/>
        <v>#VALUE!</v>
      </c>
      <c r="T12" s="910"/>
    </row>
    <row r="13" spans="1:20" s="444" customFormat="1" ht="16.5" customHeight="1">
      <c r="A13" s="438">
        <v>3</v>
      </c>
      <c r="B13" s="439" t="s">
        <v>1831</v>
      </c>
      <c r="C13" s="191" t="e">
        <f>'Loans Receivable'!C114</f>
        <v>#VALUE!</v>
      </c>
      <c r="D13" s="440" t="e">
        <f t="shared" si="0"/>
        <v>#VALUE!</v>
      </c>
      <c r="E13" s="441" t="s">
        <v>807</v>
      </c>
      <c r="F13" s="442" t="e">
        <f t="shared" si="2"/>
        <v>#VALUE!</v>
      </c>
      <c r="G13" s="439" t="e">
        <f t="shared" ref="G13:G24" si="5">I13+J13</f>
        <v>#VALUE!</v>
      </c>
      <c r="H13" s="442" t="e">
        <f t="shared" si="3"/>
        <v>#VALUE!</v>
      </c>
      <c r="I13" s="512" t="e">
        <f>'Loans Receivable'!F114</f>
        <v>#VALUE!</v>
      </c>
      <c r="J13" s="512" t="e">
        <f>'Loans Receivable'!E114</f>
        <v>#VALUE!</v>
      </c>
      <c r="K13" s="503" t="s">
        <v>308</v>
      </c>
      <c r="L13" s="503" t="s">
        <v>309</v>
      </c>
      <c r="M13" s="441" t="s">
        <v>310</v>
      </c>
      <c r="N13" s="441" t="s">
        <v>311</v>
      </c>
      <c r="O13" s="441" t="s">
        <v>312</v>
      </c>
      <c r="P13" s="441" t="s">
        <v>313</v>
      </c>
      <c r="Q13" s="443" t="e">
        <f t="shared" si="4"/>
        <v>#VALUE!</v>
      </c>
      <c r="S13" s="911" t="e">
        <f t="shared" si="1"/>
        <v>#VALUE!</v>
      </c>
      <c r="T13" s="910"/>
    </row>
    <row r="14" spans="1:20" s="444" customFormat="1" ht="16.5" customHeight="1">
      <c r="A14" s="438">
        <v>4</v>
      </c>
      <c r="B14" s="439" t="s">
        <v>1832</v>
      </c>
      <c r="C14" s="191" t="e">
        <f>'Loans Receivable'!C107</f>
        <v>#VALUE!</v>
      </c>
      <c r="D14" s="440" t="e">
        <f t="shared" si="0"/>
        <v>#VALUE!</v>
      </c>
      <c r="E14" s="441" t="s">
        <v>1319</v>
      </c>
      <c r="F14" s="442" t="e">
        <f t="shared" si="2"/>
        <v>#VALUE!</v>
      </c>
      <c r="G14" s="439" t="e">
        <f t="shared" si="5"/>
        <v>#VALUE!</v>
      </c>
      <c r="H14" s="442" t="e">
        <f t="shared" si="3"/>
        <v>#VALUE!</v>
      </c>
      <c r="I14" s="512" t="str">
        <f>'Loans Receivable'!F107</f>
        <v>#FNECTCP{12501,12509,14901,14905,11101,13301,13309,14301,14305,15603;08;;;E}</v>
      </c>
      <c r="J14" s="512" t="str">
        <f>'Loans Receivable'!E107</f>
        <v>#FNECTC{15701,15705;08;;;E}</v>
      </c>
      <c r="K14" s="503" t="s">
        <v>1498</v>
      </c>
      <c r="L14" s="503" t="s">
        <v>1499</v>
      </c>
      <c r="M14" s="441" t="s">
        <v>1500</v>
      </c>
      <c r="N14" s="441" t="s">
        <v>1501</v>
      </c>
      <c r="O14" s="441" t="s">
        <v>1502</v>
      </c>
      <c r="P14" s="441" t="s">
        <v>1503</v>
      </c>
      <c r="Q14" s="443" t="e">
        <f t="shared" si="4"/>
        <v>#VALUE!</v>
      </c>
      <c r="S14" s="911" t="e">
        <f t="shared" si="1"/>
        <v>#VALUE!</v>
      </c>
      <c r="T14" s="910"/>
    </row>
    <row r="15" spans="1:20" s="444" customFormat="1" ht="16.5" customHeight="1">
      <c r="A15" s="438">
        <v>5</v>
      </c>
      <c r="B15" s="439" t="s">
        <v>1833</v>
      </c>
      <c r="C15" s="191" t="e">
        <f>'Loans Receivable'!C108</f>
        <v>#VALUE!</v>
      </c>
      <c r="D15" s="440" t="e">
        <f t="shared" si="0"/>
        <v>#VALUE!</v>
      </c>
      <c r="E15" s="441" t="s">
        <v>810</v>
      </c>
      <c r="F15" s="442" t="e">
        <f t="shared" si="2"/>
        <v>#VALUE!</v>
      </c>
      <c r="G15" s="439" t="e">
        <f t="shared" si="5"/>
        <v>#VALUE!</v>
      </c>
      <c r="H15" s="442" t="e">
        <f t="shared" si="3"/>
        <v>#VALUE!</v>
      </c>
      <c r="I15" s="512" t="e">
        <f>'Loans Receivable'!F108</f>
        <v>#VALUE!</v>
      </c>
      <c r="J15" s="512" t="e">
        <f>'Loans Receivable'!E108</f>
        <v>#VALUE!</v>
      </c>
      <c r="K15" s="503" t="s">
        <v>1510</v>
      </c>
      <c r="L15" s="503" t="s">
        <v>1511</v>
      </c>
      <c r="M15" s="441" t="s">
        <v>1512</v>
      </c>
      <c r="N15" s="441" t="s">
        <v>1513</v>
      </c>
      <c r="O15" s="441" t="s">
        <v>1514</v>
      </c>
      <c r="P15" s="441" t="s">
        <v>1320</v>
      </c>
      <c r="Q15" s="443" t="e">
        <f t="shared" si="4"/>
        <v>#VALUE!</v>
      </c>
      <c r="S15" s="911" t="e">
        <f t="shared" si="1"/>
        <v>#VALUE!</v>
      </c>
      <c r="T15" s="910"/>
    </row>
    <row r="16" spans="1:20" s="444" customFormat="1" ht="16.5" customHeight="1">
      <c r="A16" s="438">
        <v>6</v>
      </c>
      <c r="B16" s="439" t="s">
        <v>2571</v>
      </c>
      <c r="C16" s="191" t="e">
        <f>'Loans Receivable'!C109</f>
        <v>#VALUE!</v>
      </c>
      <c r="D16" s="440" t="e">
        <f t="shared" si="0"/>
        <v>#VALUE!</v>
      </c>
      <c r="E16" s="441" t="s">
        <v>104</v>
      </c>
      <c r="F16" s="442" t="e">
        <f t="shared" si="2"/>
        <v>#VALUE!</v>
      </c>
      <c r="G16" s="439" t="e">
        <f t="shared" si="5"/>
        <v>#VALUE!</v>
      </c>
      <c r="H16" s="442" t="e">
        <f t="shared" si="3"/>
        <v>#VALUE!</v>
      </c>
      <c r="I16" s="512" t="e">
        <f>'Loans Receivable'!F109</f>
        <v>#VALUE!</v>
      </c>
      <c r="J16" s="512" t="e">
        <f>'Loans Receivable'!E109</f>
        <v>#VALUE!</v>
      </c>
      <c r="K16" s="503" t="s">
        <v>1321</v>
      </c>
      <c r="L16" s="503" t="s">
        <v>1322</v>
      </c>
      <c r="M16" s="441" t="s">
        <v>1323</v>
      </c>
      <c r="N16" s="441" t="s">
        <v>1324</v>
      </c>
      <c r="O16" s="441" t="s">
        <v>1325</v>
      </c>
      <c r="P16" s="441" t="s">
        <v>1326</v>
      </c>
      <c r="Q16" s="443" t="e">
        <f t="shared" si="4"/>
        <v>#VALUE!</v>
      </c>
      <c r="S16" s="911" t="e">
        <f t="shared" si="1"/>
        <v>#VALUE!</v>
      </c>
      <c r="T16" s="910"/>
    </row>
    <row r="17" spans="1:123" s="444" customFormat="1" ht="16.5" customHeight="1">
      <c r="A17" s="438">
        <v>7</v>
      </c>
      <c r="B17" s="439" t="s">
        <v>1276</v>
      </c>
      <c r="C17" s="191" t="e">
        <f>'Loans Receivable'!C110</f>
        <v>#VALUE!</v>
      </c>
      <c r="D17" s="440" t="e">
        <f t="shared" si="0"/>
        <v>#VALUE!</v>
      </c>
      <c r="E17" s="191" t="e">
        <f>E47</f>
        <v>#VALUE!</v>
      </c>
      <c r="F17" s="442" t="e">
        <f t="shared" si="2"/>
        <v>#VALUE!</v>
      </c>
      <c r="G17" s="439" t="e">
        <f t="shared" si="5"/>
        <v>#VALUE!</v>
      </c>
      <c r="H17" s="442" t="e">
        <f t="shared" si="3"/>
        <v>#VALUE!</v>
      </c>
      <c r="I17" s="512" t="e">
        <f t="shared" ref="I17:P17" si="6">I47</f>
        <v>#VALUE!</v>
      </c>
      <c r="J17" s="512" t="e">
        <f t="shared" si="6"/>
        <v>#VALUE!</v>
      </c>
      <c r="K17" s="503" t="e">
        <f t="shared" si="6"/>
        <v>#VALUE!</v>
      </c>
      <c r="L17" s="503" t="e">
        <f t="shared" si="6"/>
        <v>#VALUE!</v>
      </c>
      <c r="M17" s="503" t="e">
        <f t="shared" si="6"/>
        <v>#VALUE!</v>
      </c>
      <c r="N17" s="503" t="e">
        <f t="shared" si="6"/>
        <v>#VALUE!</v>
      </c>
      <c r="O17" s="503" t="e">
        <f t="shared" si="6"/>
        <v>#VALUE!</v>
      </c>
      <c r="P17" s="503" t="e">
        <f t="shared" si="6"/>
        <v>#VALUE!</v>
      </c>
      <c r="Q17" s="443" t="e">
        <f t="shared" si="4"/>
        <v>#VALUE!</v>
      </c>
      <c r="S17" s="911" t="e">
        <f t="shared" si="1"/>
        <v>#VALUE!</v>
      </c>
      <c r="T17" s="910"/>
    </row>
    <row r="18" spans="1:123" s="444" customFormat="1" ht="16.5" customHeight="1">
      <c r="A18" s="438">
        <v>8</v>
      </c>
      <c r="B18" s="439" t="s">
        <v>1277</v>
      </c>
      <c r="C18" s="191">
        <f>'Loans Receivable'!C111</f>
        <v>0</v>
      </c>
      <c r="D18" s="440" t="e">
        <f t="shared" si="0"/>
        <v>#VALUE!</v>
      </c>
      <c r="E18" s="191">
        <f>E46</f>
        <v>0</v>
      </c>
      <c r="F18" s="442" t="e">
        <f t="shared" si="2"/>
        <v>#VALUE!</v>
      </c>
      <c r="G18" s="439">
        <f t="shared" si="5"/>
        <v>0</v>
      </c>
      <c r="H18" s="442" t="e">
        <f t="shared" si="3"/>
        <v>#VALUE!</v>
      </c>
      <c r="I18" s="512">
        <f t="shared" ref="I18:P18" si="7">I46</f>
        <v>0</v>
      </c>
      <c r="J18" s="512">
        <f t="shared" si="7"/>
        <v>0</v>
      </c>
      <c r="K18" s="503">
        <f t="shared" si="7"/>
        <v>0</v>
      </c>
      <c r="L18" s="503">
        <f t="shared" si="7"/>
        <v>0</v>
      </c>
      <c r="M18" s="503">
        <f t="shared" si="7"/>
        <v>0</v>
      </c>
      <c r="N18" s="503">
        <f t="shared" si="7"/>
        <v>0</v>
      </c>
      <c r="O18" s="503">
        <f t="shared" si="7"/>
        <v>0</v>
      </c>
      <c r="P18" s="503">
        <f t="shared" si="7"/>
        <v>0</v>
      </c>
      <c r="Q18" s="443">
        <f t="shared" si="4"/>
        <v>0</v>
      </c>
      <c r="S18" s="911">
        <f t="shared" si="1"/>
        <v>0</v>
      </c>
      <c r="T18" s="910"/>
    </row>
    <row r="19" spans="1:123" s="444" customFormat="1" ht="16.5" customHeight="1">
      <c r="A19" s="438">
        <v>9</v>
      </c>
      <c r="B19" s="439" t="s">
        <v>1424</v>
      </c>
      <c r="C19" s="191" t="e">
        <f>'Loans Receivable'!C115</f>
        <v>#VALUE!</v>
      </c>
      <c r="D19" s="440" t="e">
        <f t="shared" si="0"/>
        <v>#VALUE!</v>
      </c>
      <c r="E19" s="441" t="s">
        <v>1908</v>
      </c>
      <c r="F19" s="442" t="e">
        <f t="shared" si="2"/>
        <v>#VALUE!</v>
      </c>
      <c r="G19" s="439" t="e">
        <f t="shared" si="5"/>
        <v>#VALUE!</v>
      </c>
      <c r="H19" s="442" t="e">
        <f t="shared" si="3"/>
        <v>#VALUE!</v>
      </c>
      <c r="I19" s="512" t="e">
        <f>'Loans Receivable'!F115</f>
        <v>#VALUE!</v>
      </c>
      <c r="J19" s="512" t="e">
        <f>'Loans Receivable'!E115</f>
        <v>#VALUE!</v>
      </c>
      <c r="K19" s="503" t="s">
        <v>1447</v>
      </c>
      <c r="L19" s="503" t="s">
        <v>1448</v>
      </c>
      <c r="M19" s="441" t="s">
        <v>1449</v>
      </c>
      <c r="N19" s="441" t="s">
        <v>1450</v>
      </c>
      <c r="O19" s="441" t="s">
        <v>1451</v>
      </c>
      <c r="P19" s="441" t="s">
        <v>1452</v>
      </c>
      <c r="Q19" s="443" t="e">
        <f t="shared" si="4"/>
        <v>#VALUE!</v>
      </c>
      <c r="S19" s="911" t="e">
        <f t="shared" si="1"/>
        <v>#VALUE!</v>
      </c>
      <c r="T19" s="910"/>
    </row>
    <row r="20" spans="1:123" s="444" customFormat="1" ht="16.5" customHeight="1">
      <c r="A20" s="438">
        <v>10</v>
      </c>
      <c r="B20" s="439" t="s">
        <v>1423</v>
      </c>
      <c r="C20" s="191" t="e">
        <f>'Loans Receivable'!C116</f>
        <v>#VALUE!</v>
      </c>
      <c r="D20" s="440" t="e">
        <f t="shared" si="0"/>
        <v>#VALUE!</v>
      </c>
      <c r="E20" s="441" t="s">
        <v>1906</v>
      </c>
      <c r="F20" s="442" t="e">
        <f t="shared" si="2"/>
        <v>#VALUE!</v>
      </c>
      <c r="G20" s="439" t="e">
        <f t="shared" si="5"/>
        <v>#VALUE!</v>
      </c>
      <c r="H20" s="442" t="e">
        <f t="shared" si="3"/>
        <v>#VALUE!</v>
      </c>
      <c r="I20" s="512" t="str">
        <f>'Loans Receivable'!F116</f>
        <v>#FNECTCP{13001,13009,15201,15205,11101,13301,13309,14301,14305,15611;03;;;E}</v>
      </c>
      <c r="J20" s="512" t="str">
        <f>'Loans Receivable'!E116</f>
        <v>#FNECTC{15701,15705;03;;;E}</v>
      </c>
      <c r="K20" s="503" t="s">
        <v>1327</v>
      </c>
      <c r="L20" s="503" t="s">
        <v>1328</v>
      </c>
      <c r="M20" s="441" t="s">
        <v>1329</v>
      </c>
      <c r="N20" s="441" t="s">
        <v>1438</v>
      </c>
      <c r="O20" s="441" t="s">
        <v>1439</v>
      </c>
      <c r="P20" s="441" t="s">
        <v>1440</v>
      </c>
      <c r="Q20" s="443" t="e">
        <f t="shared" si="4"/>
        <v>#VALUE!</v>
      </c>
      <c r="S20" s="911" t="e">
        <f t="shared" si="1"/>
        <v>#VALUE!</v>
      </c>
      <c r="T20" s="910"/>
    </row>
    <row r="21" spans="1:123" s="444" customFormat="1" ht="16.5" customHeight="1">
      <c r="A21" s="438">
        <v>11</v>
      </c>
      <c r="B21" s="439" t="s">
        <v>455</v>
      </c>
      <c r="C21" s="191" t="e">
        <f>'Loans Receivable'!C117</f>
        <v>#VALUE!</v>
      </c>
      <c r="D21" s="440" t="e">
        <f t="shared" si="0"/>
        <v>#VALUE!</v>
      </c>
      <c r="E21" s="441" t="s">
        <v>808</v>
      </c>
      <c r="F21" s="442" t="e">
        <f t="shared" si="2"/>
        <v>#VALUE!</v>
      </c>
      <c r="G21" s="439" t="e">
        <f t="shared" si="5"/>
        <v>#VALUE!</v>
      </c>
      <c r="H21" s="442" t="e">
        <f t="shared" si="3"/>
        <v>#VALUE!</v>
      </c>
      <c r="I21" s="512" t="e">
        <f>'Loans Receivable'!F117</f>
        <v>#VALUE!</v>
      </c>
      <c r="J21" s="512" t="e">
        <f>'Loans Receivable'!E117</f>
        <v>#VALUE!</v>
      </c>
      <c r="K21" s="503" t="s">
        <v>314</v>
      </c>
      <c r="L21" s="503" t="s">
        <v>315</v>
      </c>
      <c r="M21" s="441" t="s">
        <v>1494</v>
      </c>
      <c r="N21" s="441" t="s">
        <v>1495</v>
      </c>
      <c r="O21" s="441" t="s">
        <v>1496</v>
      </c>
      <c r="P21" s="441" t="s">
        <v>1497</v>
      </c>
      <c r="Q21" s="443" t="e">
        <f t="shared" si="4"/>
        <v>#VALUE!</v>
      </c>
      <c r="S21" s="911" t="e">
        <f t="shared" si="1"/>
        <v>#VALUE!</v>
      </c>
      <c r="T21" s="910"/>
    </row>
    <row r="22" spans="1:123" s="444" customFormat="1" ht="16.5" customHeight="1">
      <c r="A22" s="438">
        <v>12</v>
      </c>
      <c r="B22" s="439" t="s">
        <v>1282</v>
      </c>
      <c r="C22" s="191" t="e">
        <f>'Loans Receivable'!C118</f>
        <v>#VALUE!</v>
      </c>
      <c r="D22" s="440" t="e">
        <f t="shared" si="0"/>
        <v>#VALUE!</v>
      </c>
      <c r="E22" s="441" t="s">
        <v>809</v>
      </c>
      <c r="F22" s="442" t="e">
        <f t="shared" si="2"/>
        <v>#VALUE!</v>
      </c>
      <c r="G22" s="439" t="e">
        <f t="shared" si="5"/>
        <v>#VALUE!</v>
      </c>
      <c r="H22" s="442" t="e">
        <f t="shared" si="3"/>
        <v>#VALUE!</v>
      </c>
      <c r="I22" s="512" t="e">
        <f>'Loans Receivable'!F118</f>
        <v>#VALUE!</v>
      </c>
      <c r="J22" s="512" t="e">
        <f>'Loans Receivable'!E118</f>
        <v>#VALUE!</v>
      </c>
      <c r="K22" s="503" t="s">
        <v>1504</v>
      </c>
      <c r="L22" s="503" t="s">
        <v>1505</v>
      </c>
      <c r="M22" s="441" t="s">
        <v>1506</v>
      </c>
      <c r="N22" s="441" t="s">
        <v>1507</v>
      </c>
      <c r="O22" s="441" t="s">
        <v>1508</v>
      </c>
      <c r="P22" s="441" t="s">
        <v>1509</v>
      </c>
      <c r="Q22" s="443" t="e">
        <f t="shared" si="4"/>
        <v>#VALUE!</v>
      </c>
      <c r="S22" s="911" t="e">
        <f t="shared" si="1"/>
        <v>#VALUE!</v>
      </c>
      <c r="T22" s="910"/>
    </row>
    <row r="23" spans="1:123" s="444" customFormat="1" ht="16.5" customHeight="1">
      <c r="A23" s="438"/>
      <c r="B23" s="439"/>
      <c r="C23" s="191"/>
      <c r="D23" s="440"/>
      <c r="E23" s="441"/>
      <c r="F23" s="442"/>
      <c r="G23" s="439">
        <f t="shared" si="5"/>
        <v>0</v>
      </c>
      <c r="H23" s="442"/>
      <c r="I23" s="512"/>
      <c r="J23" s="512"/>
      <c r="K23" s="503"/>
      <c r="L23" s="503"/>
      <c r="M23" s="441"/>
      <c r="N23" s="441"/>
      <c r="O23" s="441"/>
      <c r="P23" s="441"/>
      <c r="Q23" s="443"/>
      <c r="S23" s="911"/>
      <c r="T23" s="910"/>
    </row>
    <row r="24" spans="1:123" s="629" customFormat="1" ht="16.5" customHeight="1">
      <c r="A24" s="621">
        <v>13</v>
      </c>
      <c r="B24" s="622" t="s">
        <v>2572</v>
      </c>
      <c r="C24" s="623" t="e">
        <f>SUM(C11:C22)</f>
        <v>#VALUE!</v>
      </c>
      <c r="D24" s="624" t="e">
        <f>C24/C$24</f>
        <v>#VALUE!</v>
      </c>
      <c r="E24" s="623" t="e">
        <f>SUM(E11:E22)</f>
        <v>#VALUE!</v>
      </c>
      <c r="F24" s="625" t="e">
        <f>E24/E$24</f>
        <v>#VALUE!</v>
      </c>
      <c r="G24" s="626" t="e">
        <f t="shared" si="5"/>
        <v>#VALUE!</v>
      </c>
      <c r="H24" s="625" t="e">
        <f>G24/G$24</f>
        <v>#VALUE!</v>
      </c>
      <c r="I24" s="627" t="e">
        <f t="shared" ref="I24:Q24" si="8">SUM(I11:I22)</f>
        <v>#VALUE!</v>
      </c>
      <c r="J24" s="627" t="e">
        <f t="shared" si="8"/>
        <v>#VALUE!</v>
      </c>
      <c r="K24" s="628" t="e">
        <f t="shared" si="8"/>
        <v>#VALUE!</v>
      </c>
      <c r="L24" s="628" t="e">
        <f t="shared" si="8"/>
        <v>#VALUE!</v>
      </c>
      <c r="M24" s="623" t="e">
        <f t="shared" si="8"/>
        <v>#VALUE!</v>
      </c>
      <c r="N24" s="623" t="e">
        <f t="shared" si="8"/>
        <v>#VALUE!</v>
      </c>
      <c r="O24" s="623" t="e">
        <f t="shared" si="8"/>
        <v>#VALUE!</v>
      </c>
      <c r="P24" s="623" t="e">
        <f t="shared" si="8"/>
        <v>#VALUE!</v>
      </c>
      <c r="Q24" s="623" t="e">
        <f t="shared" si="8"/>
        <v>#VALUE!</v>
      </c>
      <c r="R24" s="444"/>
      <c r="S24" s="911" t="e">
        <f>SUM(K24:Q24)</f>
        <v>#VALUE!</v>
      </c>
      <c r="T24" s="910"/>
      <c r="U24" s="444"/>
      <c r="V24" s="444"/>
      <c r="W24" s="444"/>
      <c r="X24" s="444"/>
      <c r="Y24" s="444"/>
      <c r="Z24" s="444"/>
      <c r="AA24" s="444"/>
      <c r="AB24" s="444"/>
      <c r="AC24" s="444"/>
      <c r="AD24" s="444"/>
      <c r="AE24" s="444"/>
      <c r="AF24" s="444"/>
      <c r="AG24" s="444"/>
      <c r="AH24" s="444"/>
      <c r="AI24" s="444"/>
      <c r="AJ24" s="444"/>
      <c r="AK24" s="444"/>
      <c r="AL24" s="444"/>
      <c r="AM24" s="444"/>
      <c r="AN24" s="444"/>
      <c r="AO24" s="444"/>
      <c r="AP24" s="444"/>
      <c r="AQ24" s="444"/>
      <c r="AR24" s="444"/>
      <c r="AS24" s="444"/>
      <c r="AT24" s="444"/>
      <c r="AU24" s="444"/>
      <c r="AV24" s="444"/>
      <c r="AW24" s="444"/>
      <c r="AX24" s="444"/>
      <c r="AY24" s="444"/>
      <c r="AZ24" s="444"/>
      <c r="BA24" s="444"/>
      <c r="BB24" s="444"/>
      <c r="BC24" s="444"/>
      <c r="BD24" s="444"/>
      <c r="BE24" s="444"/>
      <c r="BF24" s="444"/>
      <c r="BG24" s="444"/>
      <c r="BH24" s="444"/>
      <c r="BI24" s="444"/>
      <c r="BJ24" s="444"/>
      <c r="BK24" s="444"/>
      <c r="BL24" s="444"/>
      <c r="BM24" s="444"/>
      <c r="BN24" s="444"/>
      <c r="BO24" s="444"/>
      <c r="BP24" s="444"/>
      <c r="BQ24" s="444"/>
      <c r="BR24" s="444"/>
      <c r="BS24" s="444"/>
      <c r="BT24" s="444"/>
      <c r="BU24" s="444"/>
      <c r="BV24" s="444"/>
      <c r="BW24" s="444"/>
      <c r="BX24" s="444"/>
      <c r="BY24" s="444"/>
      <c r="BZ24" s="444"/>
      <c r="CA24" s="444"/>
      <c r="CB24" s="444"/>
      <c r="CC24" s="444"/>
      <c r="CD24" s="444"/>
      <c r="CE24" s="444"/>
      <c r="CF24" s="444"/>
      <c r="CG24" s="444"/>
      <c r="CH24" s="444"/>
      <c r="CI24" s="444"/>
      <c r="CJ24" s="444"/>
      <c r="CK24" s="444"/>
      <c r="CL24" s="444"/>
      <c r="CM24" s="444"/>
      <c r="CN24" s="444"/>
      <c r="CO24" s="444"/>
      <c r="CP24" s="444"/>
      <c r="CQ24" s="444"/>
      <c r="CR24" s="444"/>
      <c r="CS24" s="444"/>
      <c r="CT24" s="444"/>
      <c r="CU24" s="444"/>
      <c r="CV24" s="444"/>
      <c r="CW24" s="444"/>
      <c r="CX24" s="444"/>
      <c r="CY24" s="444"/>
      <c r="CZ24" s="444"/>
      <c r="DA24" s="444"/>
      <c r="DB24" s="444"/>
      <c r="DC24" s="444"/>
      <c r="DD24" s="444"/>
      <c r="DE24" s="444"/>
      <c r="DF24" s="444"/>
      <c r="DG24" s="444"/>
      <c r="DH24" s="444"/>
      <c r="DI24" s="444"/>
      <c r="DJ24" s="444"/>
      <c r="DK24" s="444"/>
      <c r="DL24" s="444"/>
      <c r="DM24" s="444"/>
      <c r="DN24" s="444"/>
      <c r="DO24" s="444"/>
      <c r="DP24" s="444"/>
      <c r="DQ24" s="444"/>
      <c r="DR24" s="444"/>
      <c r="DS24" s="444"/>
    </row>
    <row r="25" spans="1:123" ht="16.5" customHeight="1">
      <c r="A25" s="293"/>
      <c r="B25" s="46"/>
      <c r="C25" s="356"/>
      <c r="D25" s="130"/>
      <c r="E25" s="131"/>
      <c r="F25" s="132"/>
      <c r="G25" s="46"/>
      <c r="H25" s="132"/>
      <c r="I25" s="513"/>
      <c r="J25" s="513"/>
      <c r="K25" s="504"/>
      <c r="L25" s="504"/>
      <c r="M25" s="131"/>
      <c r="N25" s="131"/>
      <c r="O25" s="131"/>
      <c r="P25" s="131"/>
      <c r="Q25" s="294"/>
      <c r="S25" s="911"/>
    </row>
    <row r="26" spans="1:123" s="629" customFormat="1" ht="16.5" customHeight="1">
      <c r="A26" s="621"/>
      <c r="B26" s="631" t="s">
        <v>1730</v>
      </c>
      <c r="C26" s="623"/>
      <c r="D26" s="624"/>
      <c r="E26" s="623"/>
      <c r="F26" s="625"/>
      <c r="G26" s="626"/>
      <c r="H26" s="625"/>
      <c r="I26" s="627"/>
      <c r="J26" s="627"/>
      <c r="K26" s="628"/>
      <c r="L26" s="628"/>
      <c r="M26" s="623"/>
      <c r="N26" s="623"/>
      <c r="O26" s="623"/>
      <c r="P26" s="623"/>
      <c r="Q26" s="623"/>
      <c r="R26" s="444"/>
      <c r="S26" s="911"/>
      <c r="T26" s="910"/>
      <c r="U26" s="444"/>
      <c r="V26" s="444"/>
      <c r="W26" s="444"/>
      <c r="X26" s="444"/>
      <c r="Y26" s="444"/>
      <c r="Z26" s="444"/>
      <c r="AA26" s="444"/>
      <c r="AB26" s="444"/>
      <c r="AC26" s="444"/>
      <c r="AD26" s="444"/>
      <c r="AE26" s="444"/>
      <c r="AF26" s="444"/>
      <c r="AG26" s="444"/>
      <c r="AH26" s="444"/>
      <c r="AI26" s="444"/>
      <c r="AJ26" s="444"/>
      <c r="AK26" s="444"/>
      <c r="AL26" s="444"/>
      <c r="AM26" s="444"/>
      <c r="AN26" s="444"/>
      <c r="AO26" s="444"/>
      <c r="AP26" s="444"/>
      <c r="AQ26" s="444"/>
      <c r="AR26" s="444"/>
      <c r="AS26" s="444"/>
      <c r="AT26" s="444"/>
      <c r="AU26" s="444"/>
      <c r="AV26" s="444"/>
      <c r="AW26" s="444"/>
      <c r="AX26" s="444"/>
      <c r="AY26" s="444"/>
      <c r="AZ26" s="444"/>
      <c r="BA26" s="444"/>
      <c r="BB26" s="444"/>
      <c r="BC26" s="444"/>
      <c r="BD26" s="444"/>
      <c r="BE26" s="444"/>
      <c r="BF26" s="444"/>
      <c r="BG26" s="444"/>
      <c r="BH26" s="444"/>
      <c r="BI26" s="444"/>
      <c r="BJ26" s="444"/>
      <c r="BK26" s="444"/>
      <c r="BL26" s="444"/>
      <c r="BM26" s="444"/>
      <c r="BN26" s="444"/>
      <c r="BO26" s="444"/>
      <c r="BP26" s="444"/>
      <c r="BQ26" s="444"/>
      <c r="BR26" s="444"/>
      <c r="BS26" s="444"/>
      <c r="BT26" s="444"/>
      <c r="BU26" s="444"/>
      <c r="BV26" s="444"/>
      <c r="BW26" s="444"/>
      <c r="BX26" s="444"/>
      <c r="BY26" s="444"/>
      <c r="BZ26" s="444"/>
      <c r="CA26" s="444"/>
      <c r="CB26" s="444"/>
      <c r="CC26" s="444"/>
      <c r="CD26" s="444"/>
      <c r="CE26" s="444"/>
      <c r="CF26" s="444"/>
      <c r="CG26" s="444"/>
      <c r="CH26" s="444"/>
      <c r="CI26" s="444"/>
      <c r="CJ26" s="444"/>
      <c r="CK26" s="444"/>
      <c r="CL26" s="444"/>
      <c r="CM26" s="444"/>
      <c r="CN26" s="444"/>
      <c r="CO26" s="444"/>
      <c r="CP26" s="444"/>
      <c r="CQ26" s="444"/>
      <c r="CR26" s="444"/>
      <c r="CS26" s="444"/>
      <c r="CT26" s="444"/>
      <c r="CU26" s="444"/>
      <c r="CV26" s="444"/>
      <c r="CW26" s="444"/>
      <c r="CX26" s="444"/>
      <c r="CY26" s="444"/>
      <c r="CZ26" s="444"/>
      <c r="DA26" s="444"/>
      <c r="DB26" s="444"/>
      <c r="DC26" s="444"/>
      <c r="DD26" s="444"/>
      <c r="DE26" s="444"/>
      <c r="DF26" s="444"/>
      <c r="DG26" s="444"/>
      <c r="DH26" s="444"/>
      <c r="DI26" s="444"/>
      <c r="DJ26" s="444"/>
      <c r="DK26" s="444"/>
      <c r="DL26" s="444"/>
      <c r="DM26" s="444"/>
      <c r="DN26" s="444"/>
      <c r="DO26" s="444"/>
      <c r="DP26" s="444"/>
      <c r="DQ26" s="444"/>
      <c r="DR26" s="444"/>
      <c r="DS26" s="444"/>
    </row>
    <row r="27" spans="1:123" s="444" customFormat="1" ht="16.5" customHeight="1">
      <c r="A27" s="438">
        <v>14</v>
      </c>
      <c r="B27" s="439" t="s">
        <v>81</v>
      </c>
      <c r="C27" s="191" t="e">
        <f>'Loans Receivable'!C19</f>
        <v>#VALUE!</v>
      </c>
      <c r="D27" s="440" t="e">
        <f>C27/C$36</f>
        <v>#VALUE!</v>
      </c>
      <c r="E27" s="441" t="s">
        <v>2928</v>
      </c>
      <c r="F27" s="442" t="e">
        <f>E27/E$36</f>
        <v>#VALUE!</v>
      </c>
      <c r="G27" s="439">
        <f>I27+J27</f>
        <v>0</v>
      </c>
      <c r="H27" s="442" t="e">
        <f t="shared" ref="H27:H34" si="9">G27/G$36</f>
        <v>#VALUE!</v>
      </c>
      <c r="I27" s="512">
        <f>'Loans Receivable'!F19</f>
        <v>0</v>
      </c>
      <c r="J27" s="512">
        <f>'Loans Receivable'!E19</f>
        <v>0</v>
      </c>
      <c r="K27" s="503" t="s">
        <v>1713</v>
      </c>
      <c r="L27" s="503" t="s">
        <v>1714</v>
      </c>
      <c r="M27" s="441" t="s">
        <v>1715</v>
      </c>
      <c r="N27" s="441" t="s">
        <v>1716</v>
      </c>
      <c r="O27" s="441" t="s">
        <v>1717</v>
      </c>
      <c r="P27" s="441" t="s">
        <v>1718</v>
      </c>
      <c r="Q27" s="443" t="e">
        <f>G27-K27-P27-O27-N27-M27-L27</f>
        <v>#VALUE!</v>
      </c>
      <c r="S27" s="911" t="e">
        <f t="shared" ref="S27:S36" si="10">SUM(K27:Q27)</f>
        <v>#VALUE!</v>
      </c>
      <c r="T27" s="910"/>
    </row>
    <row r="28" spans="1:123" s="444" customFormat="1" ht="16.5" customHeight="1">
      <c r="A28" s="438">
        <v>15</v>
      </c>
      <c r="B28" s="439" t="s">
        <v>1809</v>
      </c>
      <c r="C28" s="191" t="e">
        <f>'Loans Receivable'!C32</f>
        <v>#VALUE!</v>
      </c>
      <c r="D28" s="440" t="e">
        <f t="shared" ref="D28:F34" si="11">C28/C$36</f>
        <v>#VALUE!</v>
      </c>
      <c r="E28" s="441" t="s">
        <v>2922</v>
      </c>
      <c r="F28" s="442" t="e">
        <f t="shared" si="11"/>
        <v>#VALUE!</v>
      </c>
      <c r="G28" s="439" t="e">
        <f t="shared" ref="G28:G34" si="12">I28+J28</f>
        <v>#VALUE!</v>
      </c>
      <c r="H28" s="442" t="e">
        <f t="shared" si="9"/>
        <v>#VALUE!</v>
      </c>
      <c r="I28" s="512" t="e">
        <f>'Loans Receivable'!F32</f>
        <v>#VALUE!</v>
      </c>
      <c r="J28" s="512" t="e">
        <f>'Loans Receivable'!E32</f>
        <v>#VALUE!</v>
      </c>
      <c r="K28" s="503" t="s">
        <v>475</v>
      </c>
      <c r="L28" s="503" t="s">
        <v>476</v>
      </c>
      <c r="M28" s="441" t="s">
        <v>477</v>
      </c>
      <c r="N28" s="441" t="s">
        <v>478</v>
      </c>
      <c r="O28" s="441" t="s">
        <v>479</v>
      </c>
      <c r="P28" s="441" t="s">
        <v>480</v>
      </c>
      <c r="Q28" s="443" t="e">
        <f t="shared" ref="Q28:Q33" si="13">G28-K28-P28-O28-N28-M28-L28</f>
        <v>#VALUE!</v>
      </c>
      <c r="S28" s="911" t="e">
        <f t="shared" si="10"/>
        <v>#VALUE!</v>
      </c>
      <c r="T28" s="910"/>
    </row>
    <row r="29" spans="1:123" s="444" customFormat="1" ht="16.5" customHeight="1">
      <c r="A29" s="438">
        <v>16</v>
      </c>
      <c r="B29" s="439" t="s">
        <v>407</v>
      </c>
      <c r="C29" s="191" t="e">
        <f>'Loans Receivable'!C44</f>
        <v>#VALUE!</v>
      </c>
      <c r="D29" s="440" t="e">
        <f t="shared" si="11"/>
        <v>#VALUE!</v>
      </c>
      <c r="E29" s="441" t="s">
        <v>2923</v>
      </c>
      <c r="F29" s="442" t="e">
        <f t="shared" si="11"/>
        <v>#VALUE!</v>
      </c>
      <c r="G29" s="439">
        <f t="shared" si="12"/>
        <v>0</v>
      </c>
      <c r="H29" s="442" t="e">
        <f t="shared" si="9"/>
        <v>#VALUE!</v>
      </c>
      <c r="I29" s="512">
        <f>'Loans Receivable'!F44</f>
        <v>0</v>
      </c>
      <c r="J29" s="512">
        <f>'Loans Receivable'!E44</f>
        <v>0</v>
      </c>
      <c r="K29" s="503" t="s">
        <v>335</v>
      </c>
      <c r="L29" s="503" t="s">
        <v>336</v>
      </c>
      <c r="M29" s="441" t="s">
        <v>90</v>
      </c>
      <c r="N29" s="441" t="s">
        <v>91</v>
      </c>
      <c r="O29" s="441" t="s">
        <v>92</v>
      </c>
      <c r="P29" s="441" t="s">
        <v>93</v>
      </c>
      <c r="Q29" s="443" t="e">
        <f t="shared" si="13"/>
        <v>#VALUE!</v>
      </c>
      <c r="S29" s="911" t="e">
        <f t="shared" si="10"/>
        <v>#VALUE!</v>
      </c>
      <c r="T29" s="910"/>
    </row>
    <row r="30" spans="1:123" s="444" customFormat="1" ht="16.5" customHeight="1">
      <c r="A30" s="438">
        <v>17</v>
      </c>
      <c r="B30" s="439" t="s">
        <v>1951</v>
      </c>
      <c r="C30" s="191" t="e">
        <f>'Loans Receivable'!C56</f>
        <v>#VALUE!</v>
      </c>
      <c r="D30" s="440" t="e">
        <f t="shared" si="11"/>
        <v>#VALUE!</v>
      </c>
      <c r="E30" s="441" t="s">
        <v>2924</v>
      </c>
      <c r="F30" s="442" t="e">
        <f t="shared" si="11"/>
        <v>#VALUE!</v>
      </c>
      <c r="G30" s="439">
        <f t="shared" si="12"/>
        <v>0</v>
      </c>
      <c r="H30" s="442" t="e">
        <f t="shared" si="9"/>
        <v>#VALUE!</v>
      </c>
      <c r="I30" s="512">
        <f>'Loans Receivable'!F56</f>
        <v>0</v>
      </c>
      <c r="J30" s="514">
        <f>'Loans Receivable'!E56</f>
        <v>0</v>
      </c>
      <c r="K30" s="503" t="s">
        <v>94</v>
      </c>
      <c r="L30" s="503" t="s">
        <v>95</v>
      </c>
      <c r="M30" s="441" t="s">
        <v>1210</v>
      </c>
      <c r="N30" s="441" t="s">
        <v>515</v>
      </c>
      <c r="O30" s="441" t="s">
        <v>539</v>
      </c>
      <c r="P30" s="441" t="s">
        <v>1175</v>
      </c>
      <c r="Q30" s="443" t="e">
        <f t="shared" si="13"/>
        <v>#VALUE!</v>
      </c>
      <c r="S30" s="911" t="e">
        <f t="shared" si="10"/>
        <v>#VALUE!</v>
      </c>
      <c r="T30" s="910"/>
    </row>
    <row r="31" spans="1:123" s="444" customFormat="1" ht="16.5" customHeight="1">
      <c r="A31" s="438">
        <v>18</v>
      </c>
      <c r="B31" s="439" t="s">
        <v>223</v>
      </c>
      <c r="C31" s="191" t="e">
        <f>'Loans Receivable'!C68</f>
        <v>#VALUE!</v>
      </c>
      <c r="D31" s="440" t="e">
        <f t="shared" si="11"/>
        <v>#VALUE!</v>
      </c>
      <c r="E31" s="441" t="s">
        <v>2925</v>
      </c>
      <c r="F31" s="442" t="e">
        <f t="shared" si="11"/>
        <v>#VALUE!</v>
      </c>
      <c r="G31" s="439">
        <f t="shared" si="12"/>
        <v>0</v>
      </c>
      <c r="H31" s="442" t="e">
        <f t="shared" si="9"/>
        <v>#VALUE!</v>
      </c>
      <c r="I31" s="512">
        <f>'Loans Receivable'!F68</f>
        <v>0</v>
      </c>
      <c r="J31" s="512">
        <f>'Loans Receivable'!E68</f>
        <v>0</v>
      </c>
      <c r="K31" s="503" t="s">
        <v>1176</v>
      </c>
      <c r="L31" s="503" t="s">
        <v>962</v>
      </c>
      <c r="M31" s="441" t="s">
        <v>963</v>
      </c>
      <c r="N31" s="441" t="s">
        <v>964</v>
      </c>
      <c r="O31" s="441" t="s">
        <v>965</v>
      </c>
      <c r="P31" s="441" t="s">
        <v>966</v>
      </c>
      <c r="Q31" s="443" t="e">
        <f t="shared" si="13"/>
        <v>#VALUE!</v>
      </c>
      <c r="S31" s="911" t="e">
        <f t="shared" si="10"/>
        <v>#VALUE!</v>
      </c>
      <c r="T31" s="910"/>
    </row>
    <row r="32" spans="1:123" s="444" customFormat="1" ht="16.5" customHeight="1">
      <c r="A32" s="438">
        <v>19</v>
      </c>
      <c r="B32" s="439" t="s">
        <v>1720</v>
      </c>
      <c r="C32" s="191" t="e">
        <f>'Loans Receivable'!C80</f>
        <v>#VALUE!</v>
      </c>
      <c r="D32" s="440" t="e">
        <f t="shared" si="11"/>
        <v>#VALUE!</v>
      </c>
      <c r="E32" s="441" t="s">
        <v>2926</v>
      </c>
      <c r="F32" s="442" t="e">
        <f t="shared" si="11"/>
        <v>#VALUE!</v>
      </c>
      <c r="G32" s="439">
        <f t="shared" si="12"/>
        <v>0</v>
      </c>
      <c r="H32" s="442" t="e">
        <f t="shared" si="9"/>
        <v>#VALUE!</v>
      </c>
      <c r="I32" s="512">
        <f>'Loans Receivable'!F80</f>
        <v>0</v>
      </c>
      <c r="J32" s="512">
        <f>'Loans Receivable'!E80</f>
        <v>0</v>
      </c>
      <c r="K32" s="503" t="s">
        <v>667</v>
      </c>
      <c r="L32" s="503" t="s">
        <v>668</v>
      </c>
      <c r="M32" s="441" t="s">
        <v>669</v>
      </c>
      <c r="N32" s="441" t="s">
        <v>670</v>
      </c>
      <c r="O32" s="441" t="s">
        <v>671</v>
      </c>
      <c r="P32" s="441" t="s">
        <v>672</v>
      </c>
      <c r="Q32" s="443" t="e">
        <f t="shared" si="13"/>
        <v>#VALUE!</v>
      </c>
      <c r="S32" s="911" t="e">
        <f t="shared" si="10"/>
        <v>#VALUE!</v>
      </c>
      <c r="T32" s="910"/>
    </row>
    <row r="33" spans="1:123" s="444" customFormat="1" ht="16.5" customHeight="1">
      <c r="A33" s="438">
        <v>20</v>
      </c>
      <c r="B33" s="439" t="s">
        <v>1722</v>
      </c>
      <c r="C33" s="191" t="e">
        <f>'Loans Receivable'!C92</f>
        <v>#VALUE!</v>
      </c>
      <c r="D33" s="440" t="e">
        <f t="shared" si="11"/>
        <v>#VALUE!</v>
      </c>
      <c r="E33" s="441" t="s">
        <v>2927</v>
      </c>
      <c r="F33" s="442" t="e">
        <f t="shared" si="11"/>
        <v>#VALUE!</v>
      </c>
      <c r="G33" s="439">
        <f t="shared" si="12"/>
        <v>0</v>
      </c>
      <c r="H33" s="442" t="e">
        <f t="shared" si="9"/>
        <v>#VALUE!</v>
      </c>
      <c r="I33" s="512">
        <f>'Loans Receivable'!F92</f>
        <v>0</v>
      </c>
      <c r="J33" s="512">
        <f>'Loans Receivable'!E92</f>
        <v>0</v>
      </c>
      <c r="K33" s="503" t="s">
        <v>604</v>
      </c>
      <c r="L33" s="503" t="s">
        <v>605</v>
      </c>
      <c r="M33" s="441" t="s">
        <v>606</v>
      </c>
      <c r="N33" s="441" t="s">
        <v>1271</v>
      </c>
      <c r="O33" s="441" t="s">
        <v>1272</v>
      </c>
      <c r="P33" s="441" t="s">
        <v>607</v>
      </c>
      <c r="Q33" s="443" t="e">
        <f t="shared" si="13"/>
        <v>#VALUE!</v>
      </c>
      <c r="S33" s="911" t="e">
        <f t="shared" si="10"/>
        <v>#VALUE!</v>
      </c>
      <c r="T33" s="910"/>
    </row>
    <row r="34" spans="1:123" s="444" customFormat="1" ht="16.5" customHeight="1">
      <c r="A34" s="438">
        <v>21</v>
      </c>
      <c r="B34" s="439" t="s">
        <v>1731</v>
      </c>
      <c r="C34" s="191" t="e">
        <f>'Loans Receivable'!C105</f>
        <v>#VALUE!</v>
      </c>
      <c r="D34" s="440" t="e">
        <f t="shared" si="11"/>
        <v>#VALUE!</v>
      </c>
      <c r="E34" s="441" t="e">
        <f>E24-E27-E28-E29-E30-E31-E32-E33</f>
        <v>#VALUE!</v>
      </c>
      <c r="F34" s="442" t="e">
        <f t="shared" si="11"/>
        <v>#VALUE!</v>
      </c>
      <c r="G34" s="439" t="e">
        <f t="shared" si="12"/>
        <v>#VALUE!</v>
      </c>
      <c r="H34" s="442" t="e">
        <f t="shared" si="9"/>
        <v>#VALUE!</v>
      </c>
      <c r="I34" s="514" t="e">
        <f>'Loans Receivable'!F105</f>
        <v>#VALUE!</v>
      </c>
      <c r="J34" s="512" t="e">
        <f>'Loans Receivable'!E105</f>
        <v>#VALUE!</v>
      </c>
      <c r="K34" s="503" t="e">
        <f>K24-K27-K28-K29-K30-K31-K32-K33</f>
        <v>#VALUE!</v>
      </c>
      <c r="L34" s="503" t="e">
        <f t="shared" ref="L34:Q34" si="14">L24-L27-L28-L29-L30-L31-L32-L33</f>
        <v>#VALUE!</v>
      </c>
      <c r="M34" s="441" t="e">
        <f t="shared" si="14"/>
        <v>#VALUE!</v>
      </c>
      <c r="N34" s="441" t="e">
        <f t="shared" si="14"/>
        <v>#VALUE!</v>
      </c>
      <c r="O34" s="441" t="e">
        <f t="shared" si="14"/>
        <v>#VALUE!</v>
      </c>
      <c r="P34" s="441" t="e">
        <f t="shared" si="14"/>
        <v>#VALUE!</v>
      </c>
      <c r="Q34" s="443" t="e">
        <f t="shared" si="14"/>
        <v>#VALUE!</v>
      </c>
      <c r="S34" s="911" t="e">
        <f t="shared" si="10"/>
        <v>#VALUE!</v>
      </c>
      <c r="T34" s="910"/>
    </row>
    <row r="35" spans="1:123" s="444" customFormat="1" ht="16.5" customHeight="1">
      <c r="A35" s="438"/>
      <c r="B35" s="439"/>
      <c r="C35" s="191"/>
      <c r="D35" s="440"/>
      <c r="E35" s="441"/>
      <c r="F35" s="442" t="e">
        <f>IF(E$24=0,"",E35/E$24)</f>
        <v>#VALUE!</v>
      </c>
      <c r="G35" s="439"/>
      <c r="H35" s="442" t="e">
        <f>IF(G$24=0,"",G35/G$24)</f>
        <v>#VALUE!</v>
      </c>
      <c r="J35" s="512"/>
      <c r="K35" s="503"/>
      <c r="L35" s="503"/>
      <c r="M35" s="441"/>
      <c r="N35" s="441"/>
      <c r="O35" s="441"/>
      <c r="P35" s="441"/>
      <c r="Q35" s="443"/>
      <c r="S35" s="911"/>
      <c r="T35" s="910"/>
    </row>
    <row r="36" spans="1:123" s="444" customFormat="1" ht="16.5" customHeight="1">
      <c r="A36" s="438">
        <v>22</v>
      </c>
      <c r="B36" s="620" t="s">
        <v>2572</v>
      </c>
      <c r="C36" s="191" t="e">
        <f>SUM(C27:C34)</f>
        <v>#VALUE!</v>
      </c>
      <c r="D36" s="440" t="e">
        <f>C36/C$36</f>
        <v>#VALUE!</v>
      </c>
      <c r="E36" s="441" t="e">
        <f>SUM(E27:E34)</f>
        <v>#VALUE!</v>
      </c>
      <c r="F36" s="442" t="e">
        <f>E36/E$36</f>
        <v>#VALUE!</v>
      </c>
      <c r="G36" s="439" t="e">
        <f>SUM(G27:G34)</f>
        <v>#VALUE!</v>
      </c>
      <c r="H36" s="442" t="e">
        <f>G36/G$36</f>
        <v>#VALUE!</v>
      </c>
      <c r="I36" s="439" t="e">
        <f>SUM(I27:I35)</f>
        <v>#VALUE!</v>
      </c>
      <c r="J36" s="439" t="e">
        <f>SUM(J27:J34)</f>
        <v>#VALUE!</v>
      </c>
      <c r="K36" s="503" t="e">
        <f t="shared" ref="K36:Q36" si="15">SUM(K27:K34)</f>
        <v>#VALUE!</v>
      </c>
      <c r="L36" s="503" t="e">
        <f t="shared" si="15"/>
        <v>#VALUE!</v>
      </c>
      <c r="M36" s="441" t="e">
        <f t="shared" si="15"/>
        <v>#VALUE!</v>
      </c>
      <c r="N36" s="441" t="e">
        <f t="shared" si="15"/>
        <v>#VALUE!</v>
      </c>
      <c r="O36" s="441" t="e">
        <f t="shared" si="15"/>
        <v>#VALUE!</v>
      </c>
      <c r="P36" s="441" t="e">
        <f t="shared" si="15"/>
        <v>#VALUE!</v>
      </c>
      <c r="Q36" s="443" t="e">
        <f t="shared" si="15"/>
        <v>#VALUE!</v>
      </c>
      <c r="S36" s="911" t="e">
        <f t="shared" si="10"/>
        <v>#VALUE!</v>
      </c>
      <c r="T36" s="910"/>
    </row>
    <row r="37" spans="1:123" ht="16.5" customHeight="1">
      <c r="A37" s="293"/>
      <c r="B37" s="46"/>
      <c r="C37" s="356"/>
      <c r="D37" s="130"/>
      <c r="E37" s="131"/>
      <c r="F37" s="132"/>
      <c r="G37" s="46"/>
      <c r="H37" s="132"/>
      <c r="I37" s="513"/>
      <c r="J37" s="513"/>
      <c r="K37" s="504"/>
      <c r="L37" s="504"/>
      <c r="M37" s="131"/>
      <c r="N37" s="131"/>
      <c r="O37" s="131"/>
      <c r="P37" s="131"/>
      <c r="Q37" s="294"/>
      <c r="S37" s="911"/>
    </row>
    <row r="38" spans="1:123" ht="16.5" customHeight="1">
      <c r="A38" s="293"/>
      <c r="B38" s="46" t="s">
        <v>102</v>
      </c>
      <c r="C38" s="356"/>
      <c r="D38" s="130"/>
      <c r="E38" s="131"/>
      <c r="F38" s="132"/>
      <c r="G38" s="46"/>
      <c r="H38" s="132"/>
      <c r="I38" s="513"/>
      <c r="J38" s="513"/>
      <c r="K38" s="131"/>
      <c r="L38" s="131"/>
      <c r="M38" s="131"/>
      <c r="N38" s="131"/>
      <c r="O38" s="131"/>
      <c r="P38" s="131"/>
      <c r="Q38" s="294"/>
      <c r="S38" s="911"/>
    </row>
    <row r="39" spans="1:123" ht="16.5" customHeight="1">
      <c r="A39" s="293"/>
      <c r="B39" s="46"/>
      <c r="C39" s="356"/>
      <c r="D39" s="130"/>
      <c r="E39" s="131"/>
      <c r="F39" s="132"/>
      <c r="G39" s="46"/>
      <c r="H39" s="132"/>
      <c r="I39" s="513"/>
      <c r="J39" s="513"/>
      <c r="K39" s="131"/>
      <c r="L39" s="131"/>
      <c r="M39" s="131"/>
      <c r="N39" s="131"/>
      <c r="O39" s="131"/>
      <c r="P39" s="131"/>
      <c r="Q39" s="294"/>
      <c r="S39" s="911"/>
    </row>
    <row r="40" spans="1:123" ht="16.5" customHeight="1">
      <c r="A40" s="883"/>
      <c r="B40" s="884" t="s">
        <v>1198</v>
      </c>
      <c r="C40" s="885"/>
      <c r="D40" s="886"/>
      <c r="E40" s="887"/>
      <c r="F40" s="888"/>
      <c r="G40" s="884"/>
      <c r="H40" s="888"/>
      <c r="I40" s="889"/>
      <c r="J40" s="889"/>
      <c r="K40" s="887"/>
      <c r="L40" s="887"/>
      <c r="M40" s="887"/>
      <c r="N40" s="887"/>
      <c r="O40" s="887"/>
      <c r="P40" s="887"/>
      <c r="Q40" s="890"/>
      <c r="S40" s="911"/>
    </row>
    <row r="41" spans="1:123" s="854" customFormat="1" ht="16.5" customHeight="1">
      <c r="A41" s="891"/>
      <c r="B41" s="771"/>
      <c r="C41" s="769"/>
      <c r="D41" s="892"/>
      <c r="E41" s="893"/>
      <c r="F41" s="894"/>
      <c r="G41" s="771"/>
      <c r="H41" s="894"/>
      <c r="I41" s="895"/>
      <c r="J41" s="895"/>
      <c r="K41" s="893"/>
      <c r="L41" s="893"/>
      <c r="M41" s="893"/>
      <c r="N41" s="893"/>
      <c r="O41" s="893"/>
      <c r="P41" s="893"/>
      <c r="Q41" s="893"/>
      <c r="R41" s="906"/>
      <c r="S41" s="899"/>
      <c r="T41" s="906"/>
      <c r="U41" s="906"/>
      <c r="V41" s="906"/>
      <c r="W41" s="906"/>
      <c r="X41" s="906"/>
      <c r="Y41" s="906"/>
      <c r="Z41" s="906"/>
      <c r="AA41" s="906"/>
      <c r="AB41" s="906"/>
      <c r="AC41" s="906"/>
      <c r="AD41" s="906"/>
      <c r="AE41" s="906"/>
      <c r="AF41" s="906"/>
      <c r="AG41" s="906"/>
      <c r="AH41" s="906"/>
      <c r="AI41" s="906"/>
      <c r="AJ41" s="906"/>
      <c r="AK41" s="906"/>
      <c r="AL41" s="906"/>
      <c r="AM41" s="906"/>
      <c r="AN41" s="906"/>
      <c r="AO41" s="906"/>
      <c r="AP41" s="906"/>
      <c r="AQ41" s="906"/>
      <c r="AR41" s="906"/>
      <c r="AS41" s="906"/>
      <c r="AT41" s="906"/>
      <c r="AU41" s="906"/>
      <c r="AV41" s="906"/>
      <c r="AW41" s="906"/>
      <c r="AX41" s="906"/>
      <c r="AY41" s="906"/>
      <c r="AZ41" s="906"/>
      <c r="BA41" s="906"/>
      <c r="BB41" s="906"/>
      <c r="BC41" s="906"/>
      <c r="BD41" s="906"/>
      <c r="BE41" s="906"/>
      <c r="BF41" s="906"/>
      <c r="BG41" s="906"/>
      <c r="BH41" s="906"/>
      <c r="BI41" s="906"/>
      <c r="BJ41" s="906"/>
      <c r="BK41" s="906"/>
      <c r="BL41" s="906"/>
      <c r="BM41" s="906"/>
      <c r="BN41" s="906"/>
      <c r="BO41" s="906"/>
      <c r="BP41" s="906"/>
      <c r="BQ41" s="906"/>
      <c r="BR41" s="906"/>
      <c r="BS41" s="906"/>
      <c r="BT41" s="906"/>
      <c r="BU41" s="906"/>
      <c r="BV41" s="906"/>
      <c r="BW41" s="906"/>
      <c r="BX41" s="906"/>
      <c r="BY41" s="906"/>
      <c r="BZ41" s="906"/>
      <c r="CA41" s="906"/>
      <c r="CB41" s="906"/>
      <c r="CC41" s="906"/>
      <c r="CD41" s="906"/>
      <c r="CE41" s="906"/>
      <c r="CF41" s="906"/>
      <c r="CG41" s="906"/>
      <c r="CH41" s="906"/>
      <c r="CI41" s="906"/>
      <c r="CJ41" s="906"/>
      <c r="CK41" s="906"/>
      <c r="CL41" s="906"/>
      <c r="CM41" s="906"/>
      <c r="CN41" s="906"/>
      <c r="CO41" s="906"/>
      <c r="CP41" s="906"/>
      <c r="CQ41" s="906"/>
      <c r="CR41" s="906"/>
      <c r="CS41" s="906"/>
      <c r="CT41" s="906"/>
      <c r="CU41" s="906"/>
      <c r="CV41" s="906"/>
      <c r="CW41" s="906"/>
      <c r="CX41" s="906"/>
      <c r="CY41" s="906"/>
      <c r="CZ41" s="906"/>
      <c r="DA41" s="906"/>
      <c r="DB41" s="906"/>
      <c r="DC41" s="906"/>
      <c r="DD41" s="906"/>
      <c r="DE41" s="906"/>
      <c r="DF41" s="906"/>
      <c r="DG41" s="906"/>
      <c r="DH41" s="906"/>
      <c r="DI41" s="906"/>
      <c r="DJ41" s="906"/>
      <c r="DK41" s="906"/>
      <c r="DL41" s="906"/>
      <c r="DM41" s="906"/>
      <c r="DN41" s="906"/>
      <c r="DO41" s="906"/>
      <c r="DP41" s="906"/>
      <c r="DQ41" s="906"/>
      <c r="DR41" s="906"/>
      <c r="DS41" s="906"/>
    </row>
    <row r="42" spans="1:123" s="854" customFormat="1" ht="16.5" customHeight="1">
      <c r="A42" s="891"/>
      <c r="B42" s="771"/>
      <c r="C42" s="769"/>
      <c r="D42" s="892"/>
      <c r="E42" s="893"/>
      <c r="F42" s="894"/>
      <c r="G42" s="771"/>
      <c r="H42" s="894"/>
      <c r="I42" s="895"/>
      <c r="J42" s="895"/>
      <c r="K42" s="893"/>
      <c r="L42" s="893"/>
      <c r="M42" s="893"/>
      <c r="N42" s="893"/>
      <c r="O42" s="893"/>
      <c r="P42" s="893"/>
      <c r="Q42" s="893"/>
      <c r="R42" s="906"/>
      <c r="S42" s="899"/>
      <c r="T42" s="906"/>
      <c r="U42" s="906"/>
      <c r="V42" s="906"/>
      <c r="W42" s="906"/>
      <c r="X42" s="906"/>
      <c r="Y42" s="906"/>
      <c r="Z42" s="906"/>
      <c r="AA42" s="906"/>
      <c r="AB42" s="906"/>
      <c r="AC42" s="906"/>
      <c r="AD42" s="906"/>
      <c r="AE42" s="906"/>
      <c r="AF42" s="906"/>
      <c r="AG42" s="906"/>
      <c r="AH42" s="906"/>
      <c r="AI42" s="906"/>
      <c r="AJ42" s="906"/>
      <c r="AK42" s="906"/>
      <c r="AL42" s="906"/>
      <c r="AM42" s="906"/>
      <c r="AN42" s="906"/>
      <c r="AO42" s="906"/>
      <c r="AP42" s="906"/>
      <c r="AQ42" s="906"/>
      <c r="AR42" s="906"/>
      <c r="AS42" s="906"/>
      <c r="AT42" s="906"/>
      <c r="AU42" s="906"/>
      <c r="AV42" s="906"/>
      <c r="AW42" s="906"/>
      <c r="AX42" s="906"/>
      <c r="AY42" s="906"/>
      <c r="AZ42" s="906"/>
      <c r="BA42" s="906"/>
      <c r="BB42" s="906"/>
      <c r="BC42" s="906"/>
      <c r="BD42" s="906"/>
      <c r="BE42" s="906"/>
      <c r="BF42" s="906"/>
      <c r="BG42" s="906"/>
      <c r="BH42" s="906"/>
      <c r="BI42" s="906"/>
      <c r="BJ42" s="906"/>
      <c r="BK42" s="906"/>
      <c r="BL42" s="906"/>
      <c r="BM42" s="906"/>
      <c r="BN42" s="906"/>
      <c r="BO42" s="906"/>
      <c r="BP42" s="906"/>
      <c r="BQ42" s="906"/>
      <c r="BR42" s="906"/>
      <c r="BS42" s="906"/>
      <c r="BT42" s="906"/>
      <c r="BU42" s="906"/>
      <c r="BV42" s="906"/>
      <c r="BW42" s="906"/>
      <c r="BX42" s="906"/>
      <c r="BY42" s="906"/>
      <c r="BZ42" s="906"/>
      <c r="CA42" s="906"/>
      <c r="CB42" s="906"/>
      <c r="CC42" s="906"/>
      <c r="CD42" s="906"/>
      <c r="CE42" s="906"/>
      <c r="CF42" s="906"/>
      <c r="CG42" s="906"/>
      <c r="CH42" s="906"/>
      <c r="CI42" s="906"/>
      <c r="CJ42" s="906"/>
      <c r="CK42" s="906"/>
      <c r="CL42" s="906"/>
      <c r="CM42" s="906"/>
      <c r="CN42" s="906"/>
      <c r="CO42" s="906"/>
      <c r="CP42" s="906"/>
      <c r="CQ42" s="906"/>
      <c r="CR42" s="906"/>
      <c r="CS42" s="906"/>
      <c r="CT42" s="906"/>
      <c r="CU42" s="906"/>
      <c r="CV42" s="906"/>
      <c r="CW42" s="906"/>
      <c r="CX42" s="906"/>
      <c r="CY42" s="906"/>
      <c r="CZ42" s="906"/>
      <c r="DA42" s="906"/>
      <c r="DB42" s="906"/>
      <c r="DC42" s="906"/>
      <c r="DD42" s="906"/>
      <c r="DE42" s="906"/>
      <c r="DF42" s="906"/>
      <c r="DG42" s="906"/>
      <c r="DH42" s="906"/>
      <c r="DI42" s="906"/>
      <c r="DJ42" s="906"/>
      <c r="DK42" s="906"/>
      <c r="DL42" s="906"/>
      <c r="DM42" s="906"/>
      <c r="DN42" s="906"/>
      <c r="DO42" s="906"/>
      <c r="DP42" s="906"/>
      <c r="DQ42" s="906"/>
      <c r="DR42" s="906"/>
      <c r="DS42" s="906"/>
    </row>
    <row r="43" spans="1:123" s="854" customFormat="1" ht="16.5" customHeight="1">
      <c r="A43" s="891"/>
      <c r="B43" s="771"/>
      <c r="C43" s="769"/>
      <c r="D43" s="892"/>
      <c r="E43" s="893"/>
      <c r="F43" s="894"/>
      <c r="G43" s="771"/>
      <c r="H43" s="894"/>
      <c r="I43" s="895"/>
      <c r="J43" s="895"/>
      <c r="K43" s="893"/>
      <c r="L43" s="893"/>
      <c r="M43" s="893"/>
      <c r="N43" s="893"/>
      <c r="O43" s="893"/>
      <c r="P43" s="893"/>
      <c r="Q43" s="893"/>
      <c r="R43" s="906"/>
      <c r="S43" s="899"/>
      <c r="T43" s="906"/>
      <c r="U43" s="906"/>
      <c r="V43" s="906"/>
      <c r="W43" s="906"/>
      <c r="X43" s="906"/>
      <c r="Y43" s="906"/>
      <c r="Z43" s="906"/>
      <c r="AA43" s="906"/>
      <c r="AB43" s="906"/>
      <c r="AC43" s="906"/>
      <c r="AD43" s="906"/>
      <c r="AE43" s="906"/>
      <c r="AF43" s="906"/>
      <c r="AG43" s="906"/>
      <c r="AH43" s="906"/>
      <c r="AI43" s="906"/>
      <c r="AJ43" s="906"/>
      <c r="AK43" s="906"/>
      <c r="AL43" s="906"/>
      <c r="AM43" s="906"/>
      <c r="AN43" s="906"/>
      <c r="AO43" s="906"/>
      <c r="AP43" s="906"/>
      <c r="AQ43" s="906"/>
      <c r="AR43" s="906"/>
      <c r="AS43" s="906"/>
      <c r="AT43" s="906"/>
      <c r="AU43" s="906"/>
      <c r="AV43" s="906"/>
      <c r="AW43" s="906"/>
      <c r="AX43" s="906"/>
      <c r="AY43" s="906"/>
      <c r="AZ43" s="906"/>
      <c r="BA43" s="906"/>
      <c r="BB43" s="906"/>
      <c r="BC43" s="906"/>
      <c r="BD43" s="906"/>
      <c r="BE43" s="906"/>
      <c r="BF43" s="906"/>
      <c r="BG43" s="906"/>
      <c r="BH43" s="906"/>
      <c r="BI43" s="906"/>
      <c r="BJ43" s="906"/>
      <c r="BK43" s="906"/>
      <c r="BL43" s="906"/>
      <c r="BM43" s="906"/>
      <c r="BN43" s="906"/>
      <c r="BO43" s="906"/>
      <c r="BP43" s="906"/>
      <c r="BQ43" s="906"/>
      <c r="BR43" s="906"/>
      <c r="BS43" s="906"/>
      <c r="BT43" s="906"/>
      <c r="BU43" s="906"/>
      <c r="BV43" s="906"/>
      <c r="BW43" s="906"/>
      <c r="BX43" s="906"/>
      <c r="BY43" s="906"/>
      <c r="BZ43" s="906"/>
      <c r="CA43" s="906"/>
      <c r="CB43" s="906"/>
      <c r="CC43" s="906"/>
      <c r="CD43" s="906"/>
      <c r="CE43" s="906"/>
      <c r="CF43" s="906"/>
      <c r="CG43" s="906"/>
      <c r="CH43" s="906"/>
      <c r="CI43" s="906"/>
      <c r="CJ43" s="906"/>
      <c r="CK43" s="906"/>
      <c r="CL43" s="906"/>
      <c r="CM43" s="906"/>
      <c r="CN43" s="906"/>
      <c r="CO43" s="906"/>
      <c r="CP43" s="906"/>
      <c r="CQ43" s="906"/>
      <c r="CR43" s="906"/>
      <c r="CS43" s="906"/>
      <c r="CT43" s="906"/>
      <c r="CU43" s="906"/>
      <c r="CV43" s="906"/>
      <c r="CW43" s="906"/>
      <c r="CX43" s="906"/>
      <c r="CY43" s="906"/>
      <c r="CZ43" s="906"/>
      <c r="DA43" s="906"/>
      <c r="DB43" s="906"/>
      <c r="DC43" s="906"/>
      <c r="DD43" s="906"/>
      <c r="DE43" s="906"/>
      <c r="DF43" s="906"/>
      <c r="DG43" s="906"/>
      <c r="DH43" s="906"/>
      <c r="DI43" s="906"/>
      <c r="DJ43" s="906"/>
      <c r="DK43" s="906"/>
      <c r="DL43" s="906"/>
      <c r="DM43" s="906"/>
      <c r="DN43" s="906"/>
      <c r="DO43" s="906"/>
      <c r="DP43" s="906"/>
      <c r="DQ43" s="906"/>
      <c r="DR43" s="906"/>
      <c r="DS43" s="906"/>
    </row>
    <row r="44" spans="1:123" s="854" customFormat="1" ht="16.5" customHeight="1">
      <c r="A44" s="891"/>
      <c r="B44" s="896" t="s">
        <v>1278</v>
      </c>
      <c r="C44" s="769"/>
      <c r="D44" s="892"/>
      <c r="E44" s="893"/>
      <c r="F44" s="894"/>
      <c r="G44" s="771"/>
      <c r="H44" s="894"/>
      <c r="I44" s="897"/>
      <c r="J44" s="897"/>
      <c r="K44" s="893"/>
      <c r="L44" s="893"/>
      <c r="M44" s="893"/>
      <c r="N44" s="893"/>
      <c r="O44" s="893"/>
      <c r="P44" s="893"/>
      <c r="Q44" s="893"/>
      <c r="R44" s="906"/>
      <c r="S44" s="899"/>
      <c r="T44" s="906"/>
      <c r="U44" s="906"/>
      <c r="V44" s="906"/>
      <c r="W44" s="906"/>
      <c r="X44" s="906"/>
      <c r="Y44" s="906"/>
      <c r="Z44" s="906"/>
      <c r="AA44" s="906"/>
      <c r="AB44" s="906"/>
      <c r="AC44" s="906"/>
      <c r="AD44" s="906"/>
      <c r="AE44" s="906"/>
      <c r="AF44" s="906"/>
      <c r="AG44" s="906"/>
      <c r="AH44" s="906"/>
      <c r="AI44" s="906"/>
      <c r="AJ44" s="906"/>
      <c r="AK44" s="906"/>
      <c r="AL44" s="906"/>
      <c r="AM44" s="906"/>
      <c r="AN44" s="906"/>
      <c r="AO44" s="906"/>
      <c r="AP44" s="906"/>
      <c r="AQ44" s="906"/>
      <c r="AR44" s="906"/>
      <c r="AS44" s="906"/>
      <c r="AT44" s="906"/>
      <c r="AU44" s="906"/>
      <c r="AV44" s="906"/>
      <c r="AW44" s="906"/>
      <c r="AX44" s="906"/>
      <c r="AY44" s="906"/>
      <c r="AZ44" s="906"/>
      <c r="BA44" s="906"/>
      <c r="BB44" s="906"/>
      <c r="BC44" s="906"/>
      <c r="BD44" s="906"/>
      <c r="BE44" s="906"/>
      <c r="BF44" s="906"/>
      <c r="BG44" s="906"/>
      <c r="BH44" s="906"/>
      <c r="BI44" s="906"/>
      <c r="BJ44" s="906"/>
      <c r="BK44" s="906"/>
      <c r="BL44" s="906"/>
      <c r="BM44" s="906"/>
      <c r="BN44" s="906"/>
      <c r="BO44" s="906"/>
      <c r="BP44" s="906"/>
      <c r="BQ44" s="906"/>
      <c r="BR44" s="906"/>
      <c r="BS44" s="906"/>
      <c r="BT44" s="906"/>
      <c r="BU44" s="906"/>
      <c r="BV44" s="906"/>
      <c r="BW44" s="906"/>
      <c r="BX44" s="906"/>
      <c r="BY44" s="906"/>
      <c r="BZ44" s="906"/>
      <c r="CA44" s="906"/>
      <c r="CB44" s="906"/>
      <c r="CC44" s="906"/>
      <c r="CD44" s="906"/>
      <c r="CE44" s="906"/>
      <c r="CF44" s="906"/>
      <c r="CG44" s="906"/>
      <c r="CH44" s="906"/>
      <c r="CI44" s="906"/>
      <c r="CJ44" s="906"/>
      <c r="CK44" s="906"/>
      <c r="CL44" s="906"/>
      <c r="CM44" s="906"/>
      <c r="CN44" s="906"/>
      <c r="CO44" s="906"/>
      <c r="CP44" s="906"/>
      <c r="CQ44" s="906"/>
      <c r="CR44" s="906"/>
      <c r="CS44" s="906"/>
      <c r="CT44" s="906"/>
      <c r="CU44" s="906"/>
      <c r="CV44" s="906"/>
      <c r="CW44" s="906"/>
      <c r="CX44" s="906"/>
      <c r="CY44" s="906"/>
      <c r="CZ44" s="906"/>
      <c r="DA44" s="906"/>
      <c r="DB44" s="906"/>
      <c r="DC44" s="906"/>
      <c r="DD44" s="906"/>
      <c r="DE44" s="906"/>
      <c r="DF44" s="906"/>
      <c r="DG44" s="906"/>
      <c r="DH44" s="906"/>
      <c r="DI44" s="906"/>
      <c r="DJ44" s="906"/>
      <c r="DK44" s="906"/>
      <c r="DL44" s="906"/>
      <c r="DM44" s="906"/>
      <c r="DN44" s="906"/>
      <c r="DO44" s="906"/>
      <c r="DP44" s="906"/>
      <c r="DQ44" s="906"/>
      <c r="DR44" s="906"/>
      <c r="DS44" s="906"/>
    </row>
    <row r="45" spans="1:123" s="906" customFormat="1" ht="16.5" customHeight="1">
      <c r="A45" s="898"/>
      <c r="B45" s="899" t="s">
        <v>1279</v>
      </c>
      <c r="C45" s="900" t="e">
        <f>'Loans Receivable'!C136</f>
        <v>#VALUE!</v>
      </c>
      <c r="D45" s="901" t="e">
        <f>C45/C$24</f>
        <v>#VALUE!</v>
      </c>
      <c r="E45" s="909" t="s">
        <v>1907</v>
      </c>
      <c r="F45" s="902" t="e">
        <f>E45/E$24</f>
        <v>#VALUE!</v>
      </c>
      <c r="G45" s="899" t="e">
        <f>I45+J45</f>
        <v>#VALUE!</v>
      </c>
      <c r="H45" s="902" t="e">
        <f>G45/G$24</f>
        <v>#VALUE!</v>
      </c>
      <c r="I45" s="903" t="str">
        <f>'Loans Receivable'!F136</f>
        <v>#FNECTCP{13101,13109,15501,15505,11101,13301,13309,14301,14305,15613;09;;;E}</v>
      </c>
      <c r="J45" s="903" t="str">
        <f>'Loans Receivable'!E136</f>
        <v>#FNECTC{15701,15705;09;;;E}</v>
      </c>
      <c r="K45" s="904" t="s">
        <v>1441</v>
      </c>
      <c r="L45" s="904" t="s">
        <v>1442</v>
      </c>
      <c r="M45" s="904" t="s">
        <v>1443</v>
      </c>
      <c r="N45" s="904" t="s">
        <v>1444</v>
      </c>
      <c r="O45" s="904" t="s">
        <v>1445</v>
      </c>
      <c r="P45" s="904" t="s">
        <v>1446</v>
      </c>
      <c r="Q45" s="905" t="e">
        <f>G45-P45-O45-N45-M45-L45-K45</f>
        <v>#VALUE!</v>
      </c>
      <c r="S45" s="899" t="e">
        <f>SUM(K45:Q45)</f>
        <v>#VALUE!</v>
      </c>
    </row>
    <row r="46" spans="1:123" s="906" customFormat="1" ht="16.5" customHeight="1">
      <c r="A46" s="898"/>
      <c r="B46" s="899" t="s">
        <v>1280</v>
      </c>
      <c r="C46" s="900">
        <f>'Loans Receivable'!C137</f>
        <v>0</v>
      </c>
      <c r="D46" s="901" t="e">
        <f>C46/C$24</f>
        <v>#VALUE!</v>
      </c>
      <c r="E46" s="907">
        <v>0</v>
      </c>
      <c r="F46" s="902" t="e">
        <f>E46/E$24</f>
        <v>#VALUE!</v>
      </c>
      <c r="G46" s="899">
        <f>I46+J46</f>
        <v>0</v>
      </c>
      <c r="H46" s="902" t="e">
        <f>G46/G$24</f>
        <v>#VALUE!</v>
      </c>
      <c r="I46" s="903">
        <f>'Loans Receivable'!F137</f>
        <v>0</v>
      </c>
      <c r="J46" s="903">
        <f>'Loans Receivable'!E137</f>
        <v>0</v>
      </c>
      <c r="K46" s="908">
        <v>0</v>
      </c>
      <c r="L46" s="908">
        <v>0</v>
      </c>
      <c r="M46" s="908">
        <v>0</v>
      </c>
      <c r="N46" s="908">
        <v>0</v>
      </c>
      <c r="O46" s="908">
        <v>0</v>
      </c>
      <c r="P46" s="908">
        <v>0</v>
      </c>
      <c r="Q46" s="905">
        <f>G46-P46-O46-N46-M46-L46-K46</f>
        <v>0</v>
      </c>
      <c r="S46" s="899">
        <f>SUM(K46:Q46)</f>
        <v>0</v>
      </c>
    </row>
    <row r="47" spans="1:123" s="854" customFormat="1" ht="16.5" customHeight="1">
      <c r="A47" s="891"/>
      <c r="B47" s="899" t="s">
        <v>1281</v>
      </c>
      <c r="C47" s="769" t="e">
        <f>'Loans Receivable'!C138</f>
        <v>#VALUE!</v>
      </c>
      <c r="D47" s="901" t="e">
        <f>C47/C$24</f>
        <v>#VALUE!</v>
      </c>
      <c r="E47" s="893" t="e">
        <f>E45-E46</f>
        <v>#VALUE!</v>
      </c>
      <c r="F47" s="902" t="e">
        <f>E47/E$24</f>
        <v>#VALUE!</v>
      </c>
      <c r="G47" s="899" t="e">
        <f>I47+J47</f>
        <v>#VALUE!</v>
      </c>
      <c r="H47" s="902" t="e">
        <f>G47/G$24</f>
        <v>#VALUE!</v>
      </c>
      <c r="I47" s="903" t="e">
        <f>'Loans Receivable'!F138</f>
        <v>#VALUE!</v>
      </c>
      <c r="J47" s="903" t="e">
        <f>'Loans Receivable'!E138</f>
        <v>#VALUE!</v>
      </c>
      <c r="K47" s="893" t="e">
        <f t="shared" ref="K47:P47" si="16">K45-K46</f>
        <v>#VALUE!</v>
      </c>
      <c r="L47" s="893" t="e">
        <f t="shared" si="16"/>
        <v>#VALUE!</v>
      </c>
      <c r="M47" s="893" t="e">
        <f t="shared" si="16"/>
        <v>#VALUE!</v>
      </c>
      <c r="N47" s="893" t="e">
        <f t="shared" si="16"/>
        <v>#VALUE!</v>
      </c>
      <c r="O47" s="893" t="e">
        <f t="shared" si="16"/>
        <v>#VALUE!</v>
      </c>
      <c r="P47" s="893" t="e">
        <f t="shared" si="16"/>
        <v>#VALUE!</v>
      </c>
      <c r="Q47" s="905" t="e">
        <f>G47-P47-O47-N47-M47-L47-K47</f>
        <v>#VALUE!</v>
      </c>
      <c r="R47" s="906"/>
      <c r="S47" s="899" t="e">
        <f>SUM(K47:Q47)</f>
        <v>#VALUE!</v>
      </c>
      <c r="T47" s="906"/>
      <c r="U47" s="906"/>
      <c r="V47" s="906"/>
      <c r="W47" s="906"/>
      <c r="X47" s="906"/>
      <c r="Y47" s="906"/>
      <c r="Z47" s="906"/>
      <c r="AA47" s="906"/>
      <c r="AB47" s="906"/>
      <c r="AC47" s="906"/>
      <c r="AD47" s="906"/>
      <c r="AE47" s="906"/>
      <c r="AF47" s="906"/>
      <c r="AG47" s="906"/>
      <c r="AH47" s="906"/>
      <c r="AI47" s="906"/>
      <c r="AJ47" s="906"/>
      <c r="AK47" s="906"/>
      <c r="AL47" s="906"/>
      <c r="AM47" s="906"/>
      <c r="AN47" s="906"/>
      <c r="AO47" s="906"/>
      <c r="AP47" s="906"/>
      <c r="AQ47" s="906"/>
      <c r="AR47" s="906"/>
      <c r="AS47" s="906"/>
      <c r="AT47" s="906"/>
      <c r="AU47" s="906"/>
      <c r="AV47" s="906"/>
      <c r="AW47" s="906"/>
      <c r="AX47" s="906"/>
      <c r="AY47" s="906"/>
      <c r="AZ47" s="906"/>
      <c r="BA47" s="906"/>
      <c r="BB47" s="906"/>
      <c r="BC47" s="906"/>
      <c r="BD47" s="906"/>
      <c r="BE47" s="906"/>
      <c r="BF47" s="906"/>
      <c r="BG47" s="906"/>
      <c r="BH47" s="906"/>
      <c r="BI47" s="906"/>
      <c r="BJ47" s="906"/>
      <c r="BK47" s="906"/>
      <c r="BL47" s="906"/>
      <c r="BM47" s="906"/>
      <c r="BN47" s="906"/>
      <c r="BO47" s="906"/>
      <c r="BP47" s="906"/>
      <c r="BQ47" s="906"/>
      <c r="BR47" s="906"/>
      <c r="BS47" s="906"/>
      <c r="BT47" s="906"/>
      <c r="BU47" s="906"/>
      <c r="BV47" s="906"/>
      <c r="BW47" s="906"/>
      <c r="BX47" s="906"/>
      <c r="BY47" s="906"/>
      <c r="BZ47" s="906"/>
      <c r="CA47" s="906"/>
      <c r="CB47" s="906"/>
      <c r="CC47" s="906"/>
      <c r="CD47" s="906"/>
      <c r="CE47" s="906"/>
      <c r="CF47" s="906"/>
      <c r="CG47" s="906"/>
      <c r="CH47" s="906"/>
      <c r="CI47" s="906"/>
      <c r="CJ47" s="906"/>
      <c r="CK47" s="906"/>
      <c r="CL47" s="906"/>
      <c r="CM47" s="906"/>
      <c r="CN47" s="906"/>
      <c r="CO47" s="906"/>
      <c r="CP47" s="906"/>
      <c r="CQ47" s="906"/>
      <c r="CR47" s="906"/>
      <c r="CS47" s="906"/>
      <c r="CT47" s="906"/>
      <c r="CU47" s="906"/>
      <c r="CV47" s="906"/>
      <c r="CW47" s="906"/>
      <c r="CX47" s="906"/>
      <c r="CY47" s="906"/>
      <c r="CZ47" s="906"/>
      <c r="DA47" s="906"/>
      <c r="DB47" s="906"/>
      <c r="DC47" s="906"/>
      <c r="DD47" s="906"/>
      <c r="DE47" s="906"/>
      <c r="DF47" s="906"/>
      <c r="DG47" s="906"/>
      <c r="DH47" s="906"/>
      <c r="DI47" s="906"/>
      <c r="DJ47" s="906"/>
      <c r="DK47" s="906"/>
      <c r="DL47" s="906"/>
      <c r="DM47" s="906"/>
      <c r="DN47" s="906"/>
      <c r="DO47" s="906"/>
      <c r="DP47" s="906"/>
      <c r="DQ47" s="906"/>
      <c r="DR47" s="906"/>
      <c r="DS47" s="906"/>
    </row>
    <row r="48" spans="1:123" s="854" customFormat="1" ht="16.5" customHeight="1">
      <c r="A48" s="891"/>
      <c r="B48" s="899" t="s">
        <v>3042</v>
      </c>
      <c r="C48" s="769"/>
      <c r="D48" s="892"/>
      <c r="E48" s="893"/>
      <c r="F48" s="894"/>
      <c r="G48" s="771"/>
      <c r="H48" s="894"/>
      <c r="I48" s="895"/>
      <c r="J48" s="895"/>
      <c r="K48" s="893"/>
      <c r="L48" s="893"/>
      <c r="M48" s="893"/>
      <c r="N48" s="893"/>
      <c r="O48" s="893"/>
      <c r="P48" s="893"/>
      <c r="Q48" s="893"/>
      <c r="R48" s="906"/>
      <c r="S48" s="899"/>
      <c r="T48" s="906"/>
      <c r="U48" s="906"/>
      <c r="V48" s="906"/>
      <c r="W48" s="906"/>
      <c r="X48" s="906"/>
      <c r="Y48" s="906"/>
      <c r="Z48" s="906"/>
      <c r="AA48" s="906"/>
      <c r="AB48" s="906"/>
      <c r="AC48" s="906"/>
      <c r="AD48" s="906"/>
      <c r="AE48" s="906"/>
      <c r="AF48" s="906"/>
      <c r="AG48" s="906"/>
      <c r="AH48" s="906"/>
      <c r="AI48" s="906"/>
      <c r="AJ48" s="906"/>
      <c r="AK48" s="906"/>
      <c r="AL48" s="906"/>
      <c r="AM48" s="906"/>
      <c r="AN48" s="906"/>
      <c r="AO48" s="906"/>
      <c r="AP48" s="906"/>
      <c r="AQ48" s="906"/>
      <c r="AR48" s="906"/>
      <c r="AS48" s="906"/>
      <c r="AT48" s="906"/>
      <c r="AU48" s="906"/>
      <c r="AV48" s="906"/>
      <c r="AW48" s="906"/>
      <c r="AX48" s="906"/>
      <c r="AY48" s="906"/>
      <c r="AZ48" s="906"/>
      <c r="BA48" s="906"/>
      <c r="BB48" s="906"/>
      <c r="BC48" s="906"/>
      <c r="BD48" s="906"/>
      <c r="BE48" s="906"/>
      <c r="BF48" s="906"/>
      <c r="BG48" s="906"/>
      <c r="BH48" s="906"/>
      <c r="BI48" s="906"/>
      <c r="BJ48" s="906"/>
      <c r="BK48" s="906"/>
      <c r="BL48" s="906"/>
      <c r="BM48" s="906"/>
      <c r="BN48" s="906"/>
      <c r="BO48" s="906"/>
      <c r="BP48" s="906"/>
      <c r="BQ48" s="906"/>
      <c r="BR48" s="906"/>
      <c r="BS48" s="906"/>
      <c r="BT48" s="906"/>
      <c r="BU48" s="906"/>
      <c r="BV48" s="906"/>
      <c r="BW48" s="906"/>
      <c r="BX48" s="906"/>
      <c r="BY48" s="906"/>
      <c r="BZ48" s="906"/>
      <c r="CA48" s="906"/>
      <c r="CB48" s="906"/>
      <c r="CC48" s="906"/>
      <c r="CD48" s="906"/>
      <c r="CE48" s="906"/>
      <c r="CF48" s="906"/>
      <c r="CG48" s="906"/>
      <c r="CH48" s="906"/>
      <c r="CI48" s="906"/>
      <c r="CJ48" s="906"/>
      <c r="CK48" s="906"/>
      <c r="CL48" s="906"/>
      <c r="CM48" s="906"/>
      <c r="CN48" s="906"/>
      <c r="CO48" s="906"/>
      <c r="CP48" s="906"/>
      <c r="CQ48" s="906"/>
      <c r="CR48" s="906"/>
      <c r="CS48" s="906"/>
      <c r="CT48" s="906"/>
      <c r="CU48" s="906"/>
      <c r="CV48" s="906"/>
      <c r="CW48" s="906"/>
      <c r="CX48" s="906"/>
      <c r="CY48" s="906"/>
      <c r="CZ48" s="906"/>
      <c r="DA48" s="906"/>
      <c r="DB48" s="906"/>
      <c r="DC48" s="906"/>
      <c r="DD48" s="906"/>
      <c r="DE48" s="906"/>
      <c r="DF48" s="906"/>
      <c r="DG48" s="906"/>
      <c r="DH48" s="906"/>
      <c r="DI48" s="906"/>
      <c r="DJ48" s="906"/>
      <c r="DK48" s="906"/>
      <c r="DL48" s="906"/>
      <c r="DM48" s="906"/>
      <c r="DN48" s="906"/>
      <c r="DO48" s="906"/>
      <c r="DP48" s="906"/>
      <c r="DQ48" s="906"/>
      <c r="DR48" s="906"/>
      <c r="DS48" s="906"/>
    </row>
    <row r="49" spans="1:123" s="854" customFormat="1" ht="16.5" customHeight="1">
      <c r="A49" s="891"/>
      <c r="B49" s="771"/>
      <c r="C49" s="769"/>
      <c r="D49" s="892"/>
      <c r="E49" s="893"/>
      <c r="F49" s="894"/>
      <c r="G49" s="771"/>
      <c r="H49" s="894"/>
      <c r="I49" s="895"/>
      <c r="J49" s="895"/>
      <c r="K49" s="893"/>
      <c r="L49" s="893"/>
      <c r="M49" s="893"/>
      <c r="N49" s="893"/>
      <c r="O49" s="893"/>
      <c r="P49" s="893"/>
      <c r="Q49" s="893"/>
      <c r="R49" s="906"/>
      <c r="S49" s="899"/>
      <c r="T49" s="906"/>
      <c r="U49" s="906"/>
      <c r="V49" s="906"/>
      <c r="W49" s="906"/>
      <c r="X49" s="906"/>
      <c r="Y49" s="906"/>
      <c r="Z49" s="906"/>
      <c r="AA49" s="906"/>
      <c r="AB49" s="906"/>
      <c r="AC49" s="906"/>
      <c r="AD49" s="906"/>
      <c r="AE49" s="906"/>
      <c r="AF49" s="906"/>
      <c r="AG49" s="906"/>
      <c r="AH49" s="906"/>
      <c r="AI49" s="906"/>
      <c r="AJ49" s="906"/>
      <c r="AK49" s="906"/>
      <c r="AL49" s="906"/>
      <c r="AM49" s="906"/>
      <c r="AN49" s="906"/>
      <c r="AO49" s="906"/>
      <c r="AP49" s="906"/>
      <c r="AQ49" s="906"/>
      <c r="AR49" s="906"/>
      <c r="AS49" s="906"/>
      <c r="AT49" s="906"/>
      <c r="AU49" s="906"/>
      <c r="AV49" s="906"/>
      <c r="AW49" s="906"/>
      <c r="AX49" s="906"/>
      <c r="AY49" s="906"/>
      <c r="AZ49" s="906"/>
      <c r="BA49" s="906"/>
      <c r="BB49" s="906"/>
      <c r="BC49" s="906"/>
      <c r="BD49" s="906"/>
      <c r="BE49" s="906"/>
      <c r="BF49" s="906"/>
      <c r="BG49" s="906"/>
      <c r="BH49" s="906"/>
      <c r="BI49" s="906"/>
      <c r="BJ49" s="906"/>
      <c r="BK49" s="906"/>
      <c r="BL49" s="906"/>
      <c r="BM49" s="906"/>
      <c r="BN49" s="906"/>
      <c r="BO49" s="906"/>
      <c r="BP49" s="906"/>
      <c r="BQ49" s="906"/>
      <c r="BR49" s="906"/>
      <c r="BS49" s="906"/>
      <c r="BT49" s="906"/>
      <c r="BU49" s="906"/>
      <c r="BV49" s="906"/>
      <c r="BW49" s="906"/>
      <c r="BX49" s="906"/>
      <c r="BY49" s="906"/>
      <c r="BZ49" s="906"/>
      <c r="CA49" s="906"/>
      <c r="CB49" s="906"/>
      <c r="CC49" s="906"/>
      <c r="CD49" s="906"/>
      <c r="CE49" s="906"/>
      <c r="CF49" s="906"/>
      <c r="CG49" s="906"/>
      <c r="CH49" s="906"/>
      <c r="CI49" s="906"/>
      <c r="CJ49" s="906"/>
      <c r="CK49" s="906"/>
      <c r="CL49" s="906"/>
      <c r="CM49" s="906"/>
      <c r="CN49" s="906"/>
      <c r="CO49" s="906"/>
      <c r="CP49" s="906"/>
      <c r="CQ49" s="906"/>
      <c r="CR49" s="906"/>
      <c r="CS49" s="906"/>
      <c r="CT49" s="906"/>
      <c r="CU49" s="906"/>
      <c r="CV49" s="906"/>
      <c r="CW49" s="906"/>
      <c r="CX49" s="906"/>
      <c r="CY49" s="906"/>
      <c r="CZ49" s="906"/>
      <c r="DA49" s="906"/>
      <c r="DB49" s="906"/>
      <c r="DC49" s="906"/>
      <c r="DD49" s="906"/>
      <c r="DE49" s="906"/>
      <c r="DF49" s="906"/>
      <c r="DG49" s="906"/>
      <c r="DH49" s="906"/>
      <c r="DI49" s="906"/>
      <c r="DJ49" s="906"/>
      <c r="DK49" s="906"/>
      <c r="DL49" s="906"/>
      <c r="DM49" s="906"/>
      <c r="DN49" s="906"/>
      <c r="DO49" s="906"/>
      <c r="DP49" s="906"/>
      <c r="DQ49" s="906"/>
      <c r="DR49" s="906"/>
      <c r="DS49" s="906"/>
    </row>
    <row r="50" spans="1:123" s="854" customFormat="1" ht="16.5" customHeight="1">
      <c r="A50" s="891"/>
      <c r="B50" s="771"/>
      <c r="C50" s="769"/>
      <c r="D50" s="892"/>
      <c r="E50" s="893"/>
      <c r="F50" s="894"/>
      <c r="G50" s="771"/>
      <c r="H50" s="894"/>
      <c r="I50" s="895"/>
      <c r="J50" s="895"/>
      <c r="K50" s="893"/>
      <c r="L50" s="893"/>
      <c r="M50" s="893"/>
      <c r="N50" s="893"/>
      <c r="O50" s="893"/>
      <c r="P50" s="893"/>
      <c r="Q50" s="893"/>
      <c r="R50" s="906"/>
      <c r="S50" s="899"/>
      <c r="T50" s="906"/>
      <c r="U50" s="906"/>
      <c r="V50" s="906"/>
      <c r="W50" s="906"/>
      <c r="X50" s="906"/>
      <c r="Y50" s="906"/>
      <c r="Z50" s="906"/>
      <c r="AA50" s="906"/>
      <c r="AB50" s="906"/>
      <c r="AC50" s="906"/>
      <c r="AD50" s="906"/>
      <c r="AE50" s="906"/>
      <c r="AF50" s="906"/>
      <c r="AG50" s="906"/>
      <c r="AH50" s="906"/>
      <c r="AI50" s="906"/>
      <c r="AJ50" s="906"/>
      <c r="AK50" s="906"/>
      <c r="AL50" s="906"/>
      <c r="AM50" s="906"/>
      <c r="AN50" s="906"/>
      <c r="AO50" s="906"/>
      <c r="AP50" s="906"/>
      <c r="AQ50" s="906"/>
      <c r="AR50" s="906"/>
      <c r="AS50" s="906"/>
      <c r="AT50" s="906"/>
      <c r="AU50" s="906"/>
      <c r="AV50" s="906"/>
      <c r="AW50" s="906"/>
      <c r="AX50" s="906"/>
      <c r="AY50" s="906"/>
      <c r="AZ50" s="906"/>
      <c r="BA50" s="906"/>
      <c r="BB50" s="906"/>
      <c r="BC50" s="906"/>
      <c r="BD50" s="906"/>
      <c r="BE50" s="906"/>
      <c r="BF50" s="906"/>
      <c r="BG50" s="906"/>
      <c r="BH50" s="906"/>
      <c r="BI50" s="906"/>
      <c r="BJ50" s="906"/>
      <c r="BK50" s="906"/>
      <c r="BL50" s="906"/>
      <c r="BM50" s="906"/>
      <c r="BN50" s="906"/>
      <c r="BO50" s="906"/>
      <c r="BP50" s="906"/>
      <c r="BQ50" s="906"/>
      <c r="BR50" s="906"/>
      <c r="BS50" s="906"/>
      <c r="BT50" s="906"/>
      <c r="BU50" s="906"/>
      <c r="BV50" s="906"/>
      <c r="BW50" s="906"/>
      <c r="BX50" s="906"/>
      <c r="BY50" s="906"/>
      <c r="BZ50" s="906"/>
      <c r="CA50" s="906"/>
      <c r="CB50" s="906"/>
      <c r="CC50" s="906"/>
      <c r="CD50" s="906"/>
      <c r="CE50" s="906"/>
      <c r="CF50" s="906"/>
      <c r="CG50" s="906"/>
      <c r="CH50" s="906"/>
      <c r="CI50" s="906"/>
      <c r="CJ50" s="906"/>
      <c r="CK50" s="906"/>
      <c r="CL50" s="906"/>
      <c r="CM50" s="906"/>
      <c r="CN50" s="906"/>
      <c r="CO50" s="906"/>
      <c r="CP50" s="906"/>
      <c r="CQ50" s="906"/>
      <c r="CR50" s="906"/>
      <c r="CS50" s="906"/>
      <c r="CT50" s="906"/>
      <c r="CU50" s="906"/>
      <c r="CV50" s="906"/>
      <c r="CW50" s="906"/>
      <c r="CX50" s="906"/>
      <c r="CY50" s="906"/>
      <c r="CZ50" s="906"/>
      <c r="DA50" s="906"/>
      <c r="DB50" s="906"/>
      <c r="DC50" s="906"/>
      <c r="DD50" s="906"/>
      <c r="DE50" s="906"/>
      <c r="DF50" s="906"/>
      <c r="DG50" s="906"/>
      <c r="DH50" s="906"/>
      <c r="DI50" s="906"/>
      <c r="DJ50" s="906"/>
      <c r="DK50" s="906"/>
      <c r="DL50" s="906"/>
      <c r="DM50" s="906"/>
      <c r="DN50" s="906"/>
      <c r="DO50" s="906"/>
      <c r="DP50" s="906"/>
      <c r="DQ50" s="906"/>
      <c r="DR50" s="906"/>
      <c r="DS50" s="906"/>
    </row>
    <row r="51" spans="1:123" s="854" customFormat="1" ht="16.5" customHeight="1">
      <c r="A51" s="891"/>
      <c r="B51" s="771"/>
      <c r="C51" s="769"/>
      <c r="D51" s="892"/>
      <c r="E51" s="893"/>
      <c r="F51" s="894"/>
      <c r="G51" s="771"/>
      <c r="H51" s="894"/>
      <c r="I51" s="895"/>
      <c r="J51" s="895"/>
      <c r="K51" s="893"/>
      <c r="L51" s="893"/>
      <c r="M51" s="893"/>
      <c r="N51" s="893"/>
      <c r="O51" s="893"/>
      <c r="P51" s="893"/>
      <c r="Q51" s="893"/>
      <c r="R51" s="906"/>
      <c r="S51" s="899"/>
      <c r="T51" s="906"/>
      <c r="U51" s="906"/>
      <c r="V51" s="906"/>
      <c r="W51" s="906"/>
      <c r="X51" s="906"/>
      <c r="Y51" s="906"/>
      <c r="Z51" s="906"/>
      <c r="AA51" s="906"/>
      <c r="AB51" s="906"/>
      <c r="AC51" s="906"/>
      <c r="AD51" s="906"/>
      <c r="AE51" s="906"/>
      <c r="AF51" s="906"/>
      <c r="AG51" s="906"/>
      <c r="AH51" s="906"/>
      <c r="AI51" s="906"/>
      <c r="AJ51" s="906"/>
      <c r="AK51" s="906"/>
      <c r="AL51" s="906"/>
      <c r="AM51" s="906"/>
      <c r="AN51" s="906"/>
      <c r="AO51" s="906"/>
      <c r="AP51" s="906"/>
      <c r="AQ51" s="906"/>
      <c r="AR51" s="906"/>
      <c r="AS51" s="906"/>
      <c r="AT51" s="906"/>
      <c r="AU51" s="906"/>
      <c r="AV51" s="906"/>
      <c r="AW51" s="906"/>
      <c r="AX51" s="906"/>
      <c r="AY51" s="906"/>
      <c r="AZ51" s="906"/>
      <c r="BA51" s="906"/>
      <c r="BB51" s="906"/>
      <c r="BC51" s="906"/>
      <c r="BD51" s="906"/>
      <c r="BE51" s="906"/>
      <c r="BF51" s="906"/>
      <c r="BG51" s="906"/>
      <c r="BH51" s="906"/>
      <c r="BI51" s="906"/>
      <c r="BJ51" s="906"/>
      <c r="BK51" s="906"/>
      <c r="BL51" s="906"/>
      <c r="BM51" s="906"/>
      <c r="BN51" s="906"/>
      <c r="BO51" s="906"/>
      <c r="BP51" s="906"/>
      <c r="BQ51" s="906"/>
      <c r="BR51" s="906"/>
      <c r="BS51" s="906"/>
      <c r="BT51" s="906"/>
      <c r="BU51" s="906"/>
      <c r="BV51" s="906"/>
      <c r="BW51" s="906"/>
      <c r="BX51" s="906"/>
      <c r="BY51" s="906"/>
      <c r="BZ51" s="906"/>
      <c r="CA51" s="906"/>
      <c r="CB51" s="906"/>
      <c r="CC51" s="906"/>
      <c r="CD51" s="906"/>
      <c r="CE51" s="906"/>
      <c r="CF51" s="906"/>
      <c r="CG51" s="906"/>
      <c r="CH51" s="906"/>
      <c r="CI51" s="906"/>
      <c r="CJ51" s="906"/>
      <c r="CK51" s="906"/>
      <c r="CL51" s="906"/>
      <c r="CM51" s="906"/>
      <c r="CN51" s="906"/>
      <c r="CO51" s="906"/>
      <c r="CP51" s="906"/>
      <c r="CQ51" s="906"/>
      <c r="CR51" s="906"/>
      <c r="CS51" s="906"/>
      <c r="CT51" s="906"/>
      <c r="CU51" s="906"/>
      <c r="CV51" s="906"/>
      <c r="CW51" s="906"/>
      <c r="CX51" s="906"/>
      <c r="CY51" s="906"/>
      <c r="CZ51" s="906"/>
      <c r="DA51" s="906"/>
      <c r="DB51" s="906"/>
      <c r="DC51" s="906"/>
      <c r="DD51" s="906"/>
      <c r="DE51" s="906"/>
      <c r="DF51" s="906"/>
      <c r="DG51" s="906"/>
      <c r="DH51" s="906"/>
      <c r="DI51" s="906"/>
      <c r="DJ51" s="906"/>
      <c r="DK51" s="906"/>
      <c r="DL51" s="906"/>
      <c r="DM51" s="906"/>
      <c r="DN51" s="906"/>
      <c r="DO51" s="906"/>
      <c r="DP51" s="906"/>
      <c r="DQ51" s="906"/>
      <c r="DR51" s="906"/>
      <c r="DS51" s="906"/>
    </row>
    <row r="52" spans="1:123" s="854" customFormat="1" ht="16.5" customHeight="1">
      <c r="A52" s="891"/>
      <c r="B52" s="771"/>
      <c r="C52" s="769"/>
      <c r="D52" s="892"/>
      <c r="E52" s="893"/>
      <c r="F52" s="894"/>
      <c r="G52" s="771"/>
      <c r="H52" s="894"/>
      <c r="I52" s="895"/>
      <c r="J52" s="895"/>
      <c r="K52" s="893"/>
      <c r="L52" s="893"/>
      <c r="M52" s="893"/>
      <c r="N52" s="893"/>
      <c r="O52" s="893"/>
      <c r="P52" s="893"/>
      <c r="Q52" s="893"/>
      <c r="R52" s="906"/>
      <c r="S52" s="899"/>
      <c r="T52" s="906"/>
      <c r="U52" s="906"/>
      <c r="V52" s="906"/>
      <c r="W52" s="906"/>
      <c r="X52" s="906"/>
      <c r="Y52" s="906"/>
      <c r="Z52" s="906"/>
      <c r="AA52" s="906"/>
      <c r="AB52" s="906"/>
      <c r="AC52" s="906"/>
      <c r="AD52" s="906"/>
      <c r="AE52" s="906"/>
      <c r="AF52" s="906"/>
      <c r="AG52" s="906"/>
      <c r="AH52" s="906"/>
      <c r="AI52" s="906"/>
      <c r="AJ52" s="906"/>
      <c r="AK52" s="906"/>
      <c r="AL52" s="906"/>
      <c r="AM52" s="906"/>
      <c r="AN52" s="906"/>
      <c r="AO52" s="906"/>
      <c r="AP52" s="906"/>
      <c r="AQ52" s="906"/>
      <c r="AR52" s="906"/>
      <c r="AS52" s="906"/>
      <c r="AT52" s="906"/>
      <c r="AU52" s="906"/>
      <c r="AV52" s="906"/>
      <c r="AW52" s="906"/>
      <c r="AX52" s="906"/>
      <c r="AY52" s="906"/>
      <c r="AZ52" s="906"/>
      <c r="BA52" s="906"/>
      <c r="BB52" s="906"/>
      <c r="BC52" s="906"/>
      <c r="BD52" s="906"/>
      <c r="BE52" s="906"/>
      <c r="BF52" s="906"/>
      <c r="BG52" s="906"/>
      <c r="BH52" s="906"/>
      <c r="BI52" s="906"/>
      <c r="BJ52" s="906"/>
      <c r="BK52" s="906"/>
      <c r="BL52" s="906"/>
      <c r="BM52" s="906"/>
      <c r="BN52" s="906"/>
      <c r="BO52" s="906"/>
      <c r="BP52" s="906"/>
      <c r="BQ52" s="906"/>
      <c r="BR52" s="906"/>
      <c r="BS52" s="906"/>
      <c r="BT52" s="906"/>
      <c r="BU52" s="906"/>
      <c r="BV52" s="906"/>
      <c r="BW52" s="906"/>
      <c r="BX52" s="906"/>
      <c r="BY52" s="906"/>
      <c r="BZ52" s="906"/>
      <c r="CA52" s="906"/>
      <c r="CB52" s="906"/>
      <c r="CC52" s="906"/>
      <c r="CD52" s="906"/>
      <c r="CE52" s="906"/>
      <c r="CF52" s="906"/>
      <c r="CG52" s="906"/>
      <c r="CH52" s="906"/>
      <c r="CI52" s="906"/>
      <c r="CJ52" s="906"/>
      <c r="CK52" s="906"/>
      <c r="CL52" s="906"/>
      <c r="CM52" s="906"/>
      <c r="CN52" s="906"/>
      <c r="CO52" s="906"/>
      <c r="CP52" s="906"/>
      <c r="CQ52" s="906"/>
      <c r="CR52" s="906"/>
      <c r="CS52" s="906"/>
      <c r="CT52" s="906"/>
      <c r="CU52" s="906"/>
      <c r="CV52" s="906"/>
      <c r="CW52" s="906"/>
      <c r="CX52" s="906"/>
      <c r="CY52" s="906"/>
      <c r="CZ52" s="906"/>
      <c r="DA52" s="906"/>
      <c r="DB52" s="906"/>
      <c r="DC52" s="906"/>
      <c r="DD52" s="906"/>
      <c r="DE52" s="906"/>
      <c r="DF52" s="906"/>
      <c r="DG52" s="906"/>
      <c r="DH52" s="906"/>
      <c r="DI52" s="906"/>
      <c r="DJ52" s="906"/>
      <c r="DK52" s="906"/>
      <c r="DL52" s="906"/>
      <c r="DM52" s="906"/>
      <c r="DN52" s="906"/>
      <c r="DO52" s="906"/>
      <c r="DP52" s="906"/>
      <c r="DQ52" s="906"/>
      <c r="DR52" s="906"/>
      <c r="DS52" s="906"/>
    </row>
    <row r="53" spans="1:123" s="854" customFormat="1" ht="16.5" customHeight="1">
      <c r="A53" s="891"/>
      <c r="B53" s="771"/>
      <c r="C53" s="769"/>
      <c r="D53" s="892"/>
      <c r="E53" s="893"/>
      <c r="F53" s="894"/>
      <c r="G53" s="771"/>
      <c r="H53" s="894"/>
      <c r="I53" s="895"/>
      <c r="J53" s="895"/>
      <c r="K53" s="893"/>
      <c r="L53" s="893"/>
      <c r="M53" s="893"/>
      <c r="N53" s="893"/>
      <c r="O53" s="893"/>
      <c r="P53" s="893"/>
      <c r="Q53" s="893"/>
      <c r="R53" s="906"/>
      <c r="S53" s="899"/>
      <c r="T53" s="906"/>
      <c r="U53" s="906"/>
      <c r="V53" s="906"/>
      <c r="W53" s="906"/>
      <c r="X53" s="906"/>
      <c r="Y53" s="906"/>
      <c r="Z53" s="906"/>
      <c r="AA53" s="906"/>
      <c r="AB53" s="906"/>
      <c r="AC53" s="906"/>
      <c r="AD53" s="906"/>
      <c r="AE53" s="906"/>
      <c r="AF53" s="906"/>
      <c r="AG53" s="906"/>
      <c r="AH53" s="906"/>
      <c r="AI53" s="906"/>
      <c r="AJ53" s="906"/>
      <c r="AK53" s="906"/>
      <c r="AL53" s="906"/>
      <c r="AM53" s="906"/>
      <c r="AN53" s="906"/>
      <c r="AO53" s="906"/>
      <c r="AP53" s="906"/>
      <c r="AQ53" s="906"/>
      <c r="AR53" s="906"/>
      <c r="AS53" s="906"/>
      <c r="AT53" s="906"/>
      <c r="AU53" s="906"/>
      <c r="AV53" s="906"/>
      <c r="AW53" s="906"/>
      <c r="AX53" s="906"/>
      <c r="AY53" s="906"/>
      <c r="AZ53" s="906"/>
      <c r="BA53" s="906"/>
      <c r="BB53" s="906"/>
      <c r="BC53" s="906"/>
      <c r="BD53" s="906"/>
      <c r="BE53" s="906"/>
      <c r="BF53" s="906"/>
      <c r="BG53" s="906"/>
      <c r="BH53" s="906"/>
      <c r="BI53" s="906"/>
      <c r="BJ53" s="906"/>
      <c r="BK53" s="906"/>
      <c r="BL53" s="906"/>
      <c r="BM53" s="906"/>
      <c r="BN53" s="906"/>
      <c r="BO53" s="906"/>
      <c r="BP53" s="906"/>
      <c r="BQ53" s="906"/>
      <c r="BR53" s="906"/>
      <c r="BS53" s="906"/>
      <c r="BT53" s="906"/>
      <c r="BU53" s="906"/>
      <c r="BV53" s="906"/>
      <c r="BW53" s="906"/>
      <c r="BX53" s="906"/>
      <c r="BY53" s="906"/>
      <c r="BZ53" s="906"/>
      <c r="CA53" s="906"/>
      <c r="CB53" s="906"/>
      <c r="CC53" s="906"/>
      <c r="CD53" s="906"/>
      <c r="CE53" s="906"/>
      <c r="CF53" s="906"/>
      <c r="CG53" s="906"/>
      <c r="CH53" s="906"/>
      <c r="CI53" s="906"/>
      <c r="CJ53" s="906"/>
      <c r="CK53" s="906"/>
      <c r="CL53" s="906"/>
      <c r="CM53" s="906"/>
      <c r="CN53" s="906"/>
      <c r="CO53" s="906"/>
      <c r="CP53" s="906"/>
      <c r="CQ53" s="906"/>
      <c r="CR53" s="906"/>
      <c r="CS53" s="906"/>
      <c r="CT53" s="906"/>
      <c r="CU53" s="906"/>
      <c r="CV53" s="906"/>
      <c r="CW53" s="906"/>
      <c r="CX53" s="906"/>
      <c r="CY53" s="906"/>
      <c r="CZ53" s="906"/>
      <c r="DA53" s="906"/>
      <c r="DB53" s="906"/>
      <c r="DC53" s="906"/>
      <c r="DD53" s="906"/>
      <c r="DE53" s="906"/>
      <c r="DF53" s="906"/>
      <c r="DG53" s="906"/>
      <c r="DH53" s="906"/>
      <c r="DI53" s="906"/>
      <c r="DJ53" s="906"/>
      <c r="DK53" s="906"/>
      <c r="DL53" s="906"/>
      <c r="DM53" s="906"/>
      <c r="DN53" s="906"/>
      <c r="DO53" s="906"/>
      <c r="DP53" s="906"/>
      <c r="DQ53" s="906"/>
      <c r="DR53" s="906"/>
      <c r="DS53" s="906"/>
    </row>
    <row r="54" spans="1:123" s="854" customFormat="1" ht="16.5" customHeight="1">
      <c r="A54" s="891"/>
      <c r="B54" s="771"/>
      <c r="C54" s="769"/>
      <c r="D54" s="892"/>
      <c r="E54" s="893"/>
      <c r="F54" s="894"/>
      <c r="G54" s="771"/>
      <c r="H54" s="894"/>
      <c r="I54" s="895"/>
      <c r="J54" s="895"/>
      <c r="K54" s="893"/>
      <c r="L54" s="893"/>
      <c r="M54" s="893"/>
      <c r="N54" s="893"/>
      <c r="O54" s="893"/>
      <c r="P54" s="893"/>
      <c r="Q54" s="893"/>
      <c r="R54" s="906"/>
      <c r="S54" s="899"/>
      <c r="T54" s="906"/>
      <c r="U54" s="906"/>
      <c r="V54" s="906"/>
      <c r="W54" s="906"/>
      <c r="X54" s="906"/>
      <c r="Y54" s="906"/>
      <c r="Z54" s="906"/>
      <c r="AA54" s="906"/>
      <c r="AB54" s="906"/>
      <c r="AC54" s="906"/>
      <c r="AD54" s="906"/>
      <c r="AE54" s="906"/>
      <c r="AF54" s="906"/>
      <c r="AG54" s="906"/>
      <c r="AH54" s="906"/>
      <c r="AI54" s="906"/>
      <c r="AJ54" s="906"/>
      <c r="AK54" s="906"/>
      <c r="AL54" s="906"/>
      <c r="AM54" s="906"/>
      <c r="AN54" s="906"/>
      <c r="AO54" s="906"/>
      <c r="AP54" s="906"/>
      <c r="AQ54" s="906"/>
      <c r="AR54" s="906"/>
      <c r="AS54" s="906"/>
      <c r="AT54" s="906"/>
      <c r="AU54" s="906"/>
      <c r="AV54" s="906"/>
      <c r="AW54" s="906"/>
      <c r="AX54" s="906"/>
      <c r="AY54" s="906"/>
      <c r="AZ54" s="906"/>
      <c r="BA54" s="906"/>
      <c r="BB54" s="906"/>
      <c r="BC54" s="906"/>
      <c r="BD54" s="906"/>
      <c r="BE54" s="906"/>
      <c r="BF54" s="906"/>
      <c r="BG54" s="906"/>
      <c r="BH54" s="906"/>
      <c r="BI54" s="906"/>
      <c r="BJ54" s="906"/>
      <c r="BK54" s="906"/>
      <c r="BL54" s="906"/>
      <c r="BM54" s="906"/>
      <c r="BN54" s="906"/>
      <c r="BO54" s="906"/>
      <c r="BP54" s="906"/>
      <c r="BQ54" s="906"/>
      <c r="BR54" s="906"/>
      <c r="BS54" s="906"/>
      <c r="BT54" s="906"/>
      <c r="BU54" s="906"/>
      <c r="BV54" s="906"/>
      <c r="BW54" s="906"/>
      <c r="BX54" s="906"/>
      <c r="BY54" s="906"/>
      <c r="BZ54" s="906"/>
      <c r="CA54" s="906"/>
      <c r="CB54" s="906"/>
      <c r="CC54" s="906"/>
      <c r="CD54" s="906"/>
      <c r="CE54" s="906"/>
      <c r="CF54" s="906"/>
      <c r="CG54" s="906"/>
      <c r="CH54" s="906"/>
      <c r="CI54" s="906"/>
      <c r="CJ54" s="906"/>
      <c r="CK54" s="906"/>
      <c r="CL54" s="906"/>
      <c r="CM54" s="906"/>
      <c r="CN54" s="906"/>
      <c r="CO54" s="906"/>
      <c r="CP54" s="906"/>
      <c r="CQ54" s="906"/>
      <c r="CR54" s="906"/>
      <c r="CS54" s="906"/>
      <c r="CT54" s="906"/>
      <c r="CU54" s="906"/>
      <c r="CV54" s="906"/>
      <c r="CW54" s="906"/>
      <c r="CX54" s="906"/>
      <c r="CY54" s="906"/>
      <c r="CZ54" s="906"/>
      <c r="DA54" s="906"/>
      <c r="DB54" s="906"/>
      <c r="DC54" s="906"/>
      <c r="DD54" s="906"/>
      <c r="DE54" s="906"/>
      <c r="DF54" s="906"/>
      <c r="DG54" s="906"/>
      <c r="DH54" s="906"/>
      <c r="DI54" s="906"/>
      <c r="DJ54" s="906"/>
      <c r="DK54" s="906"/>
      <c r="DL54" s="906"/>
      <c r="DM54" s="906"/>
      <c r="DN54" s="906"/>
      <c r="DO54" s="906"/>
      <c r="DP54" s="906"/>
      <c r="DQ54" s="906"/>
      <c r="DR54" s="906"/>
      <c r="DS54" s="906"/>
    </row>
    <row r="55" spans="1:123" s="854" customFormat="1" ht="16.5" customHeight="1">
      <c r="A55" s="891"/>
      <c r="B55" s="771"/>
      <c r="C55" s="769"/>
      <c r="D55" s="892"/>
      <c r="E55" s="893"/>
      <c r="F55" s="894"/>
      <c r="G55" s="771"/>
      <c r="H55" s="894"/>
      <c r="I55" s="895"/>
      <c r="J55" s="895"/>
      <c r="K55" s="893"/>
      <c r="L55" s="893"/>
      <c r="M55" s="893"/>
      <c r="N55" s="893"/>
      <c r="O55" s="893"/>
      <c r="P55" s="893"/>
      <c r="Q55" s="893"/>
      <c r="R55" s="906"/>
      <c r="S55" s="899"/>
      <c r="T55" s="906"/>
      <c r="U55" s="906"/>
      <c r="V55" s="906"/>
      <c r="W55" s="906"/>
      <c r="X55" s="906"/>
      <c r="Y55" s="906"/>
      <c r="Z55" s="906"/>
      <c r="AA55" s="906"/>
      <c r="AB55" s="906"/>
      <c r="AC55" s="906"/>
      <c r="AD55" s="906"/>
      <c r="AE55" s="906"/>
      <c r="AF55" s="906"/>
      <c r="AG55" s="906"/>
      <c r="AH55" s="906"/>
      <c r="AI55" s="906"/>
      <c r="AJ55" s="906"/>
      <c r="AK55" s="906"/>
      <c r="AL55" s="906"/>
      <c r="AM55" s="906"/>
      <c r="AN55" s="906"/>
      <c r="AO55" s="906"/>
      <c r="AP55" s="906"/>
      <c r="AQ55" s="906"/>
      <c r="AR55" s="906"/>
      <c r="AS55" s="906"/>
      <c r="AT55" s="906"/>
      <c r="AU55" s="906"/>
      <c r="AV55" s="906"/>
      <c r="AW55" s="906"/>
      <c r="AX55" s="906"/>
      <c r="AY55" s="906"/>
      <c r="AZ55" s="906"/>
      <c r="BA55" s="906"/>
      <c r="BB55" s="906"/>
      <c r="BC55" s="906"/>
      <c r="BD55" s="906"/>
      <c r="BE55" s="906"/>
      <c r="BF55" s="906"/>
      <c r="BG55" s="906"/>
      <c r="BH55" s="906"/>
      <c r="BI55" s="906"/>
      <c r="BJ55" s="906"/>
      <c r="BK55" s="906"/>
      <c r="BL55" s="906"/>
      <c r="BM55" s="906"/>
      <c r="BN55" s="906"/>
      <c r="BO55" s="906"/>
      <c r="BP55" s="906"/>
      <c r="BQ55" s="906"/>
      <c r="BR55" s="906"/>
      <c r="BS55" s="906"/>
      <c r="BT55" s="906"/>
      <c r="BU55" s="906"/>
      <c r="BV55" s="906"/>
      <c r="BW55" s="906"/>
      <c r="BX55" s="906"/>
      <c r="BY55" s="906"/>
      <c r="BZ55" s="906"/>
      <c r="CA55" s="906"/>
      <c r="CB55" s="906"/>
      <c r="CC55" s="906"/>
      <c r="CD55" s="906"/>
      <c r="CE55" s="906"/>
      <c r="CF55" s="906"/>
      <c r="CG55" s="906"/>
      <c r="CH55" s="906"/>
      <c r="CI55" s="906"/>
      <c r="CJ55" s="906"/>
      <c r="CK55" s="906"/>
      <c r="CL55" s="906"/>
      <c r="CM55" s="906"/>
      <c r="CN55" s="906"/>
      <c r="CO55" s="906"/>
      <c r="CP55" s="906"/>
      <c r="CQ55" s="906"/>
      <c r="CR55" s="906"/>
      <c r="CS55" s="906"/>
      <c r="CT55" s="906"/>
      <c r="CU55" s="906"/>
      <c r="CV55" s="906"/>
      <c r="CW55" s="906"/>
      <c r="CX55" s="906"/>
      <c r="CY55" s="906"/>
      <c r="CZ55" s="906"/>
      <c r="DA55" s="906"/>
      <c r="DB55" s="906"/>
      <c r="DC55" s="906"/>
      <c r="DD55" s="906"/>
      <c r="DE55" s="906"/>
      <c r="DF55" s="906"/>
      <c r="DG55" s="906"/>
      <c r="DH55" s="906"/>
      <c r="DI55" s="906"/>
      <c r="DJ55" s="906"/>
      <c r="DK55" s="906"/>
      <c r="DL55" s="906"/>
      <c r="DM55" s="906"/>
      <c r="DN55" s="906"/>
      <c r="DO55" s="906"/>
      <c r="DP55" s="906"/>
      <c r="DQ55" s="906"/>
      <c r="DR55" s="906"/>
      <c r="DS55" s="906"/>
    </row>
    <row r="56" spans="1:123" s="854" customFormat="1" ht="16.5" customHeight="1">
      <c r="A56" s="891"/>
      <c r="B56" s="771"/>
      <c r="C56" s="769"/>
      <c r="D56" s="892"/>
      <c r="E56" s="893"/>
      <c r="F56" s="894"/>
      <c r="G56" s="771"/>
      <c r="H56" s="894"/>
      <c r="I56" s="895"/>
      <c r="J56" s="895"/>
      <c r="K56" s="893"/>
      <c r="L56" s="893"/>
      <c r="M56" s="893"/>
      <c r="N56" s="893"/>
      <c r="O56" s="893"/>
      <c r="P56" s="893"/>
      <c r="Q56" s="893"/>
      <c r="R56" s="906"/>
      <c r="S56" s="899"/>
      <c r="T56" s="906"/>
      <c r="U56" s="906"/>
      <c r="V56" s="906"/>
      <c r="W56" s="906"/>
      <c r="X56" s="906"/>
      <c r="Y56" s="906"/>
      <c r="Z56" s="906"/>
      <c r="AA56" s="906"/>
      <c r="AB56" s="906"/>
      <c r="AC56" s="906"/>
      <c r="AD56" s="906"/>
      <c r="AE56" s="906"/>
      <c r="AF56" s="906"/>
      <c r="AG56" s="906"/>
      <c r="AH56" s="906"/>
      <c r="AI56" s="906"/>
      <c r="AJ56" s="906"/>
      <c r="AK56" s="906"/>
      <c r="AL56" s="906"/>
      <c r="AM56" s="906"/>
      <c r="AN56" s="906"/>
      <c r="AO56" s="906"/>
      <c r="AP56" s="906"/>
      <c r="AQ56" s="906"/>
      <c r="AR56" s="906"/>
      <c r="AS56" s="906"/>
      <c r="AT56" s="906"/>
      <c r="AU56" s="906"/>
      <c r="AV56" s="906"/>
      <c r="AW56" s="906"/>
      <c r="AX56" s="906"/>
      <c r="AY56" s="906"/>
      <c r="AZ56" s="906"/>
      <c r="BA56" s="906"/>
      <c r="BB56" s="906"/>
      <c r="BC56" s="906"/>
      <c r="BD56" s="906"/>
      <c r="BE56" s="906"/>
      <c r="BF56" s="906"/>
      <c r="BG56" s="906"/>
      <c r="BH56" s="906"/>
      <c r="BI56" s="906"/>
      <c r="BJ56" s="906"/>
      <c r="BK56" s="906"/>
      <c r="BL56" s="906"/>
      <c r="BM56" s="906"/>
      <c r="BN56" s="906"/>
      <c r="BO56" s="906"/>
      <c r="BP56" s="906"/>
      <c r="BQ56" s="906"/>
      <c r="BR56" s="906"/>
      <c r="BS56" s="906"/>
      <c r="BT56" s="906"/>
      <c r="BU56" s="906"/>
      <c r="BV56" s="906"/>
      <c r="BW56" s="906"/>
      <c r="BX56" s="906"/>
      <c r="BY56" s="906"/>
      <c r="BZ56" s="906"/>
      <c r="CA56" s="906"/>
      <c r="CB56" s="906"/>
      <c r="CC56" s="906"/>
      <c r="CD56" s="906"/>
      <c r="CE56" s="906"/>
      <c r="CF56" s="906"/>
      <c r="CG56" s="906"/>
      <c r="CH56" s="906"/>
      <c r="CI56" s="906"/>
      <c r="CJ56" s="906"/>
      <c r="CK56" s="906"/>
      <c r="CL56" s="906"/>
      <c r="CM56" s="906"/>
      <c r="CN56" s="906"/>
      <c r="CO56" s="906"/>
      <c r="CP56" s="906"/>
      <c r="CQ56" s="906"/>
      <c r="CR56" s="906"/>
      <c r="CS56" s="906"/>
      <c r="CT56" s="906"/>
      <c r="CU56" s="906"/>
      <c r="CV56" s="906"/>
      <c r="CW56" s="906"/>
      <c r="CX56" s="906"/>
      <c r="CY56" s="906"/>
      <c r="CZ56" s="906"/>
      <c r="DA56" s="906"/>
      <c r="DB56" s="906"/>
      <c r="DC56" s="906"/>
      <c r="DD56" s="906"/>
      <c r="DE56" s="906"/>
      <c r="DF56" s="906"/>
      <c r="DG56" s="906"/>
      <c r="DH56" s="906"/>
      <c r="DI56" s="906"/>
      <c r="DJ56" s="906"/>
      <c r="DK56" s="906"/>
      <c r="DL56" s="906"/>
      <c r="DM56" s="906"/>
      <c r="DN56" s="906"/>
      <c r="DO56" s="906"/>
      <c r="DP56" s="906"/>
      <c r="DQ56" s="906"/>
      <c r="DR56" s="906"/>
      <c r="DS56" s="906"/>
    </row>
    <row r="57" spans="1:123" s="854" customFormat="1" ht="16.5" customHeight="1">
      <c r="A57" s="891"/>
      <c r="B57" s="771"/>
      <c r="C57" s="769"/>
      <c r="D57" s="892"/>
      <c r="E57" s="893"/>
      <c r="F57" s="894"/>
      <c r="G57" s="771"/>
      <c r="H57" s="894"/>
      <c r="I57" s="895"/>
      <c r="J57" s="895"/>
      <c r="K57" s="893"/>
      <c r="L57" s="893"/>
      <c r="M57" s="893"/>
      <c r="N57" s="893"/>
      <c r="O57" s="893"/>
      <c r="P57" s="893"/>
      <c r="Q57" s="893"/>
      <c r="R57" s="906"/>
      <c r="S57" s="899"/>
      <c r="T57" s="906"/>
      <c r="U57" s="906"/>
      <c r="V57" s="906"/>
      <c r="W57" s="906"/>
      <c r="X57" s="906"/>
      <c r="Y57" s="906"/>
      <c r="Z57" s="906"/>
      <c r="AA57" s="906"/>
      <c r="AB57" s="906"/>
      <c r="AC57" s="906"/>
      <c r="AD57" s="906"/>
      <c r="AE57" s="906"/>
      <c r="AF57" s="906"/>
      <c r="AG57" s="906"/>
      <c r="AH57" s="906"/>
      <c r="AI57" s="906"/>
      <c r="AJ57" s="906"/>
      <c r="AK57" s="906"/>
      <c r="AL57" s="906"/>
      <c r="AM57" s="906"/>
      <c r="AN57" s="906"/>
      <c r="AO57" s="906"/>
      <c r="AP57" s="906"/>
      <c r="AQ57" s="906"/>
      <c r="AR57" s="906"/>
      <c r="AS57" s="906"/>
      <c r="AT57" s="906"/>
      <c r="AU57" s="906"/>
      <c r="AV57" s="906"/>
      <c r="AW57" s="906"/>
      <c r="AX57" s="906"/>
      <c r="AY57" s="906"/>
      <c r="AZ57" s="906"/>
      <c r="BA57" s="906"/>
      <c r="BB57" s="906"/>
      <c r="BC57" s="906"/>
      <c r="BD57" s="906"/>
      <c r="BE57" s="906"/>
      <c r="BF57" s="906"/>
      <c r="BG57" s="906"/>
      <c r="BH57" s="906"/>
      <c r="BI57" s="906"/>
      <c r="BJ57" s="906"/>
      <c r="BK57" s="906"/>
      <c r="BL57" s="906"/>
      <c r="BM57" s="906"/>
      <c r="BN57" s="906"/>
      <c r="BO57" s="906"/>
      <c r="BP57" s="906"/>
      <c r="BQ57" s="906"/>
      <c r="BR57" s="906"/>
      <c r="BS57" s="906"/>
      <c r="BT57" s="906"/>
      <c r="BU57" s="906"/>
      <c r="BV57" s="906"/>
      <c r="BW57" s="906"/>
      <c r="BX57" s="906"/>
      <c r="BY57" s="906"/>
      <c r="BZ57" s="906"/>
      <c r="CA57" s="906"/>
      <c r="CB57" s="906"/>
      <c r="CC57" s="906"/>
      <c r="CD57" s="906"/>
      <c r="CE57" s="906"/>
      <c r="CF57" s="906"/>
      <c r="CG57" s="906"/>
      <c r="CH57" s="906"/>
      <c r="CI57" s="906"/>
      <c r="CJ57" s="906"/>
      <c r="CK57" s="906"/>
      <c r="CL57" s="906"/>
      <c r="CM57" s="906"/>
      <c r="CN57" s="906"/>
      <c r="CO57" s="906"/>
      <c r="CP57" s="906"/>
      <c r="CQ57" s="906"/>
      <c r="CR57" s="906"/>
      <c r="CS57" s="906"/>
      <c r="CT57" s="906"/>
      <c r="CU57" s="906"/>
      <c r="CV57" s="906"/>
      <c r="CW57" s="906"/>
      <c r="CX57" s="906"/>
      <c r="CY57" s="906"/>
      <c r="CZ57" s="906"/>
      <c r="DA57" s="906"/>
      <c r="DB57" s="906"/>
      <c r="DC57" s="906"/>
      <c r="DD57" s="906"/>
      <c r="DE57" s="906"/>
      <c r="DF57" s="906"/>
      <c r="DG57" s="906"/>
      <c r="DH57" s="906"/>
      <c r="DI57" s="906"/>
      <c r="DJ57" s="906"/>
      <c r="DK57" s="906"/>
      <c r="DL57" s="906"/>
      <c r="DM57" s="906"/>
      <c r="DN57" s="906"/>
      <c r="DO57" s="906"/>
      <c r="DP57" s="906"/>
      <c r="DQ57" s="906"/>
      <c r="DR57" s="906"/>
      <c r="DS57" s="906"/>
    </row>
    <row r="58" spans="1:123" s="854" customFormat="1" ht="16.5" customHeight="1">
      <c r="A58" s="891"/>
      <c r="B58" s="771"/>
      <c r="C58" s="769"/>
      <c r="D58" s="892"/>
      <c r="E58" s="893"/>
      <c r="F58" s="894"/>
      <c r="G58" s="771"/>
      <c r="H58" s="894"/>
      <c r="I58" s="895"/>
      <c r="J58" s="895"/>
      <c r="K58" s="893"/>
      <c r="L58" s="893"/>
      <c r="M58" s="893"/>
      <c r="N58" s="893"/>
      <c r="O58" s="893"/>
      <c r="P58" s="893"/>
      <c r="Q58" s="893"/>
      <c r="R58" s="906"/>
      <c r="S58" s="899"/>
      <c r="T58" s="906"/>
      <c r="U58" s="906"/>
      <c r="V58" s="906"/>
      <c r="W58" s="906"/>
      <c r="X58" s="906"/>
      <c r="Y58" s="906"/>
      <c r="Z58" s="906"/>
      <c r="AA58" s="906"/>
      <c r="AB58" s="906"/>
      <c r="AC58" s="906"/>
      <c r="AD58" s="906"/>
      <c r="AE58" s="906"/>
      <c r="AF58" s="906"/>
      <c r="AG58" s="906"/>
      <c r="AH58" s="906"/>
      <c r="AI58" s="906"/>
      <c r="AJ58" s="906"/>
      <c r="AK58" s="906"/>
      <c r="AL58" s="906"/>
      <c r="AM58" s="906"/>
      <c r="AN58" s="906"/>
      <c r="AO58" s="906"/>
      <c r="AP58" s="906"/>
      <c r="AQ58" s="906"/>
      <c r="AR58" s="906"/>
      <c r="AS58" s="906"/>
      <c r="AT58" s="906"/>
      <c r="AU58" s="906"/>
      <c r="AV58" s="906"/>
      <c r="AW58" s="906"/>
      <c r="AX58" s="906"/>
      <c r="AY58" s="906"/>
      <c r="AZ58" s="906"/>
      <c r="BA58" s="906"/>
      <c r="BB58" s="906"/>
      <c r="BC58" s="906"/>
      <c r="BD58" s="906"/>
      <c r="BE58" s="906"/>
      <c r="BF58" s="906"/>
      <c r="BG58" s="906"/>
      <c r="BH58" s="906"/>
      <c r="BI58" s="906"/>
      <c r="BJ58" s="906"/>
      <c r="BK58" s="906"/>
      <c r="BL58" s="906"/>
      <c r="BM58" s="906"/>
      <c r="BN58" s="906"/>
      <c r="BO58" s="906"/>
      <c r="BP58" s="906"/>
      <c r="BQ58" s="906"/>
      <c r="BR58" s="906"/>
      <c r="BS58" s="906"/>
      <c r="BT58" s="906"/>
      <c r="BU58" s="906"/>
      <c r="BV58" s="906"/>
      <c r="BW58" s="906"/>
      <c r="BX58" s="906"/>
      <c r="BY58" s="906"/>
      <c r="BZ58" s="906"/>
      <c r="CA58" s="906"/>
      <c r="CB58" s="906"/>
      <c r="CC58" s="906"/>
      <c r="CD58" s="906"/>
      <c r="CE58" s="906"/>
      <c r="CF58" s="906"/>
      <c r="CG58" s="906"/>
      <c r="CH58" s="906"/>
      <c r="CI58" s="906"/>
      <c r="CJ58" s="906"/>
      <c r="CK58" s="906"/>
      <c r="CL58" s="906"/>
      <c r="CM58" s="906"/>
      <c r="CN58" s="906"/>
      <c r="CO58" s="906"/>
      <c r="CP58" s="906"/>
      <c r="CQ58" s="906"/>
      <c r="CR58" s="906"/>
      <c r="CS58" s="906"/>
      <c r="CT58" s="906"/>
      <c r="CU58" s="906"/>
      <c r="CV58" s="906"/>
      <c r="CW58" s="906"/>
      <c r="CX58" s="906"/>
      <c r="CY58" s="906"/>
      <c r="CZ58" s="906"/>
      <c r="DA58" s="906"/>
      <c r="DB58" s="906"/>
      <c r="DC58" s="906"/>
      <c r="DD58" s="906"/>
      <c r="DE58" s="906"/>
      <c r="DF58" s="906"/>
      <c r="DG58" s="906"/>
      <c r="DH58" s="906"/>
      <c r="DI58" s="906"/>
      <c r="DJ58" s="906"/>
      <c r="DK58" s="906"/>
      <c r="DL58" s="906"/>
      <c r="DM58" s="906"/>
      <c r="DN58" s="906"/>
      <c r="DO58" s="906"/>
      <c r="DP58" s="906"/>
      <c r="DQ58" s="906"/>
      <c r="DR58" s="906"/>
      <c r="DS58" s="906"/>
    </row>
    <row r="59" spans="1:123" s="854" customFormat="1" ht="16.5" customHeight="1">
      <c r="A59" s="891"/>
      <c r="B59" s="771"/>
      <c r="C59" s="769"/>
      <c r="D59" s="892"/>
      <c r="E59" s="893"/>
      <c r="F59" s="894"/>
      <c r="G59" s="771"/>
      <c r="H59" s="894"/>
      <c r="I59" s="895"/>
      <c r="J59" s="895"/>
      <c r="K59" s="893"/>
      <c r="L59" s="893"/>
      <c r="M59" s="893"/>
      <c r="N59" s="893"/>
      <c r="O59" s="893"/>
      <c r="P59" s="893"/>
      <c r="Q59" s="893"/>
      <c r="R59" s="906"/>
      <c r="S59" s="899"/>
      <c r="T59" s="906"/>
      <c r="U59" s="906"/>
      <c r="V59" s="906"/>
      <c r="W59" s="906"/>
      <c r="X59" s="906"/>
      <c r="Y59" s="906"/>
      <c r="Z59" s="906"/>
      <c r="AA59" s="906"/>
      <c r="AB59" s="906"/>
      <c r="AC59" s="906"/>
      <c r="AD59" s="906"/>
      <c r="AE59" s="906"/>
      <c r="AF59" s="906"/>
      <c r="AG59" s="906"/>
      <c r="AH59" s="906"/>
      <c r="AI59" s="906"/>
      <c r="AJ59" s="906"/>
      <c r="AK59" s="906"/>
      <c r="AL59" s="906"/>
      <c r="AM59" s="906"/>
      <c r="AN59" s="906"/>
      <c r="AO59" s="906"/>
      <c r="AP59" s="906"/>
      <c r="AQ59" s="906"/>
      <c r="AR59" s="906"/>
      <c r="AS59" s="906"/>
      <c r="AT59" s="906"/>
      <c r="AU59" s="906"/>
      <c r="AV59" s="906"/>
      <c r="AW59" s="906"/>
      <c r="AX59" s="906"/>
      <c r="AY59" s="906"/>
      <c r="AZ59" s="906"/>
      <c r="BA59" s="906"/>
      <c r="BB59" s="906"/>
      <c r="BC59" s="906"/>
      <c r="BD59" s="906"/>
      <c r="BE59" s="906"/>
      <c r="BF59" s="906"/>
      <c r="BG59" s="906"/>
      <c r="BH59" s="906"/>
      <c r="BI59" s="906"/>
      <c r="BJ59" s="906"/>
      <c r="BK59" s="906"/>
      <c r="BL59" s="906"/>
      <c r="BM59" s="906"/>
      <c r="BN59" s="906"/>
      <c r="BO59" s="906"/>
      <c r="BP59" s="906"/>
      <c r="BQ59" s="906"/>
      <c r="BR59" s="906"/>
      <c r="BS59" s="906"/>
      <c r="BT59" s="906"/>
      <c r="BU59" s="906"/>
      <c r="BV59" s="906"/>
      <c r="BW59" s="906"/>
      <c r="BX59" s="906"/>
      <c r="BY59" s="906"/>
      <c r="BZ59" s="906"/>
      <c r="CA59" s="906"/>
      <c r="CB59" s="906"/>
      <c r="CC59" s="906"/>
      <c r="CD59" s="906"/>
      <c r="CE59" s="906"/>
      <c r="CF59" s="906"/>
      <c r="CG59" s="906"/>
      <c r="CH59" s="906"/>
      <c r="CI59" s="906"/>
      <c r="CJ59" s="906"/>
      <c r="CK59" s="906"/>
      <c r="CL59" s="906"/>
      <c r="CM59" s="906"/>
      <c r="CN59" s="906"/>
      <c r="CO59" s="906"/>
      <c r="CP59" s="906"/>
      <c r="CQ59" s="906"/>
      <c r="CR59" s="906"/>
      <c r="CS59" s="906"/>
      <c r="CT59" s="906"/>
      <c r="CU59" s="906"/>
      <c r="CV59" s="906"/>
      <c r="CW59" s="906"/>
      <c r="CX59" s="906"/>
      <c r="CY59" s="906"/>
      <c r="CZ59" s="906"/>
      <c r="DA59" s="906"/>
      <c r="DB59" s="906"/>
      <c r="DC59" s="906"/>
      <c r="DD59" s="906"/>
      <c r="DE59" s="906"/>
      <c r="DF59" s="906"/>
      <c r="DG59" s="906"/>
      <c r="DH59" s="906"/>
      <c r="DI59" s="906"/>
      <c r="DJ59" s="906"/>
      <c r="DK59" s="906"/>
      <c r="DL59" s="906"/>
      <c r="DM59" s="906"/>
      <c r="DN59" s="906"/>
      <c r="DO59" s="906"/>
      <c r="DP59" s="906"/>
      <c r="DQ59" s="906"/>
      <c r="DR59" s="906"/>
      <c r="DS59" s="906"/>
    </row>
    <row r="60" spans="1:123" s="854" customFormat="1" ht="16.5" customHeight="1">
      <c r="A60" s="891"/>
      <c r="B60" s="771"/>
      <c r="C60" s="769"/>
      <c r="D60" s="892"/>
      <c r="E60" s="893"/>
      <c r="F60" s="894"/>
      <c r="G60" s="771"/>
      <c r="H60" s="894"/>
      <c r="I60" s="895"/>
      <c r="J60" s="895"/>
      <c r="K60" s="893"/>
      <c r="L60" s="893"/>
      <c r="M60" s="893"/>
      <c r="N60" s="893"/>
      <c r="O60" s="893"/>
      <c r="P60" s="893"/>
      <c r="Q60" s="893"/>
      <c r="R60" s="906"/>
      <c r="S60" s="899"/>
      <c r="T60" s="906"/>
      <c r="U60" s="906"/>
      <c r="V60" s="906"/>
      <c r="W60" s="906"/>
      <c r="X60" s="906"/>
      <c r="Y60" s="906"/>
      <c r="Z60" s="906"/>
      <c r="AA60" s="906"/>
      <c r="AB60" s="906"/>
      <c r="AC60" s="906"/>
      <c r="AD60" s="906"/>
      <c r="AE60" s="906"/>
      <c r="AF60" s="906"/>
      <c r="AG60" s="906"/>
      <c r="AH60" s="906"/>
      <c r="AI60" s="906"/>
      <c r="AJ60" s="906"/>
      <c r="AK60" s="906"/>
      <c r="AL60" s="906"/>
      <c r="AM60" s="906"/>
      <c r="AN60" s="906"/>
      <c r="AO60" s="906"/>
      <c r="AP60" s="906"/>
      <c r="AQ60" s="906"/>
      <c r="AR60" s="906"/>
      <c r="AS60" s="906"/>
      <c r="AT60" s="906"/>
      <c r="AU60" s="906"/>
      <c r="AV60" s="906"/>
      <c r="AW60" s="906"/>
      <c r="AX60" s="906"/>
      <c r="AY60" s="906"/>
      <c r="AZ60" s="906"/>
      <c r="BA60" s="906"/>
      <c r="BB60" s="906"/>
      <c r="BC60" s="906"/>
      <c r="BD60" s="906"/>
      <c r="BE60" s="906"/>
      <c r="BF60" s="906"/>
      <c r="BG60" s="906"/>
      <c r="BH60" s="906"/>
      <c r="BI60" s="906"/>
      <c r="BJ60" s="906"/>
      <c r="BK60" s="906"/>
      <c r="BL60" s="906"/>
      <c r="BM60" s="906"/>
      <c r="BN60" s="906"/>
      <c r="BO60" s="906"/>
      <c r="BP60" s="906"/>
      <c r="BQ60" s="906"/>
      <c r="BR60" s="906"/>
      <c r="BS60" s="906"/>
      <c r="BT60" s="906"/>
      <c r="BU60" s="906"/>
      <c r="BV60" s="906"/>
      <c r="BW60" s="906"/>
      <c r="BX60" s="906"/>
      <c r="BY60" s="906"/>
      <c r="BZ60" s="906"/>
      <c r="CA60" s="906"/>
      <c r="CB60" s="906"/>
      <c r="CC60" s="906"/>
      <c r="CD60" s="906"/>
      <c r="CE60" s="906"/>
      <c r="CF60" s="906"/>
      <c r="CG60" s="906"/>
      <c r="CH60" s="906"/>
      <c r="CI60" s="906"/>
      <c r="CJ60" s="906"/>
      <c r="CK60" s="906"/>
      <c r="CL60" s="906"/>
      <c r="CM60" s="906"/>
      <c r="CN60" s="906"/>
      <c r="CO60" s="906"/>
      <c r="CP60" s="906"/>
      <c r="CQ60" s="906"/>
      <c r="CR60" s="906"/>
      <c r="CS60" s="906"/>
      <c r="CT60" s="906"/>
      <c r="CU60" s="906"/>
      <c r="CV60" s="906"/>
      <c r="CW60" s="906"/>
      <c r="CX60" s="906"/>
      <c r="CY60" s="906"/>
      <c r="CZ60" s="906"/>
      <c r="DA60" s="906"/>
      <c r="DB60" s="906"/>
      <c r="DC60" s="906"/>
      <c r="DD60" s="906"/>
      <c r="DE60" s="906"/>
      <c r="DF60" s="906"/>
      <c r="DG60" s="906"/>
      <c r="DH60" s="906"/>
      <c r="DI60" s="906"/>
      <c r="DJ60" s="906"/>
      <c r="DK60" s="906"/>
      <c r="DL60" s="906"/>
      <c r="DM60" s="906"/>
      <c r="DN60" s="906"/>
      <c r="DO60" s="906"/>
      <c r="DP60" s="906"/>
      <c r="DQ60" s="906"/>
      <c r="DR60" s="906"/>
      <c r="DS60" s="906"/>
    </row>
    <row r="61" spans="1:123" s="854" customFormat="1" ht="16.5" customHeight="1">
      <c r="A61" s="891"/>
      <c r="B61" s="771"/>
      <c r="C61" s="769"/>
      <c r="D61" s="892"/>
      <c r="E61" s="893"/>
      <c r="F61" s="894"/>
      <c r="G61" s="771"/>
      <c r="H61" s="894"/>
      <c r="I61" s="895"/>
      <c r="J61" s="895"/>
      <c r="K61" s="893"/>
      <c r="L61" s="893"/>
      <c r="M61" s="893"/>
      <c r="N61" s="893"/>
      <c r="O61" s="893"/>
      <c r="P61" s="893"/>
      <c r="Q61" s="893"/>
      <c r="R61" s="906"/>
      <c r="S61" s="899"/>
      <c r="T61" s="906"/>
      <c r="U61" s="906"/>
      <c r="V61" s="906"/>
      <c r="W61" s="906"/>
      <c r="X61" s="906"/>
      <c r="Y61" s="906"/>
      <c r="Z61" s="906"/>
      <c r="AA61" s="906"/>
      <c r="AB61" s="906"/>
      <c r="AC61" s="906"/>
      <c r="AD61" s="906"/>
      <c r="AE61" s="906"/>
      <c r="AF61" s="906"/>
      <c r="AG61" s="906"/>
      <c r="AH61" s="906"/>
      <c r="AI61" s="906"/>
      <c r="AJ61" s="906"/>
      <c r="AK61" s="906"/>
      <c r="AL61" s="906"/>
      <c r="AM61" s="906"/>
      <c r="AN61" s="906"/>
      <c r="AO61" s="906"/>
      <c r="AP61" s="906"/>
      <c r="AQ61" s="906"/>
      <c r="AR61" s="906"/>
      <c r="AS61" s="906"/>
      <c r="AT61" s="906"/>
      <c r="AU61" s="906"/>
      <c r="AV61" s="906"/>
      <c r="AW61" s="906"/>
      <c r="AX61" s="906"/>
      <c r="AY61" s="906"/>
      <c r="AZ61" s="906"/>
      <c r="BA61" s="906"/>
      <c r="BB61" s="906"/>
      <c r="BC61" s="906"/>
      <c r="BD61" s="906"/>
      <c r="BE61" s="906"/>
      <c r="BF61" s="906"/>
      <c r="BG61" s="906"/>
      <c r="BH61" s="906"/>
      <c r="BI61" s="906"/>
      <c r="BJ61" s="906"/>
      <c r="BK61" s="906"/>
      <c r="BL61" s="906"/>
      <c r="BM61" s="906"/>
      <c r="BN61" s="906"/>
      <c r="BO61" s="906"/>
      <c r="BP61" s="906"/>
      <c r="BQ61" s="906"/>
      <c r="BR61" s="906"/>
      <c r="BS61" s="906"/>
      <c r="BT61" s="906"/>
      <c r="BU61" s="906"/>
      <c r="BV61" s="906"/>
      <c r="BW61" s="906"/>
      <c r="BX61" s="906"/>
      <c r="BY61" s="906"/>
      <c r="BZ61" s="906"/>
      <c r="CA61" s="906"/>
      <c r="CB61" s="906"/>
      <c r="CC61" s="906"/>
      <c r="CD61" s="906"/>
      <c r="CE61" s="906"/>
      <c r="CF61" s="906"/>
      <c r="CG61" s="906"/>
      <c r="CH61" s="906"/>
      <c r="CI61" s="906"/>
      <c r="CJ61" s="906"/>
      <c r="CK61" s="906"/>
      <c r="CL61" s="906"/>
      <c r="CM61" s="906"/>
      <c r="CN61" s="906"/>
      <c r="CO61" s="906"/>
      <c r="CP61" s="906"/>
      <c r="CQ61" s="906"/>
      <c r="CR61" s="906"/>
      <c r="CS61" s="906"/>
      <c r="CT61" s="906"/>
      <c r="CU61" s="906"/>
      <c r="CV61" s="906"/>
      <c r="CW61" s="906"/>
      <c r="CX61" s="906"/>
      <c r="CY61" s="906"/>
      <c r="CZ61" s="906"/>
      <c r="DA61" s="906"/>
      <c r="DB61" s="906"/>
      <c r="DC61" s="906"/>
      <c r="DD61" s="906"/>
      <c r="DE61" s="906"/>
      <c r="DF61" s="906"/>
      <c r="DG61" s="906"/>
      <c r="DH61" s="906"/>
      <c r="DI61" s="906"/>
      <c r="DJ61" s="906"/>
      <c r="DK61" s="906"/>
      <c r="DL61" s="906"/>
      <c r="DM61" s="906"/>
      <c r="DN61" s="906"/>
      <c r="DO61" s="906"/>
      <c r="DP61" s="906"/>
      <c r="DQ61" s="906"/>
      <c r="DR61" s="906"/>
      <c r="DS61" s="906"/>
    </row>
    <row r="62" spans="1:123" s="854" customFormat="1" ht="16.5" customHeight="1">
      <c r="A62" s="891"/>
      <c r="B62" s="771"/>
      <c r="C62" s="769"/>
      <c r="D62" s="892"/>
      <c r="E62" s="893"/>
      <c r="F62" s="894"/>
      <c r="G62" s="771"/>
      <c r="H62" s="894"/>
      <c r="I62" s="895"/>
      <c r="J62" s="895"/>
      <c r="K62" s="893"/>
      <c r="L62" s="893"/>
      <c r="M62" s="893"/>
      <c r="N62" s="893"/>
      <c r="O62" s="893"/>
      <c r="P62" s="893"/>
      <c r="Q62" s="893"/>
      <c r="R62" s="906"/>
      <c r="S62" s="899"/>
      <c r="T62" s="906"/>
      <c r="U62" s="906"/>
      <c r="V62" s="906"/>
      <c r="W62" s="906"/>
      <c r="X62" s="906"/>
      <c r="Y62" s="906"/>
      <c r="Z62" s="906"/>
      <c r="AA62" s="906"/>
      <c r="AB62" s="906"/>
      <c r="AC62" s="906"/>
      <c r="AD62" s="906"/>
      <c r="AE62" s="906"/>
      <c r="AF62" s="906"/>
      <c r="AG62" s="906"/>
      <c r="AH62" s="906"/>
      <c r="AI62" s="906"/>
      <c r="AJ62" s="906"/>
      <c r="AK62" s="906"/>
      <c r="AL62" s="906"/>
      <c r="AM62" s="906"/>
      <c r="AN62" s="906"/>
      <c r="AO62" s="906"/>
      <c r="AP62" s="906"/>
      <c r="AQ62" s="906"/>
      <c r="AR62" s="906"/>
      <c r="AS62" s="906"/>
      <c r="AT62" s="906"/>
      <c r="AU62" s="906"/>
      <c r="AV62" s="906"/>
      <c r="AW62" s="906"/>
      <c r="AX62" s="906"/>
      <c r="AY62" s="906"/>
      <c r="AZ62" s="906"/>
      <c r="BA62" s="906"/>
      <c r="BB62" s="906"/>
      <c r="BC62" s="906"/>
      <c r="BD62" s="906"/>
      <c r="BE62" s="906"/>
      <c r="BF62" s="906"/>
      <c r="BG62" s="906"/>
      <c r="BH62" s="906"/>
      <c r="BI62" s="906"/>
      <c r="BJ62" s="906"/>
      <c r="BK62" s="906"/>
      <c r="BL62" s="906"/>
      <c r="BM62" s="906"/>
      <c r="BN62" s="906"/>
      <c r="BO62" s="906"/>
      <c r="BP62" s="906"/>
      <c r="BQ62" s="906"/>
      <c r="BR62" s="906"/>
      <c r="BS62" s="906"/>
      <c r="BT62" s="906"/>
      <c r="BU62" s="906"/>
      <c r="BV62" s="906"/>
      <c r="BW62" s="906"/>
      <c r="BX62" s="906"/>
      <c r="BY62" s="906"/>
      <c r="BZ62" s="906"/>
      <c r="CA62" s="906"/>
      <c r="CB62" s="906"/>
      <c r="CC62" s="906"/>
      <c r="CD62" s="906"/>
      <c r="CE62" s="906"/>
      <c r="CF62" s="906"/>
      <c r="CG62" s="906"/>
      <c r="CH62" s="906"/>
      <c r="CI62" s="906"/>
      <c r="CJ62" s="906"/>
      <c r="CK62" s="906"/>
      <c r="CL62" s="906"/>
      <c r="CM62" s="906"/>
      <c r="CN62" s="906"/>
      <c r="CO62" s="906"/>
      <c r="CP62" s="906"/>
      <c r="CQ62" s="906"/>
      <c r="CR62" s="906"/>
      <c r="CS62" s="906"/>
      <c r="CT62" s="906"/>
      <c r="CU62" s="906"/>
      <c r="CV62" s="906"/>
      <c r="CW62" s="906"/>
      <c r="CX62" s="906"/>
      <c r="CY62" s="906"/>
      <c r="CZ62" s="906"/>
      <c r="DA62" s="906"/>
      <c r="DB62" s="906"/>
      <c r="DC62" s="906"/>
      <c r="DD62" s="906"/>
      <c r="DE62" s="906"/>
      <c r="DF62" s="906"/>
      <c r="DG62" s="906"/>
      <c r="DH62" s="906"/>
      <c r="DI62" s="906"/>
      <c r="DJ62" s="906"/>
      <c r="DK62" s="906"/>
      <c r="DL62" s="906"/>
      <c r="DM62" s="906"/>
      <c r="DN62" s="906"/>
      <c r="DO62" s="906"/>
      <c r="DP62" s="906"/>
      <c r="DQ62" s="906"/>
      <c r="DR62" s="906"/>
      <c r="DS62" s="906"/>
    </row>
    <row r="63" spans="1:123" s="854" customFormat="1" ht="16.5" customHeight="1">
      <c r="A63" s="891"/>
      <c r="B63" s="771"/>
      <c r="C63" s="769"/>
      <c r="D63" s="892"/>
      <c r="E63" s="893"/>
      <c r="F63" s="894"/>
      <c r="G63" s="771"/>
      <c r="H63" s="894"/>
      <c r="I63" s="895"/>
      <c r="J63" s="895"/>
      <c r="K63" s="893"/>
      <c r="L63" s="893"/>
      <c r="M63" s="893"/>
      <c r="N63" s="893"/>
      <c r="O63" s="893"/>
      <c r="P63" s="893"/>
      <c r="Q63" s="893"/>
      <c r="R63" s="906"/>
      <c r="S63" s="899"/>
      <c r="T63" s="906"/>
      <c r="U63" s="906"/>
      <c r="V63" s="906"/>
      <c r="W63" s="906"/>
      <c r="X63" s="906"/>
      <c r="Y63" s="906"/>
      <c r="Z63" s="906"/>
      <c r="AA63" s="906"/>
      <c r="AB63" s="906"/>
      <c r="AC63" s="906"/>
      <c r="AD63" s="906"/>
      <c r="AE63" s="906"/>
      <c r="AF63" s="906"/>
      <c r="AG63" s="906"/>
      <c r="AH63" s="906"/>
      <c r="AI63" s="906"/>
      <c r="AJ63" s="906"/>
      <c r="AK63" s="906"/>
      <c r="AL63" s="906"/>
      <c r="AM63" s="906"/>
      <c r="AN63" s="906"/>
      <c r="AO63" s="906"/>
      <c r="AP63" s="906"/>
      <c r="AQ63" s="906"/>
      <c r="AR63" s="906"/>
      <c r="AS63" s="906"/>
      <c r="AT63" s="906"/>
      <c r="AU63" s="906"/>
      <c r="AV63" s="906"/>
      <c r="AW63" s="906"/>
      <c r="AX63" s="906"/>
      <c r="AY63" s="906"/>
      <c r="AZ63" s="906"/>
      <c r="BA63" s="906"/>
      <c r="BB63" s="906"/>
      <c r="BC63" s="906"/>
      <c r="BD63" s="906"/>
      <c r="BE63" s="906"/>
      <c r="BF63" s="906"/>
      <c r="BG63" s="906"/>
      <c r="BH63" s="906"/>
      <c r="BI63" s="906"/>
      <c r="BJ63" s="906"/>
      <c r="BK63" s="906"/>
      <c r="BL63" s="906"/>
      <c r="BM63" s="906"/>
      <c r="BN63" s="906"/>
      <c r="BO63" s="906"/>
      <c r="BP63" s="906"/>
      <c r="BQ63" s="906"/>
      <c r="BR63" s="906"/>
      <c r="BS63" s="906"/>
      <c r="BT63" s="906"/>
      <c r="BU63" s="906"/>
      <c r="BV63" s="906"/>
      <c r="BW63" s="906"/>
      <c r="BX63" s="906"/>
      <c r="BY63" s="906"/>
      <c r="BZ63" s="906"/>
      <c r="CA63" s="906"/>
      <c r="CB63" s="906"/>
      <c r="CC63" s="906"/>
      <c r="CD63" s="906"/>
      <c r="CE63" s="906"/>
      <c r="CF63" s="906"/>
      <c r="CG63" s="906"/>
      <c r="CH63" s="906"/>
      <c r="CI63" s="906"/>
      <c r="CJ63" s="906"/>
      <c r="CK63" s="906"/>
      <c r="CL63" s="906"/>
      <c r="CM63" s="906"/>
      <c r="CN63" s="906"/>
      <c r="CO63" s="906"/>
      <c r="CP63" s="906"/>
      <c r="CQ63" s="906"/>
      <c r="CR63" s="906"/>
      <c r="CS63" s="906"/>
      <c r="CT63" s="906"/>
      <c r="CU63" s="906"/>
      <c r="CV63" s="906"/>
      <c r="CW63" s="906"/>
      <c r="CX63" s="906"/>
      <c r="CY63" s="906"/>
      <c r="CZ63" s="906"/>
      <c r="DA63" s="906"/>
      <c r="DB63" s="906"/>
      <c r="DC63" s="906"/>
      <c r="DD63" s="906"/>
      <c r="DE63" s="906"/>
      <c r="DF63" s="906"/>
      <c r="DG63" s="906"/>
      <c r="DH63" s="906"/>
      <c r="DI63" s="906"/>
      <c r="DJ63" s="906"/>
      <c r="DK63" s="906"/>
      <c r="DL63" s="906"/>
      <c r="DM63" s="906"/>
      <c r="DN63" s="906"/>
      <c r="DO63" s="906"/>
      <c r="DP63" s="906"/>
      <c r="DQ63" s="906"/>
      <c r="DR63" s="906"/>
      <c r="DS63" s="906"/>
    </row>
    <row r="64" spans="1:123" s="854" customFormat="1" ht="16.5" customHeight="1">
      <c r="A64" s="891"/>
      <c r="B64" s="771"/>
      <c r="C64" s="769"/>
      <c r="D64" s="892"/>
      <c r="E64" s="893"/>
      <c r="F64" s="894"/>
      <c r="G64" s="771"/>
      <c r="H64" s="894"/>
      <c r="I64" s="895"/>
      <c r="J64" s="895"/>
      <c r="K64" s="893"/>
      <c r="L64" s="893"/>
      <c r="M64" s="893"/>
      <c r="N64" s="893"/>
      <c r="O64" s="893"/>
      <c r="P64" s="893"/>
      <c r="Q64" s="893"/>
      <c r="R64" s="906"/>
      <c r="S64" s="899"/>
      <c r="T64" s="906"/>
      <c r="U64" s="906"/>
      <c r="V64" s="906"/>
      <c r="W64" s="906"/>
      <c r="X64" s="906"/>
      <c r="Y64" s="906"/>
      <c r="Z64" s="906"/>
      <c r="AA64" s="906"/>
      <c r="AB64" s="906"/>
      <c r="AC64" s="906"/>
      <c r="AD64" s="906"/>
      <c r="AE64" s="906"/>
      <c r="AF64" s="906"/>
      <c r="AG64" s="906"/>
      <c r="AH64" s="906"/>
      <c r="AI64" s="906"/>
      <c r="AJ64" s="906"/>
      <c r="AK64" s="906"/>
      <c r="AL64" s="906"/>
      <c r="AM64" s="906"/>
      <c r="AN64" s="906"/>
      <c r="AO64" s="906"/>
      <c r="AP64" s="906"/>
      <c r="AQ64" s="906"/>
      <c r="AR64" s="906"/>
      <c r="AS64" s="906"/>
      <c r="AT64" s="906"/>
      <c r="AU64" s="906"/>
      <c r="AV64" s="906"/>
      <c r="AW64" s="906"/>
      <c r="AX64" s="906"/>
      <c r="AY64" s="906"/>
      <c r="AZ64" s="906"/>
      <c r="BA64" s="906"/>
      <c r="BB64" s="906"/>
      <c r="BC64" s="906"/>
      <c r="BD64" s="906"/>
      <c r="BE64" s="906"/>
      <c r="BF64" s="906"/>
      <c r="BG64" s="906"/>
      <c r="BH64" s="906"/>
      <c r="BI64" s="906"/>
      <c r="BJ64" s="906"/>
      <c r="BK64" s="906"/>
      <c r="BL64" s="906"/>
      <c r="BM64" s="906"/>
      <c r="BN64" s="906"/>
      <c r="BO64" s="906"/>
      <c r="BP64" s="906"/>
      <c r="BQ64" s="906"/>
      <c r="BR64" s="906"/>
      <c r="BS64" s="906"/>
      <c r="BT64" s="906"/>
      <c r="BU64" s="906"/>
      <c r="BV64" s="906"/>
      <c r="BW64" s="906"/>
      <c r="BX64" s="906"/>
      <c r="BY64" s="906"/>
      <c r="BZ64" s="906"/>
      <c r="CA64" s="906"/>
      <c r="CB64" s="906"/>
      <c r="CC64" s="906"/>
      <c r="CD64" s="906"/>
      <c r="CE64" s="906"/>
      <c r="CF64" s="906"/>
      <c r="CG64" s="906"/>
      <c r="CH64" s="906"/>
      <c r="CI64" s="906"/>
      <c r="CJ64" s="906"/>
      <c r="CK64" s="906"/>
      <c r="CL64" s="906"/>
      <c r="CM64" s="906"/>
      <c r="CN64" s="906"/>
      <c r="CO64" s="906"/>
      <c r="CP64" s="906"/>
      <c r="CQ64" s="906"/>
      <c r="CR64" s="906"/>
      <c r="CS64" s="906"/>
      <c r="CT64" s="906"/>
      <c r="CU64" s="906"/>
      <c r="CV64" s="906"/>
      <c r="CW64" s="906"/>
      <c r="CX64" s="906"/>
      <c r="CY64" s="906"/>
      <c r="CZ64" s="906"/>
      <c r="DA64" s="906"/>
      <c r="DB64" s="906"/>
      <c r="DC64" s="906"/>
      <c r="DD64" s="906"/>
      <c r="DE64" s="906"/>
      <c r="DF64" s="906"/>
      <c r="DG64" s="906"/>
      <c r="DH64" s="906"/>
      <c r="DI64" s="906"/>
      <c r="DJ64" s="906"/>
      <c r="DK64" s="906"/>
      <c r="DL64" s="906"/>
      <c r="DM64" s="906"/>
      <c r="DN64" s="906"/>
      <c r="DO64" s="906"/>
      <c r="DP64" s="906"/>
      <c r="DQ64" s="906"/>
      <c r="DR64" s="906"/>
      <c r="DS64" s="906"/>
    </row>
    <row r="65" spans="1:123" s="854" customFormat="1" ht="16.5" customHeight="1">
      <c r="A65" s="891"/>
      <c r="B65" s="771"/>
      <c r="C65" s="769"/>
      <c r="D65" s="892"/>
      <c r="E65" s="893"/>
      <c r="F65" s="894"/>
      <c r="G65" s="771"/>
      <c r="H65" s="894"/>
      <c r="I65" s="895"/>
      <c r="J65" s="895"/>
      <c r="K65" s="893"/>
      <c r="L65" s="893"/>
      <c r="M65" s="893"/>
      <c r="N65" s="893"/>
      <c r="O65" s="893"/>
      <c r="P65" s="893"/>
      <c r="Q65" s="893"/>
      <c r="R65" s="906"/>
      <c r="S65" s="899"/>
      <c r="T65" s="906"/>
      <c r="U65" s="906"/>
      <c r="V65" s="906"/>
      <c r="W65" s="906"/>
      <c r="X65" s="906"/>
      <c r="Y65" s="906"/>
      <c r="Z65" s="906"/>
      <c r="AA65" s="906"/>
      <c r="AB65" s="906"/>
      <c r="AC65" s="906"/>
      <c r="AD65" s="906"/>
      <c r="AE65" s="906"/>
      <c r="AF65" s="906"/>
      <c r="AG65" s="906"/>
      <c r="AH65" s="906"/>
      <c r="AI65" s="906"/>
      <c r="AJ65" s="906"/>
      <c r="AK65" s="906"/>
      <c r="AL65" s="906"/>
      <c r="AM65" s="906"/>
      <c r="AN65" s="906"/>
      <c r="AO65" s="906"/>
      <c r="AP65" s="906"/>
      <c r="AQ65" s="906"/>
      <c r="AR65" s="906"/>
      <c r="AS65" s="906"/>
      <c r="AT65" s="906"/>
      <c r="AU65" s="906"/>
      <c r="AV65" s="906"/>
      <c r="AW65" s="906"/>
      <c r="AX65" s="906"/>
      <c r="AY65" s="906"/>
      <c r="AZ65" s="906"/>
      <c r="BA65" s="906"/>
      <c r="BB65" s="906"/>
      <c r="BC65" s="906"/>
      <c r="BD65" s="906"/>
      <c r="BE65" s="906"/>
      <c r="BF65" s="906"/>
      <c r="BG65" s="906"/>
      <c r="BH65" s="906"/>
      <c r="BI65" s="906"/>
      <c r="BJ65" s="906"/>
      <c r="BK65" s="906"/>
      <c r="BL65" s="906"/>
      <c r="BM65" s="906"/>
      <c r="BN65" s="906"/>
      <c r="BO65" s="906"/>
      <c r="BP65" s="906"/>
      <c r="BQ65" s="906"/>
      <c r="BR65" s="906"/>
      <c r="BS65" s="906"/>
      <c r="BT65" s="906"/>
      <c r="BU65" s="906"/>
      <c r="BV65" s="906"/>
      <c r="BW65" s="906"/>
      <c r="BX65" s="906"/>
      <c r="BY65" s="906"/>
      <c r="BZ65" s="906"/>
      <c r="CA65" s="906"/>
      <c r="CB65" s="906"/>
      <c r="CC65" s="906"/>
      <c r="CD65" s="906"/>
      <c r="CE65" s="906"/>
      <c r="CF65" s="906"/>
      <c r="CG65" s="906"/>
      <c r="CH65" s="906"/>
      <c r="CI65" s="906"/>
      <c r="CJ65" s="906"/>
      <c r="CK65" s="906"/>
      <c r="CL65" s="906"/>
      <c r="CM65" s="906"/>
      <c r="CN65" s="906"/>
      <c r="CO65" s="906"/>
      <c r="CP65" s="906"/>
      <c r="CQ65" s="906"/>
      <c r="CR65" s="906"/>
      <c r="CS65" s="906"/>
      <c r="CT65" s="906"/>
      <c r="CU65" s="906"/>
      <c r="CV65" s="906"/>
      <c r="CW65" s="906"/>
      <c r="CX65" s="906"/>
      <c r="CY65" s="906"/>
      <c r="CZ65" s="906"/>
      <c r="DA65" s="906"/>
      <c r="DB65" s="906"/>
      <c r="DC65" s="906"/>
      <c r="DD65" s="906"/>
      <c r="DE65" s="906"/>
      <c r="DF65" s="906"/>
      <c r="DG65" s="906"/>
      <c r="DH65" s="906"/>
      <c r="DI65" s="906"/>
      <c r="DJ65" s="906"/>
      <c r="DK65" s="906"/>
      <c r="DL65" s="906"/>
      <c r="DM65" s="906"/>
      <c r="DN65" s="906"/>
      <c r="DO65" s="906"/>
      <c r="DP65" s="906"/>
      <c r="DQ65" s="906"/>
      <c r="DR65" s="906"/>
      <c r="DS65" s="906"/>
    </row>
    <row r="66" spans="1:123" s="854" customFormat="1" ht="16.5" customHeight="1">
      <c r="A66" s="891"/>
      <c r="B66" s="771"/>
      <c r="C66" s="769"/>
      <c r="D66" s="892"/>
      <c r="E66" s="893"/>
      <c r="F66" s="894"/>
      <c r="G66" s="771"/>
      <c r="H66" s="894"/>
      <c r="I66" s="895"/>
      <c r="J66" s="895"/>
      <c r="K66" s="893"/>
      <c r="L66" s="893"/>
      <c r="M66" s="893"/>
      <c r="N66" s="893"/>
      <c r="O66" s="893"/>
      <c r="P66" s="893"/>
      <c r="Q66" s="893"/>
      <c r="R66" s="906"/>
      <c r="S66" s="899"/>
      <c r="T66" s="906"/>
      <c r="U66" s="906"/>
      <c r="V66" s="906"/>
      <c r="W66" s="906"/>
      <c r="X66" s="906"/>
      <c r="Y66" s="906"/>
      <c r="Z66" s="906"/>
      <c r="AA66" s="906"/>
      <c r="AB66" s="906"/>
      <c r="AC66" s="906"/>
      <c r="AD66" s="906"/>
      <c r="AE66" s="906"/>
      <c r="AF66" s="906"/>
      <c r="AG66" s="906"/>
      <c r="AH66" s="906"/>
      <c r="AI66" s="906"/>
      <c r="AJ66" s="906"/>
      <c r="AK66" s="906"/>
      <c r="AL66" s="906"/>
      <c r="AM66" s="906"/>
      <c r="AN66" s="906"/>
      <c r="AO66" s="906"/>
      <c r="AP66" s="906"/>
      <c r="AQ66" s="906"/>
      <c r="AR66" s="906"/>
      <c r="AS66" s="906"/>
      <c r="AT66" s="906"/>
      <c r="AU66" s="906"/>
      <c r="AV66" s="906"/>
      <c r="AW66" s="906"/>
      <c r="AX66" s="906"/>
      <c r="AY66" s="906"/>
      <c r="AZ66" s="906"/>
      <c r="BA66" s="906"/>
      <c r="BB66" s="906"/>
      <c r="BC66" s="906"/>
      <c r="BD66" s="906"/>
      <c r="BE66" s="906"/>
      <c r="BF66" s="906"/>
      <c r="BG66" s="906"/>
      <c r="BH66" s="906"/>
      <c r="BI66" s="906"/>
      <c r="BJ66" s="906"/>
      <c r="BK66" s="906"/>
      <c r="BL66" s="906"/>
      <c r="BM66" s="906"/>
      <c r="BN66" s="906"/>
      <c r="BO66" s="906"/>
      <c r="BP66" s="906"/>
      <c r="BQ66" s="906"/>
      <c r="BR66" s="906"/>
      <c r="BS66" s="906"/>
      <c r="BT66" s="906"/>
      <c r="BU66" s="906"/>
      <c r="BV66" s="906"/>
      <c r="BW66" s="906"/>
      <c r="BX66" s="906"/>
      <c r="BY66" s="906"/>
      <c r="BZ66" s="906"/>
      <c r="CA66" s="906"/>
      <c r="CB66" s="906"/>
      <c r="CC66" s="906"/>
      <c r="CD66" s="906"/>
      <c r="CE66" s="906"/>
      <c r="CF66" s="906"/>
      <c r="CG66" s="906"/>
      <c r="CH66" s="906"/>
      <c r="CI66" s="906"/>
      <c r="CJ66" s="906"/>
      <c r="CK66" s="906"/>
      <c r="CL66" s="906"/>
      <c r="CM66" s="906"/>
      <c r="CN66" s="906"/>
      <c r="CO66" s="906"/>
      <c r="CP66" s="906"/>
      <c r="CQ66" s="906"/>
      <c r="CR66" s="906"/>
      <c r="CS66" s="906"/>
      <c r="CT66" s="906"/>
      <c r="CU66" s="906"/>
      <c r="CV66" s="906"/>
      <c r="CW66" s="906"/>
      <c r="CX66" s="906"/>
      <c r="CY66" s="906"/>
      <c r="CZ66" s="906"/>
      <c r="DA66" s="906"/>
      <c r="DB66" s="906"/>
      <c r="DC66" s="906"/>
      <c r="DD66" s="906"/>
      <c r="DE66" s="906"/>
      <c r="DF66" s="906"/>
      <c r="DG66" s="906"/>
      <c r="DH66" s="906"/>
      <c r="DI66" s="906"/>
      <c r="DJ66" s="906"/>
      <c r="DK66" s="906"/>
      <c r="DL66" s="906"/>
      <c r="DM66" s="906"/>
      <c r="DN66" s="906"/>
      <c r="DO66" s="906"/>
      <c r="DP66" s="906"/>
      <c r="DQ66" s="906"/>
      <c r="DR66" s="906"/>
      <c r="DS66" s="906"/>
    </row>
    <row r="67" spans="1:123" s="854" customFormat="1" ht="16.5" customHeight="1">
      <c r="A67" s="891"/>
      <c r="B67" s="771"/>
      <c r="C67" s="769"/>
      <c r="D67" s="892"/>
      <c r="E67" s="893"/>
      <c r="F67" s="894"/>
      <c r="G67" s="771"/>
      <c r="H67" s="894"/>
      <c r="I67" s="895"/>
      <c r="J67" s="895"/>
      <c r="K67" s="893"/>
      <c r="L67" s="893"/>
      <c r="M67" s="893"/>
      <c r="N67" s="893"/>
      <c r="O67" s="893"/>
      <c r="P67" s="893"/>
      <c r="Q67" s="893"/>
      <c r="R67" s="906"/>
      <c r="S67" s="899"/>
      <c r="T67" s="906"/>
      <c r="U67" s="906"/>
      <c r="V67" s="906"/>
      <c r="W67" s="906"/>
      <c r="X67" s="906"/>
      <c r="Y67" s="906"/>
      <c r="Z67" s="906"/>
      <c r="AA67" s="906"/>
      <c r="AB67" s="906"/>
      <c r="AC67" s="906"/>
      <c r="AD67" s="906"/>
      <c r="AE67" s="906"/>
      <c r="AF67" s="906"/>
      <c r="AG67" s="906"/>
      <c r="AH67" s="906"/>
      <c r="AI67" s="906"/>
      <c r="AJ67" s="906"/>
      <c r="AK67" s="906"/>
      <c r="AL67" s="906"/>
      <c r="AM67" s="906"/>
      <c r="AN67" s="906"/>
      <c r="AO67" s="906"/>
      <c r="AP67" s="906"/>
      <c r="AQ67" s="906"/>
      <c r="AR67" s="906"/>
      <c r="AS67" s="906"/>
      <c r="AT67" s="906"/>
      <c r="AU67" s="906"/>
      <c r="AV67" s="906"/>
      <c r="AW67" s="906"/>
      <c r="AX67" s="906"/>
      <c r="AY67" s="906"/>
      <c r="AZ67" s="906"/>
      <c r="BA67" s="906"/>
      <c r="BB67" s="906"/>
      <c r="BC67" s="906"/>
      <c r="BD67" s="906"/>
      <c r="BE67" s="906"/>
      <c r="BF67" s="906"/>
      <c r="BG67" s="906"/>
      <c r="BH67" s="906"/>
      <c r="BI67" s="906"/>
      <c r="BJ67" s="906"/>
      <c r="BK67" s="906"/>
      <c r="BL67" s="906"/>
      <c r="BM67" s="906"/>
      <c r="BN67" s="906"/>
      <c r="BO67" s="906"/>
      <c r="BP67" s="906"/>
      <c r="BQ67" s="906"/>
      <c r="BR67" s="906"/>
      <c r="BS67" s="906"/>
      <c r="BT67" s="906"/>
      <c r="BU67" s="906"/>
      <c r="BV67" s="906"/>
      <c r="BW67" s="906"/>
      <c r="BX67" s="906"/>
      <c r="BY67" s="906"/>
      <c r="BZ67" s="906"/>
      <c r="CA67" s="906"/>
      <c r="CB67" s="906"/>
      <c r="CC67" s="906"/>
      <c r="CD67" s="906"/>
      <c r="CE67" s="906"/>
      <c r="CF67" s="906"/>
      <c r="CG67" s="906"/>
      <c r="CH67" s="906"/>
      <c r="CI67" s="906"/>
      <c r="CJ67" s="906"/>
      <c r="CK67" s="906"/>
      <c r="CL67" s="906"/>
      <c r="CM67" s="906"/>
      <c r="CN67" s="906"/>
      <c r="CO67" s="906"/>
      <c r="CP67" s="906"/>
      <c r="CQ67" s="906"/>
      <c r="CR67" s="906"/>
      <c r="CS67" s="906"/>
      <c r="CT67" s="906"/>
      <c r="CU67" s="906"/>
      <c r="CV67" s="906"/>
      <c r="CW67" s="906"/>
      <c r="CX67" s="906"/>
      <c r="CY67" s="906"/>
      <c r="CZ67" s="906"/>
      <c r="DA67" s="906"/>
      <c r="DB67" s="906"/>
      <c r="DC67" s="906"/>
      <c r="DD67" s="906"/>
      <c r="DE67" s="906"/>
      <c r="DF67" s="906"/>
      <c r="DG67" s="906"/>
      <c r="DH67" s="906"/>
      <c r="DI67" s="906"/>
      <c r="DJ67" s="906"/>
      <c r="DK67" s="906"/>
      <c r="DL67" s="906"/>
      <c r="DM67" s="906"/>
      <c r="DN67" s="906"/>
      <c r="DO67" s="906"/>
      <c r="DP67" s="906"/>
      <c r="DQ67" s="906"/>
      <c r="DR67" s="906"/>
      <c r="DS67" s="906"/>
    </row>
    <row r="68" spans="1:123" s="854" customFormat="1" ht="16.5" customHeight="1">
      <c r="A68" s="891"/>
      <c r="B68" s="771"/>
      <c r="C68" s="769"/>
      <c r="D68" s="892"/>
      <c r="E68" s="893"/>
      <c r="F68" s="894"/>
      <c r="G68" s="771"/>
      <c r="H68" s="894"/>
      <c r="I68" s="895"/>
      <c r="J68" s="895"/>
      <c r="K68" s="893"/>
      <c r="L68" s="893"/>
      <c r="M68" s="893"/>
      <c r="N68" s="893"/>
      <c r="O68" s="893"/>
      <c r="P68" s="893"/>
      <c r="Q68" s="893"/>
      <c r="R68" s="906"/>
      <c r="S68" s="899"/>
      <c r="T68" s="906"/>
      <c r="U68" s="906"/>
      <c r="V68" s="906"/>
      <c r="W68" s="906"/>
      <c r="X68" s="906"/>
      <c r="Y68" s="906"/>
      <c r="Z68" s="906"/>
      <c r="AA68" s="906"/>
      <c r="AB68" s="906"/>
      <c r="AC68" s="906"/>
      <c r="AD68" s="906"/>
      <c r="AE68" s="906"/>
      <c r="AF68" s="906"/>
      <c r="AG68" s="906"/>
      <c r="AH68" s="906"/>
      <c r="AI68" s="906"/>
      <c r="AJ68" s="906"/>
      <c r="AK68" s="906"/>
      <c r="AL68" s="906"/>
      <c r="AM68" s="906"/>
      <c r="AN68" s="906"/>
      <c r="AO68" s="906"/>
      <c r="AP68" s="906"/>
      <c r="AQ68" s="906"/>
      <c r="AR68" s="906"/>
      <c r="AS68" s="906"/>
      <c r="AT68" s="906"/>
      <c r="AU68" s="906"/>
      <c r="AV68" s="906"/>
      <c r="AW68" s="906"/>
      <c r="AX68" s="906"/>
      <c r="AY68" s="906"/>
      <c r="AZ68" s="906"/>
      <c r="BA68" s="906"/>
      <c r="BB68" s="906"/>
      <c r="BC68" s="906"/>
      <c r="BD68" s="906"/>
      <c r="BE68" s="906"/>
      <c r="BF68" s="906"/>
      <c r="BG68" s="906"/>
      <c r="BH68" s="906"/>
      <c r="BI68" s="906"/>
      <c r="BJ68" s="906"/>
      <c r="BK68" s="906"/>
      <c r="BL68" s="906"/>
      <c r="BM68" s="906"/>
      <c r="BN68" s="906"/>
      <c r="BO68" s="906"/>
      <c r="BP68" s="906"/>
      <c r="BQ68" s="906"/>
      <c r="BR68" s="906"/>
      <c r="BS68" s="906"/>
      <c r="BT68" s="906"/>
      <c r="BU68" s="906"/>
      <c r="BV68" s="906"/>
      <c r="BW68" s="906"/>
      <c r="BX68" s="906"/>
      <c r="BY68" s="906"/>
      <c r="BZ68" s="906"/>
      <c r="CA68" s="906"/>
      <c r="CB68" s="906"/>
      <c r="CC68" s="906"/>
      <c r="CD68" s="906"/>
      <c r="CE68" s="906"/>
      <c r="CF68" s="906"/>
      <c r="CG68" s="906"/>
      <c r="CH68" s="906"/>
      <c r="CI68" s="906"/>
      <c r="CJ68" s="906"/>
      <c r="CK68" s="906"/>
      <c r="CL68" s="906"/>
      <c r="CM68" s="906"/>
      <c r="CN68" s="906"/>
      <c r="CO68" s="906"/>
      <c r="CP68" s="906"/>
      <c r="CQ68" s="906"/>
      <c r="CR68" s="906"/>
      <c r="CS68" s="906"/>
      <c r="CT68" s="906"/>
      <c r="CU68" s="906"/>
      <c r="CV68" s="906"/>
      <c r="CW68" s="906"/>
      <c r="CX68" s="906"/>
      <c r="CY68" s="906"/>
      <c r="CZ68" s="906"/>
      <c r="DA68" s="906"/>
      <c r="DB68" s="906"/>
      <c r="DC68" s="906"/>
      <c r="DD68" s="906"/>
      <c r="DE68" s="906"/>
      <c r="DF68" s="906"/>
      <c r="DG68" s="906"/>
      <c r="DH68" s="906"/>
      <c r="DI68" s="906"/>
      <c r="DJ68" s="906"/>
      <c r="DK68" s="906"/>
      <c r="DL68" s="906"/>
      <c r="DM68" s="906"/>
      <c r="DN68" s="906"/>
      <c r="DO68" s="906"/>
      <c r="DP68" s="906"/>
      <c r="DQ68" s="906"/>
      <c r="DR68" s="906"/>
      <c r="DS68" s="906"/>
    </row>
    <row r="69" spans="1:123" s="854" customFormat="1" ht="16.5" customHeight="1">
      <c r="A69" s="891"/>
      <c r="B69" s="771"/>
      <c r="C69" s="769"/>
      <c r="D69" s="892"/>
      <c r="E69" s="893"/>
      <c r="F69" s="894"/>
      <c r="G69" s="771"/>
      <c r="H69" s="894"/>
      <c r="I69" s="895"/>
      <c r="J69" s="895"/>
      <c r="K69" s="893"/>
      <c r="L69" s="893"/>
      <c r="M69" s="893"/>
      <c r="N69" s="893"/>
      <c r="O69" s="893"/>
      <c r="P69" s="893"/>
      <c r="Q69" s="893"/>
      <c r="R69" s="906"/>
      <c r="S69" s="899"/>
      <c r="T69" s="906"/>
      <c r="U69" s="906"/>
      <c r="V69" s="906"/>
      <c r="W69" s="906"/>
      <c r="X69" s="906"/>
      <c r="Y69" s="906"/>
      <c r="Z69" s="906"/>
      <c r="AA69" s="906"/>
      <c r="AB69" s="906"/>
      <c r="AC69" s="906"/>
      <c r="AD69" s="906"/>
      <c r="AE69" s="906"/>
      <c r="AF69" s="906"/>
      <c r="AG69" s="906"/>
      <c r="AH69" s="906"/>
      <c r="AI69" s="906"/>
      <c r="AJ69" s="906"/>
      <c r="AK69" s="906"/>
      <c r="AL69" s="906"/>
      <c r="AM69" s="906"/>
      <c r="AN69" s="906"/>
      <c r="AO69" s="906"/>
      <c r="AP69" s="906"/>
      <c r="AQ69" s="906"/>
      <c r="AR69" s="906"/>
      <c r="AS69" s="906"/>
      <c r="AT69" s="906"/>
      <c r="AU69" s="906"/>
      <c r="AV69" s="906"/>
      <c r="AW69" s="906"/>
      <c r="AX69" s="906"/>
      <c r="AY69" s="906"/>
      <c r="AZ69" s="906"/>
      <c r="BA69" s="906"/>
      <c r="BB69" s="906"/>
      <c r="BC69" s="906"/>
      <c r="BD69" s="906"/>
      <c r="BE69" s="906"/>
      <c r="BF69" s="906"/>
      <c r="BG69" s="906"/>
      <c r="BH69" s="906"/>
      <c r="BI69" s="906"/>
      <c r="BJ69" s="906"/>
      <c r="BK69" s="906"/>
      <c r="BL69" s="906"/>
      <c r="BM69" s="906"/>
      <c r="BN69" s="906"/>
      <c r="BO69" s="906"/>
      <c r="BP69" s="906"/>
      <c r="BQ69" s="906"/>
      <c r="BR69" s="906"/>
      <c r="BS69" s="906"/>
      <c r="BT69" s="906"/>
      <c r="BU69" s="906"/>
      <c r="BV69" s="906"/>
      <c r="BW69" s="906"/>
      <c r="BX69" s="906"/>
      <c r="BY69" s="906"/>
      <c r="BZ69" s="906"/>
      <c r="CA69" s="906"/>
      <c r="CB69" s="906"/>
      <c r="CC69" s="906"/>
      <c r="CD69" s="906"/>
      <c r="CE69" s="906"/>
      <c r="CF69" s="906"/>
      <c r="CG69" s="906"/>
      <c r="CH69" s="906"/>
      <c r="CI69" s="906"/>
      <c r="CJ69" s="906"/>
      <c r="CK69" s="906"/>
      <c r="CL69" s="906"/>
      <c r="CM69" s="906"/>
      <c r="CN69" s="906"/>
      <c r="CO69" s="906"/>
      <c r="CP69" s="906"/>
      <c r="CQ69" s="906"/>
      <c r="CR69" s="906"/>
      <c r="CS69" s="906"/>
      <c r="CT69" s="906"/>
      <c r="CU69" s="906"/>
      <c r="CV69" s="906"/>
      <c r="CW69" s="906"/>
      <c r="CX69" s="906"/>
      <c r="CY69" s="906"/>
      <c r="CZ69" s="906"/>
      <c r="DA69" s="906"/>
      <c r="DB69" s="906"/>
      <c r="DC69" s="906"/>
      <c r="DD69" s="906"/>
      <c r="DE69" s="906"/>
      <c r="DF69" s="906"/>
      <c r="DG69" s="906"/>
      <c r="DH69" s="906"/>
      <c r="DI69" s="906"/>
      <c r="DJ69" s="906"/>
      <c r="DK69" s="906"/>
      <c r="DL69" s="906"/>
      <c r="DM69" s="906"/>
      <c r="DN69" s="906"/>
      <c r="DO69" s="906"/>
      <c r="DP69" s="906"/>
      <c r="DQ69" s="906"/>
      <c r="DR69" s="906"/>
      <c r="DS69" s="906"/>
    </row>
    <row r="70" spans="1:123" s="854" customFormat="1" ht="16.5" customHeight="1">
      <c r="A70" s="891"/>
      <c r="B70" s="771"/>
      <c r="C70" s="769"/>
      <c r="D70" s="892"/>
      <c r="E70" s="893"/>
      <c r="F70" s="894"/>
      <c r="G70" s="771"/>
      <c r="H70" s="894"/>
      <c r="I70" s="895"/>
      <c r="J70" s="895"/>
      <c r="K70" s="893"/>
      <c r="L70" s="893"/>
      <c r="M70" s="893"/>
      <c r="N70" s="893"/>
      <c r="O70" s="893"/>
      <c r="P70" s="893"/>
      <c r="Q70" s="893"/>
      <c r="R70" s="906"/>
      <c r="S70" s="899"/>
      <c r="T70" s="906"/>
      <c r="U70" s="906"/>
      <c r="V70" s="906"/>
      <c r="W70" s="906"/>
      <c r="X70" s="906"/>
      <c r="Y70" s="906"/>
      <c r="Z70" s="906"/>
      <c r="AA70" s="906"/>
      <c r="AB70" s="906"/>
      <c r="AC70" s="906"/>
      <c r="AD70" s="906"/>
      <c r="AE70" s="906"/>
      <c r="AF70" s="906"/>
      <c r="AG70" s="906"/>
      <c r="AH70" s="906"/>
      <c r="AI70" s="906"/>
      <c r="AJ70" s="906"/>
      <c r="AK70" s="906"/>
      <c r="AL70" s="906"/>
      <c r="AM70" s="906"/>
      <c r="AN70" s="906"/>
      <c r="AO70" s="906"/>
      <c r="AP70" s="906"/>
      <c r="AQ70" s="906"/>
      <c r="AR70" s="906"/>
      <c r="AS70" s="906"/>
      <c r="AT70" s="906"/>
      <c r="AU70" s="906"/>
      <c r="AV70" s="906"/>
      <c r="AW70" s="906"/>
      <c r="AX70" s="906"/>
      <c r="AY70" s="906"/>
      <c r="AZ70" s="906"/>
      <c r="BA70" s="906"/>
      <c r="BB70" s="906"/>
      <c r="BC70" s="906"/>
      <c r="BD70" s="906"/>
      <c r="BE70" s="906"/>
      <c r="BF70" s="906"/>
      <c r="BG70" s="906"/>
      <c r="BH70" s="906"/>
      <c r="BI70" s="906"/>
      <c r="BJ70" s="906"/>
      <c r="BK70" s="906"/>
      <c r="BL70" s="906"/>
      <c r="BM70" s="906"/>
      <c r="BN70" s="906"/>
      <c r="BO70" s="906"/>
      <c r="BP70" s="906"/>
      <c r="BQ70" s="906"/>
      <c r="BR70" s="906"/>
      <c r="BS70" s="906"/>
      <c r="BT70" s="906"/>
      <c r="BU70" s="906"/>
      <c r="BV70" s="906"/>
      <c r="BW70" s="906"/>
      <c r="BX70" s="906"/>
      <c r="BY70" s="906"/>
      <c r="BZ70" s="906"/>
      <c r="CA70" s="906"/>
      <c r="CB70" s="906"/>
      <c r="CC70" s="906"/>
      <c r="CD70" s="906"/>
      <c r="CE70" s="906"/>
      <c r="CF70" s="906"/>
      <c r="CG70" s="906"/>
      <c r="CH70" s="906"/>
      <c r="CI70" s="906"/>
      <c r="CJ70" s="906"/>
      <c r="CK70" s="906"/>
      <c r="CL70" s="906"/>
      <c r="CM70" s="906"/>
      <c r="CN70" s="906"/>
      <c r="CO70" s="906"/>
      <c r="CP70" s="906"/>
      <c r="CQ70" s="906"/>
      <c r="CR70" s="906"/>
      <c r="CS70" s="906"/>
      <c r="CT70" s="906"/>
      <c r="CU70" s="906"/>
      <c r="CV70" s="906"/>
      <c r="CW70" s="906"/>
      <c r="CX70" s="906"/>
      <c r="CY70" s="906"/>
      <c r="CZ70" s="906"/>
      <c r="DA70" s="906"/>
      <c r="DB70" s="906"/>
      <c r="DC70" s="906"/>
      <c r="DD70" s="906"/>
      <c r="DE70" s="906"/>
      <c r="DF70" s="906"/>
      <c r="DG70" s="906"/>
      <c r="DH70" s="906"/>
      <c r="DI70" s="906"/>
      <c r="DJ70" s="906"/>
      <c r="DK70" s="906"/>
      <c r="DL70" s="906"/>
      <c r="DM70" s="906"/>
      <c r="DN70" s="906"/>
      <c r="DO70" s="906"/>
      <c r="DP70" s="906"/>
      <c r="DQ70" s="906"/>
      <c r="DR70" s="906"/>
      <c r="DS70" s="906"/>
    </row>
    <row r="71" spans="1:123" s="854" customFormat="1" ht="16.5" customHeight="1">
      <c r="A71" s="891"/>
      <c r="B71" s="771"/>
      <c r="C71" s="769"/>
      <c r="D71" s="892"/>
      <c r="E71" s="893"/>
      <c r="F71" s="894"/>
      <c r="G71" s="771"/>
      <c r="H71" s="894"/>
      <c r="I71" s="895"/>
      <c r="J71" s="895"/>
      <c r="K71" s="893"/>
      <c r="L71" s="893"/>
      <c r="M71" s="893"/>
      <c r="N71" s="893"/>
      <c r="O71" s="893"/>
      <c r="P71" s="893"/>
      <c r="Q71" s="893"/>
      <c r="R71" s="906"/>
      <c r="S71" s="899"/>
      <c r="T71" s="906"/>
      <c r="U71" s="906"/>
      <c r="V71" s="906"/>
      <c r="W71" s="906"/>
      <c r="X71" s="906"/>
      <c r="Y71" s="906"/>
      <c r="Z71" s="906"/>
      <c r="AA71" s="906"/>
      <c r="AB71" s="906"/>
      <c r="AC71" s="906"/>
      <c r="AD71" s="906"/>
      <c r="AE71" s="906"/>
      <c r="AF71" s="906"/>
      <c r="AG71" s="906"/>
      <c r="AH71" s="906"/>
      <c r="AI71" s="906"/>
      <c r="AJ71" s="906"/>
      <c r="AK71" s="906"/>
      <c r="AL71" s="906"/>
      <c r="AM71" s="906"/>
      <c r="AN71" s="906"/>
      <c r="AO71" s="906"/>
      <c r="AP71" s="906"/>
      <c r="AQ71" s="906"/>
      <c r="AR71" s="906"/>
      <c r="AS71" s="906"/>
      <c r="AT71" s="906"/>
      <c r="AU71" s="906"/>
      <c r="AV71" s="906"/>
      <c r="AW71" s="906"/>
      <c r="AX71" s="906"/>
      <c r="AY71" s="906"/>
      <c r="AZ71" s="906"/>
      <c r="BA71" s="906"/>
      <c r="BB71" s="906"/>
      <c r="BC71" s="906"/>
      <c r="BD71" s="906"/>
      <c r="BE71" s="906"/>
      <c r="BF71" s="906"/>
      <c r="BG71" s="906"/>
      <c r="BH71" s="906"/>
      <c r="BI71" s="906"/>
      <c r="BJ71" s="906"/>
      <c r="BK71" s="906"/>
      <c r="BL71" s="906"/>
      <c r="BM71" s="906"/>
      <c r="BN71" s="906"/>
      <c r="BO71" s="906"/>
      <c r="BP71" s="906"/>
      <c r="BQ71" s="906"/>
      <c r="BR71" s="906"/>
      <c r="BS71" s="906"/>
      <c r="BT71" s="906"/>
      <c r="BU71" s="906"/>
      <c r="BV71" s="906"/>
      <c r="BW71" s="906"/>
      <c r="BX71" s="906"/>
      <c r="BY71" s="906"/>
      <c r="BZ71" s="906"/>
      <c r="CA71" s="906"/>
      <c r="CB71" s="906"/>
      <c r="CC71" s="906"/>
      <c r="CD71" s="906"/>
      <c r="CE71" s="906"/>
      <c r="CF71" s="906"/>
      <c r="CG71" s="906"/>
      <c r="CH71" s="906"/>
      <c r="CI71" s="906"/>
      <c r="CJ71" s="906"/>
      <c r="CK71" s="906"/>
      <c r="CL71" s="906"/>
      <c r="CM71" s="906"/>
      <c r="CN71" s="906"/>
      <c r="CO71" s="906"/>
      <c r="CP71" s="906"/>
      <c r="CQ71" s="906"/>
      <c r="CR71" s="906"/>
      <c r="CS71" s="906"/>
      <c r="CT71" s="906"/>
      <c r="CU71" s="906"/>
      <c r="CV71" s="906"/>
      <c r="CW71" s="906"/>
      <c r="CX71" s="906"/>
      <c r="CY71" s="906"/>
      <c r="CZ71" s="906"/>
      <c r="DA71" s="906"/>
      <c r="DB71" s="906"/>
      <c r="DC71" s="906"/>
      <c r="DD71" s="906"/>
      <c r="DE71" s="906"/>
      <c r="DF71" s="906"/>
      <c r="DG71" s="906"/>
      <c r="DH71" s="906"/>
      <c r="DI71" s="906"/>
      <c r="DJ71" s="906"/>
      <c r="DK71" s="906"/>
      <c r="DL71" s="906"/>
      <c r="DM71" s="906"/>
      <c r="DN71" s="906"/>
      <c r="DO71" s="906"/>
      <c r="DP71" s="906"/>
      <c r="DQ71" s="906"/>
      <c r="DR71" s="906"/>
      <c r="DS71" s="906"/>
    </row>
    <row r="72" spans="1:123" s="854" customFormat="1" ht="16.5" customHeight="1">
      <c r="A72" s="891"/>
      <c r="B72" s="771"/>
      <c r="C72" s="769"/>
      <c r="D72" s="892"/>
      <c r="E72" s="893"/>
      <c r="F72" s="894"/>
      <c r="G72" s="771"/>
      <c r="H72" s="894"/>
      <c r="I72" s="895"/>
      <c r="J72" s="895"/>
      <c r="K72" s="893"/>
      <c r="L72" s="893"/>
      <c r="M72" s="893"/>
      <c r="N72" s="893"/>
      <c r="O72" s="893"/>
      <c r="P72" s="893"/>
      <c r="Q72" s="893"/>
      <c r="R72" s="906"/>
      <c r="S72" s="899"/>
      <c r="T72" s="906"/>
      <c r="U72" s="906"/>
      <c r="V72" s="906"/>
      <c r="W72" s="906"/>
      <c r="X72" s="906"/>
      <c r="Y72" s="906"/>
      <c r="Z72" s="906"/>
      <c r="AA72" s="906"/>
      <c r="AB72" s="906"/>
      <c r="AC72" s="906"/>
      <c r="AD72" s="906"/>
      <c r="AE72" s="906"/>
      <c r="AF72" s="906"/>
      <c r="AG72" s="906"/>
      <c r="AH72" s="906"/>
      <c r="AI72" s="906"/>
      <c r="AJ72" s="906"/>
      <c r="AK72" s="906"/>
      <c r="AL72" s="906"/>
      <c r="AM72" s="906"/>
      <c r="AN72" s="906"/>
      <c r="AO72" s="906"/>
      <c r="AP72" s="906"/>
      <c r="AQ72" s="906"/>
      <c r="AR72" s="906"/>
      <c r="AS72" s="906"/>
      <c r="AT72" s="906"/>
      <c r="AU72" s="906"/>
      <c r="AV72" s="906"/>
      <c r="AW72" s="906"/>
      <c r="AX72" s="906"/>
      <c r="AY72" s="906"/>
      <c r="AZ72" s="906"/>
      <c r="BA72" s="906"/>
      <c r="BB72" s="906"/>
      <c r="BC72" s="906"/>
      <c r="BD72" s="906"/>
      <c r="BE72" s="906"/>
      <c r="BF72" s="906"/>
      <c r="BG72" s="906"/>
      <c r="BH72" s="906"/>
      <c r="BI72" s="906"/>
      <c r="BJ72" s="906"/>
      <c r="BK72" s="906"/>
      <c r="BL72" s="906"/>
      <c r="BM72" s="906"/>
      <c r="BN72" s="906"/>
      <c r="BO72" s="906"/>
      <c r="BP72" s="906"/>
      <c r="BQ72" s="906"/>
      <c r="BR72" s="906"/>
      <c r="BS72" s="906"/>
      <c r="BT72" s="906"/>
      <c r="BU72" s="906"/>
      <c r="BV72" s="906"/>
      <c r="BW72" s="906"/>
      <c r="BX72" s="906"/>
      <c r="BY72" s="906"/>
      <c r="BZ72" s="906"/>
      <c r="CA72" s="906"/>
      <c r="CB72" s="906"/>
      <c r="CC72" s="906"/>
      <c r="CD72" s="906"/>
      <c r="CE72" s="906"/>
      <c r="CF72" s="906"/>
      <c r="CG72" s="906"/>
      <c r="CH72" s="906"/>
      <c r="CI72" s="906"/>
      <c r="CJ72" s="906"/>
      <c r="CK72" s="906"/>
      <c r="CL72" s="906"/>
      <c r="CM72" s="906"/>
      <c r="CN72" s="906"/>
      <c r="CO72" s="906"/>
      <c r="CP72" s="906"/>
      <c r="CQ72" s="906"/>
      <c r="CR72" s="906"/>
      <c r="CS72" s="906"/>
      <c r="CT72" s="906"/>
      <c r="CU72" s="906"/>
      <c r="CV72" s="906"/>
      <c r="CW72" s="906"/>
      <c r="CX72" s="906"/>
      <c r="CY72" s="906"/>
      <c r="CZ72" s="906"/>
      <c r="DA72" s="906"/>
      <c r="DB72" s="906"/>
      <c r="DC72" s="906"/>
      <c r="DD72" s="906"/>
      <c r="DE72" s="906"/>
      <c r="DF72" s="906"/>
      <c r="DG72" s="906"/>
      <c r="DH72" s="906"/>
      <c r="DI72" s="906"/>
      <c r="DJ72" s="906"/>
      <c r="DK72" s="906"/>
      <c r="DL72" s="906"/>
      <c r="DM72" s="906"/>
      <c r="DN72" s="906"/>
      <c r="DO72" s="906"/>
      <c r="DP72" s="906"/>
      <c r="DQ72" s="906"/>
      <c r="DR72" s="906"/>
      <c r="DS72" s="906"/>
    </row>
    <row r="73" spans="1:123" s="854" customFormat="1" ht="16.5" customHeight="1">
      <c r="A73" s="891"/>
      <c r="B73" s="771"/>
      <c r="C73" s="769"/>
      <c r="D73" s="892"/>
      <c r="E73" s="893"/>
      <c r="F73" s="894"/>
      <c r="G73" s="771"/>
      <c r="H73" s="894"/>
      <c r="I73" s="895"/>
      <c r="J73" s="895"/>
      <c r="K73" s="893"/>
      <c r="L73" s="893"/>
      <c r="M73" s="893"/>
      <c r="N73" s="893"/>
      <c r="O73" s="893"/>
      <c r="P73" s="893"/>
      <c r="Q73" s="893"/>
      <c r="R73" s="906"/>
      <c r="S73" s="899"/>
      <c r="T73" s="906"/>
      <c r="U73" s="906"/>
      <c r="V73" s="906"/>
      <c r="W73" s="906"/>
      <c r="X73" s="906"/>
      <c r="Y73" s="906"/>
      <c r="Z73" s="906"/>
      <c r="AA73" s="906"/>
      <c r="AB73" s="906"/>
      <c r="AC73" s="906"/>
      <c r="AD73" s="906"/>
      <c r="AE73" s="906"/>
      <c r="AF73" s="906"/>
      <c r="AG73" s="906"/>
      <c r="AH73" s="906"/>
      <c r="AI73" s="906"/>
      <c r="AJ73" s="906"/>
      <c r="AK73" s="906"/>
      <c r="AL73" s="906"/>
      <c r="AM73" s="906"/>
      <c r="AN73" s="906"/>
      <c r="AO73" s="906"/>
      <c r="AP73" s="906"/>
      <c r="AQ73" s="906"/>
      <c r="AR73" s="906"/>
      <c r="AS73" s="906"/>
      <c r="AT73" s="906"/>
      <c r="AU73" s="906"/>
      <c r="AV73" s="906"/>
      <c r="AW73" s="906"/>
      <c r="AX73" s="906"/>
      <c r="AY73" s="906"/>
      <c r="AZ73" s="906"/>
      <c r="BA73" s="906"/>
      <c r="BB73" s="906"/>
      <c r="BC73" s="906"/>
      <c r="BD73" s="906"/>
      <c r="BE73" s="906"/>
      <c r="BF73" s="906"/>
      <c r="BG73" s="906"/>
      <c r="BH73" s="906"/>
      <c r="BI73" s="906"/>
      <c r="BJ73" s="906"/>
      <c r="BK73" s="906"/>
      <c r="BL73" s="906"/>
      <c r="BM73" s="906"/>
      <c r="BN73" s="906"/>
      <c r="BO73" s="906"/>
      <c r="BP73" s="906"/>
      <c r="BQ73" s="906"/>
      <c r="BR73" s="906"/>
      <c r="BS73" s="906"/>
      <c r="BT73" s="906"/>
      <c r="BU73" s="906"/>
      <c r="BV73" s="906"/>
      <c r="BW73" s="906"/>
      <c r="BX73" s="906"/>
      <c r="BY73" s="906"/>
      <c r="BZ73" s="906"/>
      <c r="CA73" s="906"/>
      <c r="CB73" s="906"/>
      <c r="CC73" s="906"/>
      <c r="CD73" s="906"/>
      <c r="CE73" s="906"/>
      <c r="CF73" s="906"/>
      <c r="CG73" s="906"/>
      <c r="CH73" s="906"/>
      <c r="CI73" s="906"/>
      <c r="CJ73" s="906"/>
      <c r="CK73" s="906"/>
      <c r="CL73" s="906"/>
      <c r="CM73" s="906"/>
      <c r="CN73" s="906"/>
      <c r="CO73" s="906"/>
      <c r="CP73" s="906"/>
      <c r="CQ73" s="906"/>
      <c r="CR73" s="906"/>
      <c r="CS73" s="906"/>
      <c r="CT73" s="906"/>
      <c r="CU73" s="906"/>
      <c r="CV73" s="906"/>
      <c r="CW73" s="906"/>
      <c r="CX73" s="906"/>
      <c r="CY73" s="906"/>
      <c r="CZ73" s="906"/>
      <c r="DA73" s="906"/>
      <c r="DB73" s="906"/>
      <c r="DC73" s="906"/>
      <c r="DD73" s="906"/>
      <c r="DE73" s="906"/>
      <c r="DF73" s="906"/>
      <c r="DG73" s="906"/>
      <c r="DH73" s="906"/>
      <c r="DI73" s="906"/>
      <c r="DJ73" s="906"/>
      <c r="DK73" s="906"/>
      <c r="DL73" s="906"/>
      <c r="DM73" s="906"/>
      <c r="DN73" s="906"/>
      <c r="DO73" s="906"/>
      <c r="DP73" s="906"/>
      <c r="DQ73" s="906"/>
      <c r="DR73" s="906"/>
      <c r="DS73" s="906"/>
    </row>
    <row r="74" spans="1:123" s="854" customFormat="1" ht="16.5" customHeight="1">
      <c r="A74" s="891"/>
      <c r="B74" s="771"/>
      <c r="C74" s="769"/>
      <c r="D74" s="892"/>
      <c r="E74" s="893"/>
      <c r="F74" s="894"/>
      <c r="G74" s="771"/>
      <c r="H74" s="894"/>
      <c r="I74" s="895"/>
      <c r="J74" s="895"/>
      <c r="K74" s="893"/>
      <c r="L74" s="893"/>
      <c r="M74" s="893"/>
      <c r="N74" s="893"/>
      <c r="O74" s="893"/>
      <c r="P74" s="893"/>
      <c r="Q74" s="893"/>
      <c r="R74" s="906"/>
      <c r="S74" s="899"/>
      <c r="T74" s="906"/>
      <c r="U74" s="906"/>
      <c r="V74" s="906"/>
      <c r="W74" s="906"/>
      <c r="X74" s="906"/>
      <c r="Y74" s="906"/>
      <c r="Z74" s="906"/>
      <c r="AA74" s="906"/>
      <c r="AB74" s="906"/>
      <c r="AC74" s="906"/>
      <c r="AD74" s="906"/>
      <c r="AE74" s="906"/>
      <c r="AF74" s="906"/>
      <c r="AG74" s="906"/>
      <c r="AH74" s="906"/>
      <c r="AI74" s="906"/>
      <c r="AJ74" s="906"/>
      <c r="AK74" s="906"/>
      <c r="AL74" s="906"/>
      <c r="AM74" s="906"/>
      <c r="AN74" s="906"/>
      <c r="AO74" s="906"/>
      <c r="AP74" s="906"/>
      <c r="AQ74" s="906"/>
      <c r="AR74" s="906"/>
      <c r="AS74" s="906"/>
      <c r="AT74" s="906"/>
      <c r="AU74" s="906"/>
      <c r="AV74" s="906"/>
      <c r="AW74" s="906"/>
      <c r="AX74" s="906"/>
      <c r="AY74" s="906"/>
      <c r="AZ74" s="906"/>
      <c r="BA74" s="906"/>
      <c r="BB74" s="906"/>
      <c r="BC74" s="906"/>
      <c r="BD74" s="906"/>
      <c r="BE74" s="906"/>
      <c r="BF74" s="906"/>
      <c r="BG74" s="906"/>
      <c r="BH74" s="906"/>
      <c r="BI74" s="906"/>
      <c r="BJ74" s="906"/>
      <c r="BK74" s="906"/>
      <c r="BL74" s="906"/>
      <c r="BM74" s="906"/>
      <c r="BN74" s="906"/>
      <c r="BO74" s="906"/>
      <c r="BP74" s="906"/>
      <c r="BQ74" s="906"/>
      <c r="BR74" s="906"/>
      <c r="BS74" s="906"/>
      <c r="BT74" s="906"/>
      <c r="BU74" s="906"/>
      <c r="BV74" s="906"/>
      <c r="BW74" s="906"/>
      <c r="BX74" s="906"/>
      <c r="BY74" s="906"/>
      <c r="BZ74" s="906"/>
      <c r="CA74" s="906"/>
      <c r="CB74" s="906"/>
      <c r="CC74" s="906"/>
      <c r="CD74" s="906"/>
      <c r="CE74" s="906"/>
      <c r="CF74" s="906"/>
      <c r="CG74" s="906"/>
      <c r="CH74" s="906"/>
      <c r="CI74" s="906"/>
      <c r="CJ74" s="906"/>
      <c r="CK74" s="906"/>
      <c r="CL74" s="906"/>
      <c r="CM74" s="906"/>
      <c r="CN74" s="906"/>
      <c r="CO74" s="906"/>
      <c r="CP74" s="906"/>
      <c r="CQ74" s="906"/>
      <c r="CR74" s="906"/>
      <c r="CS74" s="906"/>
      <c r="CT74" s="906"/>
      <c r="CU74" s="906"/>
      <c r="CV74" s="906"/>
      <c r="CW74" s="906"/>
      <c r="CX74" s="906"/>
      <c r="CY74" s="906"/>
      <c r="CZ74" s="906"/>
      <c r="DA74" s="906"/>
      <c r="DB74" s="906"/>
      <c r="DC74" s="906"/>
      <c r="DD74" s="906"/>
      <c r="DE74" s="906"/>
      <c r="DF74" s="906"/>
      <c r="DG74" s="906"/>
      <c r="DH74" s="906"/>
      <c r="DI74" s="906"/>
      <c r="DJ74" s="906"/>
      <c r="DK74" s="906"/>
      <c r="DL74" s="906"/>
      <c r="DM74" s="906"/>
      <c r="DN74" s="906"/>
      <c r="DO74" s="906"/>
      <c r="DP74" s="906"/>
      <c r="DQ74" s="906"/>
      <c r="DR74" s="906"/>
      <c r="DS74" s="906"/>
    </row>
    <row r="75" spans="1:123" s="854" customFormat="1" ht="16.5" customHeight="1">
      <c r="A75" s="891"/>
      <c r="B75" s="771"/>
      <c r="C75" s="769"/>
      <c r="D75" s="892"/>
      <c r="E75" s="893"/>
      <c r="F75" s="894"/>
      <c r="G75" s="771"/>
      <c r="H75" s="894"/>
      <c r="I75" s="895"/>
      <c r="J75" s="895"/>
      <c r="K75" s="893"/>
      <c r="L75" s="893"/>
      <c r="M75" s="893"/>
      <c r="N75" s="893"/>
      <c r="O75" s="893"/>
      <c r="P75" s="893"/>
      <c r="Q75" s="893"/>
      <c r="R75" s="906"/>
      <c r="S75" s="899"/>
      <c r="T75" s="906"/>
      <c r="U75" s="906"/>
      <c r="V75" s="906"/>
      <c r="W75" s="906"/>
      <c r="X75" s="906"/>
      <c r="Y75" s="906"/>
      <c r="Z75" s="906"/>
      <c r="AA75" s="906"/>
      <c r="AB75" s="906"/>
      <c r="AC75" s="906"/>
      <c r="AD75" s="906"/>
      <c r="AE75" s="906"/>
      <c r="AF75" s="906"/>
      <c r="AG75" s="906"/>
      <c r="AH75" s="906"/>
      <c r="AI75" s="906"/>
      <c r="AJ75" s="906"/>
      <c r="AK75" s="906"/>
      <c r="AL75" s="906"/>
      <c r="AM75" s="906"/>
      <c r="AN75" s="906"/>
      <c r="AO75" s="906"/>
      <c r="AP75" s="906"/>
      <c r="AQ75" s="906"/>
      <c r="AR75" s="906"/>
      <c r="AS75" s="906"/>
      <c r="AT75" s="906"/>
      <c r="AU75" s="906"/>
      <c r="AV75" s="906"/>
      <c r="AW75" s="906"/>
      <c r="AX75" s="906"/>
      <c r="AY75" s="906"/>
      <c r="AZ75" s="906"/>
      <c r="BA75" s="906"/>
      <c r="BB75" s="906"/>
      <c r="BC75" s="906"/>
      <c r="BD75" s="906"/>
      <c r="BE75" s="906"/>
      <c r="BF75" s="906"/>
      <c r="BG75" s="906"/>
      <c r="BH75" s="906"/>
      <c r="BI75" s="906"/>
      <c r="BJ75" s="906"/>
      <c r="BK75" s="906"/>
      <c r="BL75" s="906"/>
      <c r="BM75" s="906"/>
      <c r="BN75" s="906"/>
      <c r="BO75" s="906"/>
      <c r="BP75" s="906"/>
      <c r="BQ75" s="906"/>
      <c r="BR75" s="906"/>
      <c r="BS75" s="906"/>
      <c r="BT75" s="906"/>
      <c r="BU75" s="906"/>
      <c r="BV75" s="906"/>
      <c r="BW75" s="906"/>
      <c r="BX75" s="906"/>
      <c r="BY75" s="906"/>
      <c r="BZ75" s="906"/>
      <c r="CA75" s="906"/>
      <c r="CB75" s="906"/>
      <c r="CC75" s="906"/>
      <c r="CD75" s="906"/>
      <c r="CE75" s="906"/>
      <c r="CF75" s="906"/>
      <c r="CG75" s="906"/>
      <c r="CH75" s="906"/>
      <c r="CI75" s="906"/>
      <c r="CJ75" s="906"/>
      <c r="CK75" s="906"/>
      <c r="CL75" s="906"/>
      <c r="CM75" s="906"/>
      <c r="CN75" s="906"/>
      <c r="CO75" s="906"/>
      <c r="CP75" s="906"/>
      <c r="CQ75" s="906"/>
      <c r="CR75" s="906"/>
      <c r="CS75" s="906"/>
      <c r="CT75" s="906"/>
      <c r="CU75" s="906"/>
      <c r="CV75" s="906"/>
      <c r="CW75" s="906"/>
      <c r="CX75" s="906"/>
      <c r="CY75" s="906"/>
      <c r="CZ75" s="906"/>
      <c r="DA75" s="906"/>
      <c r="DB75" s="906"/>
      <c r="DC75" s="906"/>
      <c r="DD75" s="906"/>
      <c r="DE75" s="906"/>
      <c r="DF75" s="906"/>
      <c r="DG75" s="906"/>
      <c r="DH75" s="906"/>
      <c r="DI75" s="906"/>
      <c r="DJ75" s="906"/>
      <c r="DK75" s="906"/>
      <c r="DL75" s="906"/>
      <c r="DM75" s="906"/>
      <c r="DN75" s="906"/>
      <c r="DO75" s="906"/>
      <c r="DP75" s="906"/>
      <c r="DQ75" s="906"/>
      <c r="DR75" s="906"/>
      <c r="DS75" s="906"/>
    </row>
    <row r="76" spans="1:123" s="854" customFormat="1" ht="16.5" customHeight="1">
      <c r="A76" s="891"/>
      <c r="B76" s="771"/>
      <c r="C76" s="769"/>
      <c r="D76" s="892"/>
      <c r="E76" s="893"/>
      <c r="F76" s="894"/>
      <c r="G76" s="771"/>
      <c r="H76" s="894"/>
      <c r="I76" s="895"/>
      <c r="J76" s="895"/>
      <c r="K76" s="893"/>
      <c r="L76" s="893"/>
      <c r="M76" s="893"/>
      <c r="N76" s="893"/>
      <c r="O76" s="893"/>
      <c r="P76" s="893"/>
      <c r="Q76" s="893"/>
      <c r="R76" s="906"/>
      <c r="S76" s="899"/>
      <c r="T76" s="906"/>
      <c r="U76" s="906"/>
      <c r="V76" s="906"/>
      <c r="W76" s="906"/>
      <c r="X76" s="906"/>
      <c r="Y76" s="906"/>
      <c r="Z76" s="906"/>
      <c r="AA76" s="906"/>
      <c r="AB76" s="906"/>
      <c r="AC76" s="906"/>
      <c r="AD76" s="906"/>
      <c r="AE76" s="906"/>
      <c r="AF76" s="906"/>
      <c r="AG76" s="906"/>
      <c r="AH76" s="906"/>
      <c r="AI76" s="906"/>
      <c r="AJ76" s="906"/>
      <c r="AK76" s="906"/>
      <c r="AL76" s="906"/>
      <c r="AM76" s="906"/>
      <c r="AN76" s="906"/>
      <c r="AO76" s="906"/>
      <c r="AP76" s="906"/>
      <c r="AQ76" s="906"/>
      <c r="AR76" s="906"/>
      <c r="AS76" s="906"/>
      <c r="AT76" s="906"/>
      <c r="AU76" s="906"/>
      <c r="AV76" s="906"/>
      <c r="AW76" s="906"/>
      <c r="AX76" s="906"/>
      <c r="AY76" s="906"/>
      <c r="AZ76" s="906"/>
      <c r="BA76" s="906"/>
      <c r="BB76" s="906"/>
      <c r="BC76" s="906"/>
      <c r="BD76" s="906"/>
      <c r="BE76" s="906"/>
      <c r="BF76" s="906"/>
      <c r="BG76" s="906"/>
      <c r="BH76" s="906"/>
      <c r="BI76" s="906"/>
      <c r="BJ76" s="906"/>
      <c r="BK76" s="906"/>
      <c r="BL76" s="906"/>
      <c r="BM76" s="906"/>
      <c r="BN76" s="906"/>
      <c r="BO76" s="906"/>
      <c r="BP76" s="906"/>
      <c r="BQ76" s="906"/>
      <c r="BR76" s="906"/>
      <c r="BS76" s="906"/>
      <c r="BT76" s="906"/>
      <c r="BU76" s="906"/>
      <c r="BV76" s="906"/>
      <c r="BW76" s="906"/>
      <c r="BX76" s="906"/>
      <c r="BY76" s="906"/>
      <c r="BZ76" s="906"/>
      <c r="CA76" s="906"/>
      <c r="CB76" s="906"/>
      <c r="CC76" s="906"/>
      <c r="CD76" s="906"/>
      <c r="CE76" s="906"/>
      <c r="CF76" s="906"/>
      <c r="CG76" s="906"/>
      <c r="CH76" s="906"/>
      <c r="CI76" s="906"/>
      <c r="CJ76" s="906"/>
      <c r="CK76" s="906"/>
      <c r="CL76" s="906"/>
      <c r="CM76" s="906"/>
      <c r="CN76" s="906"/>
      <c r="CO76" s="906"/>
      <c r="CP76" s="906"/>
      <c r="CQ76" s="906"/>
      <c r="CR76" s="906"/>
      <c r="CS76" s="906"/>
      <c r="CT76" s="906"/>
      <c r="CU76" s="906"/>
      <c r="CV76" s="906"/>
      <c r="CW76" s="906"/>
      <c r="CX76" s="906"/>
      <c r="CY76" s="906"/>
      <c r="CZ76" s="906"/>
      <c r="DA76" s="906"/>
      <c r="DB76" s="906"/>
      <c r="DC76" s="906"/>
      <c r="DD76" s="906"/>
      <c r="DE76" s="906"/>
      <c r="DF76" s="906"/>
      <c r="DG76" s="906"/>
      <c r="DH76" s="906"/>
      <c r="DI76" s="906"/>
      <c r="DJ76" s="906"/>
      <c r="DK76" s="906"/>
      <c r="DL76" s="906"/>
      <c r="DM76" s="906"/>
      <c r="DN76" s="906"/>
      <c r="DO76" s="906"/>
      <c r="DP76" s="906"/>
      <c r="DQ76" s="906"/>
      <c r="DR76" s="906"/>
      <c r="DS76" s="906"/>
    </row>
    <row r="77" spans="1:123" s="854" customFormat="1" ht="16.5" customHeight="1">
      <c r="A77" s="891"/>
      <c r="B77" s="771"/>
      <c r="C77" s="769"/>
      <c r="D77" s="892"/>
      <c r="E77" s="893"/>
      <c r="F77" s="894"/>
      <c r="G77" s="771"/>
      <c r="H77" s="894"/>
      <c r="I77" s="895"/>
      <c r="J77" s="895"/>
      <c r="K77" s="893"/>
      <c r="L77" s="893"/>
      <c r="M77" s="893"/>
      <c r="N77" s="893"/>
      <c r="O77" s="893"/>
      <c r="P77" s="893"/>
      <c r="Q77" s="893"/>
      <c r="R77" s="906"/>
      <c r="S77" s="899"/>
      <c r="T77" s="906"/>
      <c r="U77" s="906"/>
      <c r="V77" s="906"/>
      <c r="W77" s="906"/>
      <c r="X77" s="906"/>
      <c r="Y77" s="906"/>
      <c r="Z77" s="906"/>
      <c r="AA77" s="906"/>
      <c r="AB77" s="906"/>
      <c r="AC77" s="906"/>
      <c r="AD77" s="906"/>
      <c r="AE77" s="906"/>
      <c r="AF77" s="906"/>
      <c r="AG77" s="906"/>
      <c r="AH77" s="906"/>
      <c r="AI77" s="906"/>
      <c r="AJ77" s="906"/>
      <c r="AK77" s="906"/>
      <c r="AL77" s="906"/>
      <c r="AM77" s="906"/>
      <c r="AN77" s="906"/>
      <c r="AO77" s="906"/>
      <c r="AP77" s="906"/>
      <c r="AQ77" s="906"/>
      <c r="AR77" s="906"/>
      <c r="AS77" s="906"/>
      <c r="AT77" s="906"/>
      <c r="AU77" s="906"/>
      <c r="AV77" s="906"/>
      <c r="AW77" s="906"/>
      <c r="AX77" s="906"/>
      <c r="AY77" s="906"/>
      <c r="AZ77" s="906"/>
      <c r="BA77" s="906"/>
      <c r="BB77" s="906"/>
      <c r="BC77" s="906"/>
      <c r="BD77" s="906"/>
      <c r="BE77" s="906"/>
      <c r="BF77" s="906"/>
      <c r="BG77" s="906"/>
      <c r="BH77" s="906"/>
      <c r="BI77" s="906"/>
      <c r="BJ77" s="906"/>
      <c r="BK77" s="906"/>
      <c r="BL77" s="906"/>
      <c r="BM77" s="906"/>
      <c r="BN77" s="906"/>
      <c r="BO77" s="906"/>
      <c r="BP77" s="906"/>
      <c r="BQ77" s="906"/>
      <c r="BR77" s="906"/>
      <c r="BS77" s="906"/>
      <c r="BT77" s="906"/>
      <c r="BU77" s="906"/>
      <c r="BV77" s="906"/>
      <c r="BW77" s="906"/>
      <c r="BX77" s="906"/>
      <c r="BY77" s="906"/>
      <c r="BZ77" s="906"/>
      <c r="CA77" s="906"/>
      <c r="CB77" s="906"/>
      <c r="CC77" s="906"/>
      <c r="CD77" s="906"/>
      <c r="CE77" s="906"/>
      <c r="CF77" s="906"/>
      <c r="CG77" s="906"/>
      <c r="CH77" s="906"/>
      <c r="CI77" s="906"/>
      <c r="CJ77" s="906"/>
      <c r="CK77" s="906"/>
      <c r="CL77" s="906"/>
      <c r="CM77" s="906"/>
      <c r="CN77" s="906"/>
      <c r="CO77" s="906"/>
      <c r="CP77" s="906"/>
      <c r="CQ77" s="906"/>
      <c r="CR77" s="906"/>
      <c r="CS77" s="906"/>
      <c r="CT77" s="906"/>
      <c r="CU77" s="906"/>
      <c r="CV77" s="906"/>
      <c r="CW77" s="906"/>
      <c r="CX77" s="906"/>
      <c r="CY77" s="906"/>
      <c r="CZ77" s="906"/>
      <c r="DA77" s="906"/>
      <c r="DB77" s="906"/>
      <c r="DC77" s="906"/>
      <c r="DD77" s="906"/>
      <c r="DE77" s="906"/>
      <c r="DF77" s="906"/>
      <c r="DG77" s="906"/>
      <c r="DH77" s="906"/>
      <c r="DI77" s="906"/>
      <c r="DJ77" s="906"/>
      <c r="DK77" s="906"/>
      <c r="DL77" s="906"/>
      <c r="DM77" s="906"/>
      <c r="DN77" s="906"/>
      <c r="DO77" s="906"/>
      <c r="DP77" s="906"/>
      <c r="DQ77" s="906"/>
      <c r="DR77" s="906"/>
      <c r="DS77" s="906"/>
    </row>
    <row r="78" spans="1:123" s="854" customFormat="1" ht="16.5" customHeight="1">
      <c r="A78" s="891"/>
      <c r="B78" s="771"/>
      <c r="C78" s="769"/>
      <c r="D78" s="892"/>
      <c r="E78" s="893"/>
      <c r="F78" s="894"/>
      <c r="G78" s="771"/>
      <c r="H78" s="894"/>
      <c r="I78" s="895"/>
      <c r="J78" s="895"/>
      <c r="K78" s="893"/>
      <c r="L78" s="893"/>
      <c r="M78" s="893"/>
      <c r="N78" s="893"/>
      <c r="O78" s="893"/>
      <c r="P78" s="893"/>
      <c r="Q78" s="893"/>
      <c r="R78" s="906"/>
      <c r="S78" s="899"/>
      <c r="T78" s="906"/>
      <c r="U78" s="906"/>
      <c r="V78" s="906"/>
      <c r="W78" s="906"/>
      <c r="X78" s="906"/>
      <c r="Y78" s="906"/>
      <c r="Z78" s="906"/>
      <c r="AA78" s="906"/>
      <c r="AB78" s="906"/>
      <c r="AC78" s="906"/>
      <c r="AD78" s="906"/>
      <c r="AE78" s="906"/>
      <c r="AF78" s="906"/>
      <c r="AG78" s="906"/>
      <c r="AH78" s="906"/>
      <c r="AI78" s="906"/>
      <c r="AJ78" s="906"/>
      <c r="AK78" s="906"/>
      <c r="AL78" s="906"/>
      <c r="AM78" s="906"/>
      <c r="AN78" s="906"/>
      <c r="AO78" s="906"/>
      <c r="AP78" s="906"/>
      <c r="AQ78" s="906"/>
      <c r="AR78" s="906"/>
      <c r="AS78" s="906"/>
      <c r="AT78" s="906"/>
      <c r="AU78" s="906"/>
      <c r="AV78" s="906"/>
      <c r="AW78" s="906"/>
      <c r="AX78" s="906"/>
      <c r="AY78" s="906"/>
      <c r="AZ78" s="906"/>
      <c r="BA78" s="906"/>
      <c r="BB78" s="906"/>
      <c r="BC78" s="906"/>
      <c r="BD78" s="906"/>
      <c r="BE78" s="906"/>
      <c r="BF78" s="906"/>
      <c r="BG78" s="906"/>
      <c r="BH78" s="906"/>
      <c r="BI78" s="906"/>
      <c r="BJ78" s="906"/>
      <c r="BK78" s="906"/>
      <c r="BL78" s="906"/>
      <c r="BM78" s="906"/>
      <c r="BN78" s="906"/>
      <c r="BO78" s="906"/>
      <c r="BP78" s="906"/>
      <c r="BQ78" s="906"/>
      <c r="BR78" s="906"/>
      <c r="BS78" s="906"/>
      <c r="BT78" s="906"/>
      <c r="BU78" s="906"/>
      <c r="BV78" s="906"/>
      <c r="BW78" s="906"/>
      <c r="BX78" s="906"/>
      <c r="BY78" s="906"/>
      <c r="BZ78" s="906"/>
      <c r="CA78" s="906"/>
      <c r="CB78" s="906"/>
      <c r="CC78" s="906"/>
      <c r="CD78" s="906"/>
      <c r="CE78" s="906"/>
      <c r="CF78" s="906"/>
      <c r="CG78" s="906"/>
      <c r="CH78" s="906"/>
      <c r="CI78" s="906"/>
      <c r="CJ78" s="906"/>
      <c r="CK78" s="906"/>
      <c r="CL78" s="906"/>
      <c r="CM78" s="906"/>
      <c r="CN78" s="906"/>
      <c r="CO78" s="906"/>
      <c r="CP78" s="906"/>
      <c r="CQ78" s="906"/>
      <c r="CR78" s="906"/>
      <c r="CS78" s="906"/>
      <c r="CT78" s="906"/>
      <c r="CU78" s="906"/>
      <c r="CV78" s="906"/>
      <c r="CW78" s="906"/>
      <c r="CX78" s="906"/>
      <c r="CY78" s="906"/>
      <c r="CZ78" s="906"/>
      <c r="DA78" s="906"/>
      <c r="DB78" s="906"/>
      <c r="DC78" s="906"/>
      <c r="DD78" s="906"/>
      <c r="DE78" s="906"/>
      <c r="DF78" s="906"/>
      <c r="DG78" s="906"/>
      <c r="DH78" s="906"/>
      <c r="DI78" s="906"/>
      <c r="DJ78" s="906"/>
      <c r="DK78" s="906"/>
      <c r="DL78" s="906"/>
      <c r="DM78" s="906"/>
      <c r="DN78" s="906"/>
      <c r="DO78" s="906"/>
      <c r="DP78" s="906"/>
      <c r="DQ78" s="906"/>
      <c r="DR78" s="906"/>
      <c r="DS78" s="906"/>
    </row>
    <row r="79" spans="1:123" s="854" customFormat="1" ht="16.5" customHeight="1">
      <c r="A79" s="891"/>
      <c r="B79" s="771"/>
      <c r="C79" s="769"/>
      <c r="D79" s="892"/>
      <c r="E79" s="893"/>
      <c r="F79" s="894"/>
      <c r="G79" s="771"/>
      <c r="H79" s="894"/>
      <c r="I79" s="895"/>
      <c r="J79" s="895"/>
      <c r="K79" s="893"/>
      <c r="L79" s="893"/>
      <c r="M79" s="893"/>
      <c r="N79" s="893"/>
      <c r="O79" s="893"/>
      <c r="P79" s="893"/>
      <c r="Q79" s="893"/>
      <c r="R79" s="906"/>
      <c r="S79" s="899"/>
      <c r="T79" s="906"/>
      <c r="U79" s="906"/>
      <c r="V79" s="906"/>
      <c r="W79" s="906"/>
      <c r="X79" s="906"/>
      <c r="Y79" s="906"/>
      <c r="Z79" s="906"/>
      <c r="AA79" s="906"/>
      <c r="AB79" s="906"/>
      <c r="AC79" s="906"/>
      <c r="AD79" s="906"/>
      <c r="AE79" s="906"/>
      <c r="AF79" s="906"/>
      <c r="AG79" s="906"/>
      <c r="AH79" s="906"/>
      <c r="AI79" s="906"/>
      <c r="AJ79" s="906"/>
      <c r="AK79" s="906"/>
      <c r="AL79" s="906"/>
      <c r="AM79" s="906"/>
      <c r="AN79" s="906"/>
      <c r="AO79" s="906"/>
      <c r="AP79" s="906"/>
      <c r="AQ79" s="906"/>
      <c r="AR79" s="906"/>
      <c r="AS79" s="906"/>
      <c r="AT79" s="906"/>
      <c r="AU79" s="906"/>
      <c r="AV79" s="906"/>
      <c r="AW79" s="906"/>
      <c r="AX79" s="906"/>
      <c r="AY79" s="906"/>
      <c r="AZ79" s="906"/>
      <c r="BA79" s="906"/>
      <c r="BB79" s="906"/>
      <c r="BC79" s="906"/>
      <c r="BD79" s="906"/>
      <c r="BE79" s="906"/>
      <c r="BF79" s="906"/>
      <c r="BG79" s="906"/>
      <c r="BH79" s="906"/>
      <c r="BI79" s="906"/>
      <c r="BJ79" s="906"/>
      <c r="BK79" s="906"/>
      <c r="BL79" s="906"/>
      <c r="BM79" s="906"/>
      <c r="BN79" s="906"/>
      <c r="BO79" s="906"/>
      <c r="BP79" s="906"/>
      <c r="BQ79" s="906"/>
      <c r="BR79" s="906"/>
      <c r="BS79" s="906"/>
      <c r="BT79" s="906"/>
      <c r="BU79" s="906"/>
      <c r="BV79" s="906"/>
      <c r="BW79" s="906"/>
      <c r="BX79" s="906"/>
      <c r="BY79" s="906"/>
      <c r="BZ79" s="906"/>
      <c r="CA79" s="906"/>
      <c r="CB79" s="906"/>
      <c r="CC79" s="906"/>
      <c r="CD79" s="906"/>
      <c r="CE79" s="906"/>
      <c r="CF79" s="906"/>
      <c r="CG79" s="906"/>
      <c r="CH79" s="906"/>
      <c r="CI79" s="906"/>
      <c r="CJ79" s="906"/>
      <c r="CK79" s="906"/>
      <c r="CL79" s="906"/>
      <c r="CM79" s="906"/>
      <c r="CN79" s="906"/>
      <c r="CO79" s="906"/>
      <c r="CP79" s="906"/>
      <c r="CQ79" s="906"/>
      <c r="CR79" s="906"/>
      <c r="CS79" s="906"/>
      <c r="CT79" s="906"/>
      <c r="CU79" s="906"/>
      <c r="CV79" s="906"/>
      <c r="CW79" s="906"/>
      <c r="CX79" s="906"/>
      <c r="CY79" s="906"/>
      <c r="CZ79" s="906"/>
      <c r="DA79" s="906"/>
      <c r="DB79" s="906"/>
      <c r="DC79" s="906"/>
      <c r="DD79" s="906"/>
      <c r="DE79" s="906"/>
      <c r="DF79" s="906"/>
      <c r="DG79" s="906"/>
      <c r="DH79" s="906"/>
      <c r="DI79" s="906"/>
      <c r="DJ79" s="906"/>
      <c r="DK79" s="906"/>
      <c r="DL79" s="906"/>
      <c r="DM79" s="906"/>
      <c r="DN79" s="906"/>
      <c r="DO79" s="906"/>
      <c r="DP79" s="906"/>
      <c r="DQ79" s="906"/>
      <c r="DR79" s="906"/>
      <c r="DS79" s="906"/>
    </row>
    <row r="80" spans="1:123" s="854" customFormat="1" ht="16.5" customHeight="1">
      <c r="A80" s="891"/>
      <c r="B80" s="771"/>
      <c r="C80" s="769"/>
      <c r="D80" s="892"/>
      <c r="E80" s="893"/>
      <c r="F80" s="894"/>
      <c r="G80" s="771"/>
      <c r="H80" s="894"/>
      <c r="I80" s="895"/>
      <c r="J80" s="895"/>
      <c r="K80" s="893"/>
      <c r="L80" s="893"/>
      <c r="M80" s="893"/>
      <c r="N80" s="893"/>
      <c r="O80" s="893"/>
      <c r="P80" s="893"/>
      <c r="Q80" s="893"/>
      <c r="R80" s="906"/>
      <c r="S80" s="899"/>
      <c r="T80" s="906"/>
      <c r="U80" s="906"/>
      <c r="V80" s="906"/>
      <c r="W80" s="906"/>
      <c r="X80" s="906"/>
      <c r="Y80" s="906"/>
      <c r="Z80" s="906"/>
      <c r="AA80" s="906"/>
      <c r="AB80" s="906"/>
      <c r="AC80" s="906"/>
      <c r="AD80" s="906"/>
      <c r="AE80" s="906"/>
      <c r="AF80" s="906"/>
      <c r="AG80" s="906"/>
      <c r="AH80" s="906"/>
      <c r="AI80" s="906"/>
      <c r="AJ80" s="906"/>
      <c r="AK80" s="906"/>
      <c r="AL80" s="906"/>
      <c r="AM80" s="906"/>
      <c r="AN80" s="906"/>
      <c r="AO80" s="906"/>
      <c r="AP80" s="906"/>
      <c r="AQ80" s="906"/>
      <c r="AR80" s="906"/>
      <c r="AS80" s="906"/>
      <c r="AT80" s="906"/>
      <c r="AU80" s="906"/>
      <c r="AV80" s="906"/>
      <c r="AW80" s="906"/>
      <c r="AX80" s="906"/>
      <c r="AY80" s="906"/>
      <c r="AZ80" s="906"/>
      <c r="BA80" s="906"/>
      <c r="BB80" s="906"/>
      <c r="BC80" s="906"/>
      <c r="BD80" s="906"/>
      <c r="BE80" s="906"/>
      <c r="BF80" s="906"/>
      <c r="BG80" s="906"/>
      <c r="BH80" s="906"/>
      <c r="BI80" s="906"/>
      <c r="BJ80" s="906"/>
      <c r="BK80" s="906"/>
      <c r="BL80" s="906"/>
      <c r="BM80" s="906"/>
      <c r="BN80" s="906"/>
      <c r="BO80" s="906"/>
      <c r="BP80" s="906"/>
      <c r="BQ80" s="906"/>
      <c r="BR80" s="906"/>
      <c r="BS80" s="906"/>
      <c r="BT80" s="906"/>
      <c r="BU80" s="906"/>
      <c r="BV80" s="906"/>
      <c r="BW80" s="906"/>
      <c r="BX80" s="906"/>
      <c r="BY80" s="906"/>
      <c r="BZ80" s="906"/>
      <c r="CA80" s="906"/>
      <c r="CB80" s="906"/>
      <c r="CC80" s="906"/>
      <c r="CD80" s="906"/>
      <c r="CE80" s="906"/>
      <c r="CF80" s="906"/>
      <c r="CG80" s="906"/>
      <c r="CH80" s="906"/>
      <c r="CI80" s="906"/>
      <c r="CJ80" s="906"/>
      <c r="CK80" s="906"/>
      <c r="CL80" s="906"/>
      <c r="CM80" s="906"/>
      <c r="CN80" s="906"/>
      <c r="CO80" s="906"/>
      <c r="CP80" s="906"/>
      <c r="CQ80" s="906"/>
      <c r="CR80" s="906"/>
      <c r="CS80" s="906"/>
      <c r="CT80" s="906"/>
      <c r="CU80" s="906"/>
      <c r="CV80" s="906"/>
      <c r="CW80" s="906"/>
      <c r="CX80" s="906"/>
      <c r="CY80" s="906"/>
      <c r="CZ80" s="906"/>
      <c r="DA80" s="906"/>
      <c r="DB80" s="906"/>
      <c r="DC80" s="906"/>
      <c r="DD80" s="906"/>
      <c r="DE80" s="906"/>
      <c r="DF80" s="906"/>
      <c r="DG80" s="906"/>
      <c r="DH80" s="906"/>
      <c r="DI80" s="906"/>
      <c r="DJ80" s="906"/>
      <c r="DK80" s="906"/>
      <c r="DL80" s="906"/>
      <c r="DM80" s="906"/>
      <c r="DN80" s="906"/>
      <c r="DO80" s="906"/>
      <c r="DP80" s="906"/>
      <c r="DQ80" s="906"/>
      <c r="DR80" s="906"/>
      <c r="DS80" s="906"/>
    </row>
    <row r="81" spans="1:123" s="854" customFormat="1" ht="16.5" customHeight="1">
      <c r="A81" s="891"/>
      <c r="B81" s="771"/>
      <c r="C81" s="769"/>
      <c r="D81" s="892"/>
      <c r="E81" s="893"/>
      <c r="F81" s="894"/>
      <c r="G81" s="771"/>
      <c r="H81" s="894"/>
      <c r="I81" s="895"/>
      <c r="J81" s="895"/>
      <c r="K81" s="893"/>
      <c r="L81" s="893"/>
      <c r="M81" s="893"/>
      <c r="N81" s="893"/>
      <c r="O81" s="893"/>
      <c r="P81" s="893"/>
      <c r="Q81" s="893"/>
      <c r="R81" s="906"/>
      <c r="S81" s="899"/>
      <c r="T81" s="906"/>
      <c r="U81" s="906"/>
      <c r="V81" s="906"/>
      <c r="W81" s="906"/>
      <c r="X81" s="906"/>
      <c r="Y81" s="906"/>
      <c r="Z81" s="906"/>
      <c r="AA81" s="906"/>
      <c r="AB81" s="906"/>
      <c r="AC81" s="906"/>
      <c r="AD81" s="906"/>
      <c r="AE81" s="906"/>
      <c r="AF81" s="906"/>
      <c r="AG81" s="906"/>
      <c r="AH81" s="906"/>
      <c r="AI81" s="906"/>
      <c r="AJ81" s="906"/>
      <c r="AK81" s="906"/>
      <c r="AL81" s="906"/>
      <c r="AM81" s="906"/>
      <c r="AN81" s="906"/>
      <c r="AO81" s="906"/>
      <c r="AP81" s="906"/>
      <c r="AQ81" s="906"/>
      <c r="AR81" s="906"/>
      <c r="AS81" s="906"/>
      <c r="AT81" s="906"/>
      <c r="AU81" s="906"/>
      <c r="AV81" s="906"/>
      <c r="AW81" s="906"/>
      <c r="AX81" s="906"/>
      <c r="AY81" s="906"/>
      <c r="AZ81" s="906"/>
      <c r="BA81" s="906"/>
      <c r="BB81" s="906"/>
      <c r="BC81" s="906"/>
      <c r="BD81" s="906"/>
      <c r="BE81" s="906"/>
      <c r="BF81" s="906"/>
      <c r="BG81" s="906"/>
      <c r="BH81" s="906"/>
      <c r="BI81" s="906"/>
      <c r="BJ81" s="906"/>
      <c r="BK81" s="906"/>
      <c r="BL81" s="906"/>
      <c r="BM81" s="906"/>
      <c r="BN81" s="906"/>
      <c r="BO81" s="906"/>
      <c r="BP81" s="906"/>
      <c r="BQ81" s="906"/>
      <c r="BR81" s="906"/>
      <c r="BS81" s="906"/>
      <c r="BT81" s="906"/>
      <c r="BU81" s="906"/>
      <c r="BV81" s="906"/>
      <c r="BW81" s="906"/>
      <c r="BX81" s="906"/>
      <c r="BY81" s="906"/>
      <c r="BZ81" s="906"/>
      <c r="CA81" s="906"/>
      <c r="CB81" s="906"/>
      <c r="CC81" s="906"/>
      <c r="CD81" s="906"/>
      <c r="CE81" s="906"/>
      <c r="CF81" s="906"/>
      <c r="CG81" s="906"/>
      <c r="CH81" s="906"/>
      <c r="CI81" s="906"/>
      <c r="CJ81" s="906"/>
      <c r="CK81" s="906"/>
      <c r="CL81" s="906"/>
      <c r="CM81" s="906"/>
      <c r="CN81" s="906"/>
      <c r="CO81" s="906"/>
      <c r="CP81" s="906"/>
      <c r="CQ81" s="906"/>
      <c r="CR81" s="906"/>
      <c r="CS81" s="906"/>
      <c r="CT81" s="906"/>
      <c r="CU81" s="906"/>
      <c r="CV81" s="906"/>
      <c r="CW81" s="906"/>
      <c r="CX81" s="906"/>
      <c r="CY81" s="906"/>
      <c r="CZ81" s="906"/>
      <c r="DA81" s="906"/>
      <c r="DB81" s="906"/>
      <c r="DC81" s="906"/>
      <c r="DD81" s="906"/>
      <c r="DE81" s="906"/>
      <c r="DF81" s="906"/>
      <c r="DG81" s="906"/>
      <c r="DH81" s="906"/>
      <c r="DI81" s="906"/>
      <c r="DJ81" s="906"/>
      <c r="DK81" s="906"/>
      <c r="DL81" s="906"/>
      <c r="DM81" s="906"/>
      <c r="DN81" s="906"/>
      <c r="DO81" s="906"/>
      <c r="DP81" s="906"/>
      <c r="DQ81" s="906"/>
      <c r="DR81" s="906"/>
      <c r="DS81" s="906"/>
    </row>
    <row r="82" spans="1:123" s="854" customFormat="1" ht="16.5" customHeight="1">
      <c r="A82" s="891"/>
      <c r="B82" s="771"/>
      <c r="C82" s="769"/>
      <c r="D82" s="892"/>
      <c r="E82" s="893"/>
      <c r="F82" s="894"/>
      <c r="G82" s="771"/>
      <c r="H82" s="894"/>
      <c r="I82" s="895"/>
      <c r="J82" s="895"/>
      <c r="K82" s="893"/>
      <c r="L82" s="893"/>
      <c r="M82" s="893"/>
      <c r="N82" s="893"/>
      <c r="O82" s="893"/>
      <c r="P82" s="893"/>
      <c r="Q82" s="893"/>
      <c r="R82" s="906"/>
      <c r="S82" s="899"/>
      <c r="T82" s="906"/>
      <c r="U82" s="906"/>
      <c r="V82" s="906"/>
      <c r="W82" s="906"/>
      <c r="X82" s="906"/>
      <c r="Y82" s="906"/>
      <c r="Z82" s="906"/>
      <c r="AA82" s="906"/>
      <c r="AB82" s="906"/>
      <c r="AC82" s="906"/>
      <c r="AD82" s="906"/>
      <c r="AE82" s="906"/>
      <c r="AF82" s="906"/>
      <c r="AG82" s="906"/>
      <c r="AH82" s="906"/>
      <c r="AI82" s="906"/>
      <c r="AJ82" s="906"/>
      <c r="AK82" s="906"/>
      <c r="AL82" s="906"/>
      <c r="AM82" s="906"/>
      <c r="AN82" s="906"/>
      <c r="AO82" s="906"/>
      <c r="AP82" s="906"/>
      <c r="AQ82" s="906"/>
      <c r="AR82" s="906"/>
      <c r="AS82" s="906"/>
      <c r="AT82" s="906"/>
      <c r="AU82" s="906"/>
      <c r="AV82" s="906"/>
      <c r="AW82" s="906"/>
      <c r="AX82" s="906"/>
      <c r="AY82" s="906"/>
      <c r="AZ82" s="906"/>
      <c r="BA82" s="906"/>
      <c r="BB82" s="906"/>
      <c r="BC82" s="906"/>
      <c r="BD82" s="906"/>
      <c r="BE82" s="906"/>
      <c r="BF82" s="906"/>
      <c r="BG82" s="906"/>
      <c r="BH82" s="906"/>
      <c r="BI82" s="906"/>
      <c r="BJ82" s="906"/>
      <c r="BK82" s="906"/>
      <c r="BL82" s="906"/>
      <c r="BM82" s="906"/>
      <c r="BN82" s="906"/>
      <c r="BO82" s="906"/>
      <c r="BP82" s="906"/>
      <c r="BQ82" s="906"/>
      <c r="BR82" s="906"/>
      <c r="BS82" s="906"/>
      <c r="BT82" s="906"/>
      <c r="BU82" s="906"/>
      <c r="BV82" s="906"/>
      <c r="BW82" s="906"/>
      <c r="BX82" s="906"/>
      <c r="BY82" s="906"/>
      <c r="BZ82" s="906"/>
      <c r="CA82" s="906"/>
      <c r="CB82" s="906"/>
      <c r="CC82" s="906"/>
      <c r="CD82" s="906"/>
      <c r="CE82" s="906"/>
      <c r="CF82" s="906"/>
      <c r="CG82" s="906"/>
      <c r="CH82" s="906"/>
      <c r="CI82" s="906"/>
      <c r="CJ82" s="906"/>
      <c r="CK82" s="906"/>
      <c r="CL82" s="906"/>
      <c r="CM82" s="906"/>
      <c r="CN82" s="906"/>
      <c r="CO82" s="906"/>
      <c r="CP82" s="906"/>
      <c r="CQ82" s="906"/>
      <c r="CR82" s="906"/>
      <c r="CS82" s="906"/>
      <c r="CT82" s="906"/>
      <c r="CU82" s="906"/>
      <c r="CV82" s="906"/>
      <c r="CW82" s="906"/>
      <c r="CX82" s="906"/>
      <c r="CY82" s="906"/>
      <c r="CZ82" s="906"/>
      <c r="DA82" s="906"/>
      <c r="DB82" s="906"/>
      <c r="DC82" s="906"/>
      <c r="DD82" s="906"/>
      <c r="DE82" s="906"/>
      <c r="DF82" s="906"/>
      <c r="DG82" s="906"/>
      <c r="DH82" s="906"/>
      <c r="DI82" s="906"/>
      <c r="DJ82" s="906"/>
      <c r="DK82" s="906"/>
      <c r="DL82" s="906"/>
      <c r="DM82" s="906"/>
      <c r="DN82" s="906"/>
      <c r="DO82" s="906"/>
      <c r="DP82" s="906"/>
      <c r="DQ82" s="906"/>
      <c r="DR82" s="906"/>
      <c r="DS82" s="906"/>
    </row>
    <row r="83" spans="1:123" s="854" customFormat="1" ht="16.5" customHeight="1">
      <c r="A83" s="891"/>
      <c r="B83" s="771"/>
      <c r="C83" s="769"/>
      <c r="D83" s="892"/>
      <c r="E83" s="893"/>
      <c r="F83" s="894"/>
      <c r="G83" s="771"/>
      <c r="H83" s="894"/>
      <c r="I83" s="895"/>
      <c r="J83" s="895"/>
      <c r="K83" s="893"/>
      <c r="L83" s="893"/>
      <c r="M83" s="893"/>
      <c r="N83" s="893"/>
      <c r="O83" s="893"/>
      <c r="P83" s="893"/>
      <c r="Q83" s="893"/>
      <c r="R83" s="906"/>
      <c r="S83" s="899"/>
      <c r="T83" s="906"/>
      <c r="U83" s="906"/>
      <c r="V83" s="906"/>
      <c r="W83" s="906"/>
      <c r="X83" s="906"/>
      <c r="Y83" s="906"/>
      <c r="Z83" s="906"/>
      <c r="AA83" s="906"/>
      <c r="AB83" s="906"/>
      <c r="AC83" s="906"/>
      <c r="AD83" s="906"/>
      <c r="AE83" s="906"/>
      <c r="AF83" s="906"/>
      <c r="AG83" s="906"/>
      <c r="AH83" s="906"/>
      <c r="AI83" s="906"/>
      <c r="AJ83" s="906"/>
      <c r="AK83" s="906"/>
      <c r="AL83" s="906"/>
      <c r="AM83" s="906"/>
      <c r="AN83" s="906"/>
      <c r="AO83" s="906"/>
      <c r="AP83" s="906"/>
      <c r="AQ83" s="906"/>
      <c r="AR83" s="906"/>
      <c r="AS83" s="906"/>
      <c r="AT83" s="906"/>
      <c r="AU83" s="906"/>
      <c r="AV83" s="906"/>
      <c r="AW83" s="906"/>
      <c r="AX83" s="906"/>
      <c r="AY83" s="906"/>
      <c r="AZ83" s="906"/>
      <c r="BA83" s="906"/>
      <c r="BB83" s="906"/>
      <c r="BC83" s="906"/>
      <c r="BD83" s="906"/>
      <c r="BE83" s="906"/>
      <c r="BF83" s="906"/>
      <c r="BG83" s="906"/>
      <c r="BH83" s="906"/>
      <c r="BI83" s="906"/>
      <c r="BJ83" s="906"/>
      <c r="BK83" s="906"/>
      <c r="BL83" s="906"/>
      <c r="BM83" s="906"/>
      <c r="BN83" s="906"/>
      <c r="BO83" s="906"/>
      <c r="BP83" s="906"/>
      <c r="BQ83" s="906"/>
      <c r="BR83" s="906"/>
      <c r="BS83" s="906"/>
      <c r="BT83" s="906"/>
      <c r="BU83" s="906"/>
      <c r="BV83" s="906"/>
      <c r="BW83" s="906"/>
      <c r="BX83" s="906"/>
      <c r="BY83" s="906"/>
      <c r="BZ83" s="906"/>
      <c r="CA83" s="906"/>
      <c r="CB83" s="906"/>
      <c r="CC83" s="906"/>
      <c r="CD83" s="906"/>
      <c r="CE83" s="906"/>
      <c r="CF83" s="906"/>
      <c r="CG83" s="906"/>
      <c r="CH83" s="906"/>
      <c r="CI83" s="906"/>
      <c r="CJ83" s="906"/>
      <c r="CK83" s="906"/>
      <c r="CL83" s="906"/>
      <c r="CM83" s="906"/>
      <c r="CN83" s="906"/>
      <c r="CO83" s="906"/>
      <c r="CP83" s="906"/>
      <c r="CQ83" s="906"/>
      <c r="CR83" s="906"/>
      <c r="CS83" s="906"/>
      <c r="CT83" s="906"/>
      <c r="CU83" s="906"/>
      <c r="CV83" s="906"/>
      <c r="CW83" s="906"/>
      <c r="CX83" s="906"/>
      <c r="CY83" s="906"/>
      <c r="CZ83" s="906"/>
      <c r="DA83" s="906"/>
      <c r="DB83" s="906"/>
      <c r="DC83" s="906"/>
      <c r="DD83" s="906"/>
      <c r="DE83" s="906"/>
      <c r="DF83" s="906"/>
      <c r="DG83" s="906"/>
      <c r="DH83" s="906"/>
      <c r="DI83" s="906"/>
      <c r="DJ83" s="906"/>
      <c r="DK83" s="906"/>
      <c r="DL83" s="906"/>
      <c r="DM83" s="906"/>
      <c r="DN83" s="906"/>
      <c r="DO83" s="906"/>
      <c r="DP83" s="906"/>
      <c r="DQ83" s="906"/>
      <c r="DR83" s="906"/>
      <c r="DS83" s="906"/>
    </row>
    <row r="84" spans="1:123" s="854" customFormat="1" ht="16.5" customHeight="1">
      <c r="A84" s="891"/>
      <c r="B84" s="771"/>
      <c r="C84" s="769"/>
      <c r="D84" s="892"/>
      <c r="E84" s="893"/>
      <c r="F84" s="894"/>
      <c r="G84" s="771"/>
      <c r="H84" s="894"/>
      <c r="I84" s="895"/>
      <c r="J84" s="895"/>
      <c r="K84" s="893"/>
      <c r="L84" s="893"/>
      <c r="M84" s="893"/>
      <c r="N84" s="893"/>
      <c r="O84" s="893"/>
      <c r="P84" s="893"/>
      <c r="Q84" s="893"/>
      <c r="R84" s="906"/>
      <c r="S84" s="899"/>
      <c r="T84" s="906"/>
      <c r="U84" s="906"/>
      <c r="V84" s="906"/>
      <c r="W84" s="906"/>
      <c r="X84" s="906"/>
      <c r="Y84" s="906"/>
      <c r="Z84" s="906"/>
      <c r="AA84" s="906"/>
      <c r="AB84" s="906"/>
      <c r="AC84" s="906"/>
      <c r="AD84" s="906"/>
      <c r="AE84" s="906"/>
      <c r="AF84" s="906"/>
      <c r="AG84" s="906"/>
      <c r="AH84" s="906"/>
      <c r="AI84" s="906"/>
      <c r="AJ84" s="906"/>
      <c r="AK84" s="906"/>
      <c r="AL84" s="906"/>
      <c r="AM84" s="906"/>
      <c r="AN84" s="906"/>
      <c r="AO84" s="906"/>
      <c r="AP84" s="906"/>
      <c r="AQ84" s="906"/>
      <c r="AR84" s="906"/>
      <c r="AS84" s="906"/>
      <c r="AT84" s="906"/>
      <c r="AU84" s="906"/>
      <c r="AV84" s="906"/>
      <c r="AW84" s="906"/>
      <c r="AX84" s="906"/>
      <c r="AY84" s="906"/>
      <c r="AZ84" s="906"/>
      <c r="BA84" s="906"/>
      <c r="BB84" s="906"/>
      <c r="BC84" s="906"/>
      <c r="BD84" s="906"/>
      <c r="BE84" s="906"/>
      <c r="BF84" s="906"/>
      <c r="BG84" s="906"/>
      <c r="BH84" s="906"/>
      <c r="BI84" s="906"/>
      <c r="BJ84" s="906"/>
      <c r="BK84" s="906"/>
      <c r="BL84" s="906"/>
      <c r="BM84" s="906"/>
      <c r="BN84" s="906"/>
      <c r="BO84" s="906"/>
      <c r="BP84" s="906"/>
      <c r="BQ84" s="906"/>
      <c r="BR84" s="906"/>
      <c r="BS84" s="906"/>
      <c r="BT84" s="906"/>
      <c r="BU84" s="906"/>
      <c r="BV84" s="906"/>
      <c r="BW84" s="906"/>
      <c r="BX84" s="906"/>
      <c r="BY84" s="906"/>
      <c r="BZ84" s="906"/>
      <c r="CA84" s="906"/>
      <c r="CB84" s="906"/>
      <c r="CC84" s="906"/>
      <c r="CD84" s="906"/>
      <c r="CE84" s="906"/>
      <c r="CF84" s="906"/>
      <c r="CG84" s="906"/>
      <c r="CH84" s="906"/>
      <c r="CI84" s="906"/>
      <c r="CJ84" s="906"/>
      <c r="CK84" s="906"/>
      <c r="CL84" s="906"/>
      <c r="CM84" s="906"/>
      <c r="CN84" s="906"/>
      <c r="CO84" s="906"/>
      <c r="CP84" s="906"/>
      <c r="CQ84" s="906"/>
      <c r="CR84" s="906"/>
      <c r="CS84" s="906"/>
      <c r="CT84" s="906"/>
      <c r="CU84" s="906"/>
      <c r="CV84" s="906"/>
      <c r="CW84" s="906"/>
      <c r="CX84" s="906"/>
      <c r="CY84" s="906"/>
      <c r="CZ84" s="906"/>
      <c r="DA84" s="906"/>
      <c r="DB84" s="906"/>
      <c r="DC84" s="906"/>
      <c r="DD84" s="906"/>
      <c r="DE84" s="906"/>
      <c r="DF84" s="906"/>
      <c r="DG84" s="906"/>
      <c r="DH84" s="906"/>
      <c r="DI84" s="906"/>
      <c r="DJ84" s="906"/>
      <c r="DK84" s="906"/>
      <c r="DL84" s="906"/>
      <c r="DM84" s="906"/>
      <c r="DN84" s="906"/>
      <c r="DO84" s="906"/>
      <c r="DP84" s="906"/>
      <c r="DQ84" s="906"/>
      <c r="DR84" s="906"/>
      <c r="DS84" s="906"/>
    </row>
    <row r="85" spans="1:123" s="854" customFormat="1" ht="16.5" customHeight="1">
      <c r="A85" s="891"/>
      <c r="B85" s="771"/>
      <c r="C85" s="769"/>
      <c r="D85" s="892"/>
      <c r="E85" s="893"/>
      <c r="F85" s="894"/>
      <c r="G85" s="771"/>
      <c r="H85" s="894"/>
      <c r="I85" s="895"/>
      <c r="J85" s="895"/>
      <c r="K85" s="893"/>
      <c r="L85" s="893"/>
      <c r="M85" s="893"/>
      <c r="N85" s="893"/>
      <c r="O85" s="893"/>
      <c r="P85" s="893"/>
      <c r="Q85" s="893"/>
      <c r="R85" s="906"/>
      <c r="S85" s="899"/>
      <c r="T85" s="906"/>
      <c r="U85" s="906"/>
      <c r="V85" s="906"/>
      <c r="W85" s="906"/>
      <c r="X85" s="906"/>
      <c r="Y85" s="906"/>
      <c r="Z85" s="906"/>
      <c r="AA85" s="906"/>
      <c r="AB85" s="906"/>
      <c r="AC85" s="906"/>
      <c r="AD85" s="906"/>
      <c r="AE85" s="906"/>
      <c r="AF85" s="906"/>
      <c r="AG85" s="906"/>
      <c r="AH85" s="906"/>
      <c r="AI85" s="906"/>
      <c r="AJ85" s="906"/>
      <c r="AK85" s="906"/>
      <c r="AL85" s="906"/>
      <c r="AM85" s="906"/>
      <c r="AN85" s="906"/>
      <c r="AO85" s="906"/>
      <c r="AP85" s="906"/>
      <c r="AQ85" s="906"/>
      <c r="AR85" s="906"/>
      <c r="AS85" s="906"/>
      <c r="AT85" s="906"/>
      <c r="AU85" s="906"/>
      <c r="AV85" s="906"/>
      <c r="AW85" s="906"/>
      <c r="AX85" s="906"/>
      <c r="AY85" s="906"/>
      <c r="AZ85" s="906"/>
      <c r="BA85" s="906"/>
      <c r="BB85" s="906"/>
      <c r="BC85" s="906"/>
      <c r="BD85" s="906"/>
      <c r="BE85" s="906"/>
      <c r="BF85" s="906"/>
      <c r="BG85" s="906"/>
      <c r="BH85" s="906"/>
      <c r="BI85" s="906"/>
      <c r="BJ85" s="906"/>
      <c r="BK85" s="906"/>
      <c r="BL85" s="906"/>
      <c r="BM85" s="906"/>
      <c r="BN85" s="906"/>
      <c r="BO85" s="906"/>
      <c r="BP85" s="906"/>
      <c r="BQ85" s="906"/>
      <c r="BR85" s="906"/>
      <c r="BS85" s="906"/>
      <c r="BT85" s="906"/>
      <c r="BU85" s="906"/>
      <c r="BV85" s="906"/>
      <c r="BW85" s="906"/>
      <c r="BX85" s="906"/>
      <c r="BY85" s="906"/>
      <c r="BZ85" s="906"/>
      <c r="CA85" s="906"/>
      <c r="CB85" s="906"/>
      <c r="CC85" s="906"/>
      <c r="CD85" s="906"/>
      <c r="CE85" s="906"/>
      <c r="CF85" s="906"/>
      <c r="CG85" s="906"/>
      <c r="CH85" s="906"/>
      <c r="CI85" s="906"/>
      <c r="CJ85" s="906"/>
      <c r="CK85" s="906"/>
      <c r="CL85" s="906"/>
      <c r="CM85" s="906"/>
      <c r="CN85" s="906"/>
      <c r="CO85" s="906"/>
      <c r="CP85" s="906"/>
      <c r="CQ85" s="906"/>
      <c r="CR85" s="906"/>
      <c r="CS85" s="906"/>
      <c r="CT85" s="906"/>
      <c r="CU85" s="906"/>
      <c r="CV85" s="906"/>
      <c r="CW85" s="906"/>
      <c r="CX85" s="906"/>
      <c r="CY85" s="906"/>
      <c r="CZ85" s="906"/>
      <c r="DA85" s="906"/>
      <c r="DB85" s="906"/>
      <c r="DC85" s="906"/>
      <c r="DD85" s="906"/>
      <c r="DE85" s="906"/>
      <c r="DF85" s="906"/>
      <c r="DG85" s="906"/>
      <c r="DH85" s="906"/>
      <c r="DI85" s="906"/>
      <c r="DJ85" s="906"/>
      <c r="DK85" s="906"/>
      <c r="DL85" s="906"/>
      <c r="DM85" s="906"/>
      <c r="DN85" s="906"/>
      <c r="DO85" s="906"/>
      <c r="DP85" s="906"/>
      <c r="DQ85" s="906"/>
      <c r="DR85" s="906"/>
      <c r="DS85" s="906"/>
    </row>
    <row r="86" spans="1:123" s="854" customFormat="1" ht="16.5" customHeight="1">
      <c r="A86" s="891"/>
      <c r="B86" s="771"/>
      <c r="C86" s="769"/>
      <c r="D86" s="892"/>
      <c r="E86" s="893"/>
      <c r="F86" s="894"/>
      <c r="G86" s="771"/>
      <c r="H86" s="894"/>
      <c r="I86" s="895"/>
      <c r="J86" s="895"/>
      <c r="K86" s="893"/>
      <c r="L86" s="893"/>
      <c r="M86" s="893"/>
      <c r="N86" s="893"/>
      <c r="O86" s="893"/>
      <c r="P86" s="893"/>
      <c r="Q86" s="893"/>
      <c r="R86" s="906"/>
      <c r="S86" s="899"/>
      <c r="T86" s="906"/>
      <c r="U86" s="906"/>
      <c r="V86" s="906"/>
      <c r="W86" s="906"/>
      <c r="X86" s="906"/>
      <c r="Y86" s="906"/>
      <c r="Z86" s="906"/>
      <c r="AA86" s="906"/>
      <c r="AB86" s="906"/>
      <c r="AC86" s="906"/>
      <c r="AD86" s="906"/>
      <c r="AE86" s="906"/>
      <c r="AF86" s="906"/>
      <c r="AG86" s="906"/>
      <c r="AH86" s="906"/>
      <c r="AI86" s="906"/>
      <c r="AJ86" s="906"/>
      <c r="AK86" s="906"/>
      <c r="AL86" s="906"/>
      <c r="AM86" s="906"/>
      <c r="AN86" s="906"/>
      <c r="AO86" s="906"/>
      <c r="AP86" s="906"/>
      <c r="AQ86" s="906"/>
      <c r="AR86" s="906"/>
      <c r="AS86" s="906"/>
      <c r="AT86" s="906"/>
      <c r="AU86" s="906"/>
      <c r="AV86" s="906"/>
      <c r="AW86" s="906"/>
      <c r="AX86" s="906"/>
      <c r="AY86" s="906"/>
      <c r="AZ86" s="906"/>
      <c r="BA86" s="906"/>
      <c r="BB86" s="906"/>
      <c r="BC86" s="906"/>
      <c r="BD86" s="906"/>
      <c r="BE86" s="906"/>
      <c r="BF86" s="906"/>
      <c r="BG86" s="906"/>
      <c r="BH86" s="906"/>
      <c r="BI86" s="906"/>
      <c r="BJ86" s="906"/>
      <c r="BK86" s="906"/>
      <c r="BL86" s="906"/>
      <c r="BM86" s="906"/>
      <c r="BN86" s="906"/>
      <c r="BO86" s="906"/>
      <c r="BP86" s="906"/>
      <c r="BQ86" s="906"/>
      <c r="BR86" s="906"/>
      <c r="BS86" s="906"/>
      <c r="BT86" s="906"/>
      <c r="BU86" s="906"/>
      <c r="BV86" s="906"/>
      <c r="BW86" s="906"/>
      <c r="BX86" s="906"/>
      <c r="BY86" s="906"/>
      <c r="BZ86" s="906"/>
      <c r="CA86" s="906"/>
      <c r="CB86" s="906"/>
      <c r="CC86" s="906"/>
      <c r="CD86" s="906"/>
      <c r="CE86" s="906"/>
      <c r="CF86" s="906"/>
      <c r="CG86" s="906"/>
      <c r="CH86" s="906"/>
      <c r="CI86" s="906"/>
      <c r="CJ86" s="906"/>
      <c r="CK86" s="906"/>
      <c r="CL86" s="906"/>
      <c r="CM86" s="906"/>
      <c r="CN86" s="906"/>
      <c r="CO86" s="906"/>
      <c r="CP86" s="906"/>
      <c r="CQ86" s="906"/>
      <c r="CR86" s="906"/>
      <c r="CS86" s="906"/>
      <c r="CT86" s="906"/>
      <c r="CU86" s="906"/>
      <c r="CV86" s="906"/>
      <c r="CW86" s="906"/>
      <c r="CX86" s="906"/>
      <c r="CY86" s="906"/>
      <c r="CZ86" s="906"/>
      <c r="DA86" s="906"/>
      <c r="DB86" s="906"/>
      <c r="DC86" s="906"/>
      <c r="DD86" s="906"/>
      <c r="DE86" s="906"/>
      <c r="DF86" s="906"/>
      <c r="DG86" s="906"/>
      <c r="DH86" s="906"/>
      <c r="DI86" s="906"/>
      <c r="DJ86" s="906"/>
      <c r="DK86" s="906"/>
      <c r="DL86" s="906"/>
      <c r="DM86" s="906"/>
      <c r="DN86" s="906"/>
      <c r="DO86" s="906"/>
      <c r="DP86" s="906"/>
      <c r="DQ86" s="906"/>
      <c r="DR86" s="906"/>
      <c r="DS86" s="906"/>
    </row>
    <row r="87" spans="1:123" s="854" customFormat="1" ht="16.5" customHeight="1">
      <c r="A87" s="891"/>
      <c r="B87" s="771"/>
      <c r="C87" s="769"/>
      <c r="D87" s="892"/>
      <c r="E87" s="893"/>
      <c r="F87" s="894"/>
      <c r="G87" s="771"/>
      <c r="H87" s="894"/>
      <c r="I87" s="895"/>
      <c r="J87" s="895"/>
      <c r="K87" s="893"/>
      <c r="L87" s="893"/>
      <c r="M87" s="893"/>
      <c r="N87" s="893"/>
      <c r="O87" s="893"/>
      <c r="P87" s="893"/>
      <c r="Q87" s="893"/>
      <c r="R87" s="906"/>
      <c r="S87" s="899"/>
      <c r="T87" s="906"/>
      <c r="U87" s="906"/>
      <c r="V87" s="906"/>
      <c r="W87" s="906"/>
      <c r="X87" s="906"/>
      <c r="Y87" s="906"/>
      <c r="Z87" s="906"/>
      <c r="AA87" s="906"/>
      <c r="AB87" s="906"/>
      <c r="AC87" s="906"/>
      <c r="AD87" s="906"/>
      <c r="AE87" s="906"/>
      <c r="AF87" s="906"/>
      <c r="AG87" s="906"/>
      <c r="AH87" s="906"/>
      <c r="AI87" s="906"/>
      <c r="AJ87" s="906"/>
      <c r="AK87" s="906"/>
      <c r="AL87" s="906"/>
      <c r="AM87" s="906"/>
      <c r="AN87" s="906"/>
      <c r="AO87" s="906"/>
      <c r="AP87" s="906"/>
      <c r="AQ87" s="906"/>
      <c r="AR87" s="906"/>
      <c r="AS87" s="906"/>
      <c r="AT87" s="906"/>
      <c r="AU87" s="906"/>
      <c r="AV87" s="906"/>
      <c r="AW87" s="906"/>
      <c r="AX87" s="906"/>
      <c r="AY87" s="906"/>
      <c r="AZ87" s="906"/>
      <c r="BA87" s="906"/>
      <c r="BB87" s="906"/>
      <c r="BC87" s="906"/>
      <c r="BD87" s="906"/>
      <c r="BE87" s="906"/>
      <c r="BF87" s="906"/>
      <c r="BG87" s="906"/>
      <c r="BH87" s="906"/>
      <c r="BI87" s="906"/>
      <c r="BJ87" s="906"/>
      <c r="BK87" s="906"/>
      <c r="BL87" s="906"/>
      <c r="BM87" s="906"/>
      <c r="BN87" s="906"/>
      <c r="BO87" s="906"/>
      <c r="BP87" s="906"/>
      <c r="BQ87" s="906"/>
      <c r="BR87" s="906"/>
      <c r="BS87" s="906"/>
      <c r="BT87" s="906"/>
      <c r="BU87" s="906"/>
      <c r="BV87" s="906"/>
      <c r="BW87" s="906"/>
      <c r="BX87" s="906"/>
      <c r="BY87" s="906"/>
      <c r="BZ87" s="906"/>
      <c r="CA87" s="906"/>
      <c r="CB87" s="906"/>
      <c r="CC87" s="906"/>
      <c r="CD87" s="906"/>
      <c r="CE87" s="906"/>
      <c r="CF87" s="906"/>
      <c r="CG87" s="906"/>
      <c r="CH87" s="906"/>
      <c r="CI87" s="906"/>
      <c r="CJ87" s="906"/>
      <c r="CK87" s="906"/>
      <c r="CL87" s="906"/>
      <c r="CM87" s="906"/>
      <c r="CN87" s="906"/>
      <c r="CO87" s="906"/>
      <c r="CP87" s="906"/>
      <c r="CQ87" s="906"/>
      <c r="CR87" s="906"/>
      <c r="CS87" s="906"/>
      <c r="CT87" s="906"/>
      <c r="CU87" s="906"/>
      <c r="CV87" s="906"/>
      <c r="CW87" s="906"/>
      <c r="CX87" s="906"/>
      <c r="CY87" s="906"/>
      <c r="CZ87" s="906"/>
      <c r="DA87" s="906"/>
      <c r="DB87" s="906"/>
      <c r="DC87" s="906"/>
      <c r="DD87" s="906"/>
      <c r="DE87" s="906"/>
      <c r="DF87" s="906"/>
      <c r="DG87" s="906"/>
      <c r="DH87" s="906"/>
      <c r="DI87" s="906"/>
      <c r="DJ87" s="906"/>
      <c r="DK87" s="906"/>
      <c r="DL87" s="906"/>
      <c r="DM87" s="906"/>
      <c r="DN87" s="906"/>
      <c r="DO87" s="906"/>
      <c r="DP87" s="906"/>
      <c r="DQ87" s="906"/>
      <c r="DR87" s="906"/>
      <c r="DS87" s="906"/>
    </row>
    <row r="88" spans="1:123" s="854" customFormat="1" ht="16.5" customHeight="1">
      <c r="A88" s="891"/>
      <c r="B88" s="771"/>
      <c r="C88" s="769"/>
      <c r="D88" s="892"/>
      <c r="E88" s="893"/>
      <c r="F88" s="894"/>
      <c r="G88" s="771"/>
      <c r="H88" s="894"/>
      <c r="I88" s="895"/>
      <c r="J88" s="895"/>
      <c r="K88" s="893"/>
      <c r="L88" s="893"/>
      <c r="M88" s="893"/>
      <c r="N88" s="893"/>
      <c r="O88" s="893"/>
      <c r="P88" s="893"/>
      <c r="Q88" s="893"/>
      <c r="R88" s="906"/>
      <c r="S88" s="899"/>
      <c r="T88" s="906"/>
      <c r="U88" s="906"/>
      <c r="V88" s="906"/>
      <c r="W88" s="906"/>
      <c r="X88" s="906"/>
      <c r="Y88" s="906"/>
      <c r="Z88" s="906"/>
      <c r="AA88" s="906"/>
      <c r="AB88" s="906"/>
      <c r="AC88" s="906"/>
      <c r="AD88" s="906"/>
      <c r="AE88" s="906"/>
      <c r="AF88" s="906"/>
      <c r="AG88" s="906"/>
      <c r="AH88" s="906"/>
      <c r="AI88" s="906"/>
      <c r="AJ88" s="906"/>
      <c r="AK88" s="906"/>
      <c r="AL88" s="906"/>
      <c r="AM88" s="906"/>
      <c r="AN88" s="906"/>
      <c r="AO88" s="906"/>
      <c r="AP88" s="906"/>
      <c r="AQ88" s="906"/>
      <c r="AR88" s="906"/>
      <c r="AS88" s="906"/>
      <c r="AT88" s="906"/>
      <c r="AU88" s="906"/>
      <c r="AV88" s="906"/>
      <c r="AW88" s="906"/>
      <c r="AX88" s="906"/>
      <c r="AY88" s="906"/>
      <c r="AZ88" s="906"/>
      <c r="BA88" s="906"/>
      <c r="BB88" s="906"/>
      <c r="BC88" s="906"/>
      <c r="BD88" s="906"/>
      <c r="BE88" s="906"/>
      <c r="BF88" s="906"/>
      <c r="BG88" s="906"/>
      <c r="BH88" s="906"/>
      <c r="BI88" s="906"/>
      <c r="BJ88" s="906"/>
      <c r="BK88" s="906"/>
      <c r="BL88" s="906"/>
      <c r="BM88" s="906"/>
      <c r="BN88" s="906"/>
      <c r="BO88" s="906"/>
      <c r="BP88" s="906"/>
      <c r="BQ88" s="906"/>
      <c r="BR88" s="906"/>
      <c r="BS88" s="906"/>
      <c r="BT88" s="906"/>
      <c r="BU88" s="906"/>
      <c r="BV88" s="906"/>
      <c r="BW88" s="906"/>
      <c r="BX88" s="906"/>
      <c r="BY88" s="906"/>
      <c r="BZ88" s="906"/>
      <c r="CA88" s="906"/>
      <c r="CB88" s="906"/>
      <c r="CC88" s="906"/>
      <c r="CD88" s="906"/>
      <c r="CE88" s="906"/>
      <c r="CF88" s="906"/>
      <c r="CG88" s="906"/>
      <c r="CH88" s="906"/>
      <c r="CI88" s="906"/>
      <c r="CJ88" s="906"/>
      <c r="CK88" s="906"/>
      <c r="CL88" s="906"/>
      <c r="CM88" s="906"/>
      <c r="CN88" s="906"/>
      <c r="CO88" s="906"/>
      <c r="CP88" s="906"/>
      <c r="CQ88" s="906"/>
      <c r="CR88" s="906"/>
      <c r="CS88" s="906"/>
      <c r="CT88" s="906"/>
      <c r="CU88" s="906"/>
      <c r="CV88" s="906"/>
      <c r="CW88" s="906"/>
      <c r="CX88" s="906"/>
      <c r="CY88" s="906"/>
      <c r="CZ88" s="906"/>
      <c r="DA88" s="906"/>
      <c r="DB88" s="906"/>
      <c r="DC88" s="906"/>
      <c r="DD88" s="906"/>
      <c r="DE88" s="906"/>
      <c r="DF88" s="906"/>
      <c r="DG88" s="906"/>
      <c r="DH88" s="906"/>
      <c r="DI88" s="906"/>
      <c r="DJ88" s="906"/>
      <c r="DK88" s="906"/>
      <c r="DL88" s="906"/>
      <c r="DM88" s="906"/>
      <c r="DN88" s="906"/>
      <c r="DO88" s="906"/>
      <c r="DP88" s="906"/>
      <c r="DQ88" s="906"/>
      <c r="DR88" s="906"/>
      <c r="DS88" s="906"/>
    </row>
    <row r="89" spans="1:123" s="854" customFormat="1" ht="16.5" customHeight="1">
      <c r="A89" s="891"/>
      <c r="B89" s="771"/>
      <c r="C89" s="769"/>
      <c r="D89" s="892"/>
      <c r="E89" s="893"/>
      <c r="F89" s="894"/>
      <c r="G89" s="771"/>
      <c r="H89" s="894"/>
      <c r="I89" s="895"/>
      <c r="J89" s="895"/>
      <c r="K89" s="893"/>
      <c r="L89" s="893"/>
      <c r="M89" s="893"/>
      <c r="N89" s="893"/>
      <c r="O89" s="893"/>
      <c r="P89" s="893"/>
      <c r="Q89" s="893"/>
      <c r="R89" s="906"/>
      <c r="S89" s="899"/>
      <c r="T89" s="906"/>
      <c r="U89" s="906"/>
      <c r="V89" s="906"/>
      <c r="W89" s="906"/>
      <c r="X89" s="906"/>
      <c r="Y89" s="906"/>
      <c r="Z89" s="906"/>
      <c r="AA89" s="906"/>
      <c r="AB89" s="906"/>
      <c r="AC89" s="906"/>
      <c r="AD89" s="906"/>
      <c r="AE89" s="906"/>
      <c r="AF89" s="906"/>
      <c r="AG89" s="906"/>
      <c r="AH89" s="906"/>
      <c r="AI89" s="906"/>
      <c r="AJ89" s="906"/>
      <c r="AK89" s="906"/>
      <c r="AL89" s="906"/>
      <c r="AM89" s="906"/>
      <c r="AN89" s="906"/>
      <c r="AO89" s="906"/>
      <c r="AP89" s="906"/>
      <c r="AQ89" s="906"/>
      <c r="AR89" s="906"/>
      <c r="AS89" s="906"/>
      <c r="AT89" s="906"/>
      <c r="AU89" s="906"/>
      <c r="AV89" s="906"/>
      <c r="AW89" s="906"/>
      <c r="AX89" s="906"/>
      <c r="AY89" s="906"/>
      <c r="AZ89" s="906"/>
      <c r="BA89" s="906"/>
      <c r="BB89" s="906"/>
      <c r="BC89" s="906"/>
      <c r="BD89" s="906"/>
      <c r="BE89" s="906"/>
      <c r="BF89" s="906"/>
      <c r="BG89" s="906"/>
      <c r="BH89" s="906"/>
      <c r="BI89" s="906"/>
      <c r="BJ89" s="906"/>
      <c r="BK89" s="906"/>
      <c r="BL89" s="906"/>
      <c r="BM89" s="906"/>
      <c r="BN89" s="906"/>
      <c r="BO89" s="906"/>
      <c r="BP89" s="906"/>
      <c r="BQ89" s="906"/>
      <c r="BR89" s="906"/>
      <c r="BS89" s="906"/>
      <c r="BT89" s="906"/>
      <c r="BU89" s="906"/>
      <c r="BV89" s="906"/>
      <c r="BW89" s="906"/>
      <c r="BX89" s="906"/>
      <c r="BY89" s="906"/>
      <c r="BZ89" s="906"/>
      <c r="CA89" s="906"/>
      <c r="CB89" s="906"/>
      <c r="CC89" s="906"/>
      <c r="CD89" s="906"/>
      <c r="CE89" s="906"/>
      <c r="CF89" s="906"/>
      <c r="CG89" s="906"/>
      <c r="CH89" s="906"/>
      <c r="CI89" s="906"/>
      <c r="CJ89" s="906"/>
      <c r="CK89" s="906"/>
      <c r="CL89" s="906"/>
      <c r="CM89" s="906"/>
      <c r="CN89" s="906"/>
      <c r="CO89" s="906"/>
      <c r="CP89" s="906"/>
      <c r="CQ89" s="906"/>
      <c r="CR89" s="906"/>
      <c r="CS89" s="906"/>
      <c r="CT89" s="906"/>
      <c r="CU89" s="906"/>
      <c r="CV89" s="906"/>
      <c r="CW89" s="906"/>
      <c r="CX89" s="906"/>
      <c r="CY89" s="906"/>
      <c r="CZ89" s="906"/>
      <c r="DA89" s="906"/>
      <c r="DB89" s="906"/>
      <c r="DC89" s="906"/>
      <c r="DD89" s="906"/>
      <c r="DE89" s="906"/>
      <c r="DF89" s="906"/>
      <c r="DG89" s="906"/>
      <c r="DH89" s="906"/>
      <c r="DI89" s="906"/>
      <c r="DJ89" s="906"/>
      <c r="DK89" s="906"/>
      <c r="DL89" s="906"/>
      <c r="DM89" s="906"/>
      <c r="DN89" s="906"/>
      <c r="DO89" s="906"/>
      <c r="DP89" s="906"/>
      <c r="DQ89" s="906"/>
      <c r="DR89" s="906"/>
      <c r="DS89" s="906"/>
    </row>
    <row r="90" spans="1:123" s="854" customFormat="1" ht="16.5" customHeight="1">
      <c r="A90" s="891"/>
      <c r="B90" s="771"/>
      <c r="C90" s="769"/>
      <c r="D90" s="892"/>
      <c r="E90" s="893"/>
      <c r="F90" s="894"/>
      <c r="G90" s="771"/>
      <c r="H90" s="894"/>
      <c r="I90" s="895"/>
      <c r="J90" s="895"/>
      <c r="K90" s="893"/>
      <c r="L90" s="893"/>
      <c r="M90" s="893"/>
      <c r="N90" s="893"/>
      <c r="O90" s="893"/>
      <c r="P90" s="893"/>
      <c r="Q90" s="893"/>
      <c r="R90" s="906"/>
      <c r="S90" s="899"/>
      <c r="T90" s="906"/>
      <c r="U90" s="906"/>
      <c r="V90" s="906"/>
      <c r="W90" s="906"/>
      <c r="X90" s="906"/>
      <c r="Y90" s="906"/>
      <c r="Z90" s="906"/>
      <c r="AA90" s="906"/>
      <c r="AB90" s="906"/>
      <c r="AC90" s="906"/>
      <c r="AD90" s="906"/>
      <c r="AE90" s="906"/>
      <c r="AF90" s="906"/>
      <c r="AG90" s="906"/>
      <c r="AH90" s="906"/>
      <c r="AI90" s="906"/>
      <c r="AJ90" s="906"/>
      <c r="AK90" s="906"/>
      <c r="AL90" s="906"/>
      <c r="AM90" s="906"/>
      <c r="AN90" s="906"/>
      <c r="AO90" s="906"/>
      <c r="AP90" s="906"/>
      <c r="AQ90" s="906"/>
      <c r="AR90" s="906"/>
      <c r="AS90" s="906"/>
      <c r="AT90" s="906"/>
      <c r="AU90" s="906"/>
      <c r="AV90" s="906"/>
      <c r="AW90" s="906"/>
      <c r="AX90" s="906"/>
      <c r="AY90" s="906"/>
      <c r="AZ90" s="906"/>
      <c r="BA90" s="906"/>
      <c r="BB90" s="906"/>
      <c r="BC90" s="906"/>
      <c r="BD90" s="906"/>
      <c r="BE90" s="906"/>
      <c r="BF90" s="906"/>
      <c r="BG90" s="906"/>
      <c r="BH90" s="906"/>
      <c r="BI90" s="906"/>
      <c r="BJ90" s="906"/>
      <c r="BK90" s="906"/>
      <c r="BL90" s="906"/>
      <c r="BM90" s="906"/>
      <c r="BN90" s="906"/>
      <c r="BO90" s="906"/>
      <c r="BP90" s="906"/>
      <c r="BQ90" s="906"/>
      <c r="BR90" s="906"/>
      <c r="BS90" s="906"/>
      <c r="BT90" s="906"/>
      <c r="BU90" s="906"/>
      <c r="BV90" s="906"/>
      <c r="BW90" s="906"/>
      <c r="BX90" s="906"/>
      <c r="BY90" s="906"/>
      <c r="BZ90" s="906"/>
      <c r="CA90" s="906"/>
      <c r="CB90" s="906"/>
      <c r="CC90" s="906"/>
      <c r="CD90" s="906"/>
      <c r="CE90" s="906"/>
      <c r="CF90" s="906"/>
      <c r="CG90" s="906"/>
      <c r="CH90" s="906"/>
      <c r="CI90" s="906"/>
      <c r="CJ90" s="906"/>
      <c r="CK90" s="906"/>
      <c r="CL90" s="906"/>
      <c r="CM90" s="906"/>
      <c r="CN90" s="906"/>
      <c r="CO90" s="906"/>
      <c r="CP90" s="906"/>
      <c r="CQ90" s="906"/>
      <c r="CR90" s="906"/>
      <c r="CS90" s="906"/>
      <c r="CT90" s="906"/>
      <c r="CU90" s="906"/>
      <c r="CV90" s="906"/>
      <c r="CW90" s="906"/>
      <c r="CX90" s="906"/>
      <c r="CY90" s="906"/>
      <c r="CZ90" s="906"/>
      <c r="DA90" s="906"/>
      <c r="DB90" s="906"/>
      <c r="DC90" s="906"/>
      <c r="DD90" s="906"/>
      <c r="DE90" s="906"/>
      <c r="DF90" s="906"/>
      <c r="DG90" s="906"/>
      <c r="DH90" s="906"/>
      <c r="DI90" s="906"/>
      <c r="DJ90" s="906"/>
      <c r="DK90" s="906"/>
      <c r="DL90" s="906"/>
      <c r="DM90" s="906"/>
      <c r="DN90" s="906"/>
      <c r="DO90" s="906"/>
      <c r="DP90" s="906"/>
      <c r="DQ90" s="906"/>
      <c r="DR90" s="906"/>
      <c r="DS90" s="906"/>
    </row>
    <row r="91" spans="1:123" s="854" customFormat="1" ht="16.5" customHeight="1">
      <c r="A91" s="891"/>
      <c r="B91" s="771"/>
      <c r="C91" s="769"/>
      <c r="D91" s="892"/>
      <c r="E91" s="893"/>
      <c r="F91" s="894"/>
      <c r="G91" s="771"/>
      <c r="H91" s="894"/>
      <c r="I91" s="895"/>
      <c r="J91" s="895"/>
      <c r="K91" s="893"/>
      <c r="L91" s="893"/>
      <c r="M91" s="893"/>
      <c r="N91" s="893"/>
      <c r="O91" s="893"/>
      <c r="P91" s="893"/>
      <c r="Q91" s="893"/>
      <c r="R91" s="906"/>
      <c r="S91" s="899"/>
      <c r="T91" s="906"/>
      <c r="U91" s="906"/>
      <c r="V91" s="906"/>
      <c r="W91" s="906"/>
      <c r="X91" s="906"/>
      <c r="Y91" s="906"/>
      <c r="Z91" s="906"/>
      <c r="AA91" s="906"/>
      <c r="AB91" s="906"/>
      <c r="AC91" s="906"/>
      <c r="AD91" s="906"/>
      <c r="AE91" s="906"/>
      <c r="AF91" s="906"/>
      <c r="AG91" s="906"/>
      <c r="AH91" s="906"/>
      <c r="AI91" s="906"/>
      <c r="AJ91" s="906"/>
      <c r="AK91" s="906"/>
      <c r="AL91" s="906"/>
      <c r="AM91" s="906"/>
      <c r="AN91" s="906"/>
      <c r="AO91" s="906"/>
      <c r="AP91" s="906"/>
      <c r="AQ91" s="906"/>
      <c r="AR91" s="906"/>
      <c r="AS91" s="906"/>
      <c r="AT91" s="906"/>
      <c r="AU91" s="906"/>
      <c r="AV91" s="906"/>
      <c r="AW91" s="906"/>
      <c r="AX91" s="906"/>
      <c r="AY91" s="906"/>
      <c r="AZ91" s="906"/>
      <c r="BA91" s="906"/>
      <c r="BB91" s="906"/>
      <c r="BC91" s="906"/>
      <c r="BD91" s="906"/>
      <c r="BE91" s="906"/>
      <c r="BF91" s="906"/>
      <c r="BG91" s="906"/>
      <c r="BH91" s="906"/>
      <c r="BI91" s="906"/>
      <c r="BJ91" s="906"/>
      <c r="BK91" s="906"/>
      <c r="BL91" s="906"/>
      <c r="BM91" s="906"/>
      <c r="BN91" s="906"/>
      <c r="BO91" s="906"/>
      <c r="BP91" s="906"/>
      <c r="BQ91" s="906"/>
      <c r="BR91" s="906"/>
      <c r="BS91" s="906"/>
      <c r="BT91" s="906"/>
      <c r="BU91" s="906"/>
      <c r="BV91" s="906"/>
      <c r="BW91" s="906"/>
      <c r="BX91" s="906"/>
      <c r="BY91" s="906"/>
      <c r="BZ91" s="906"/>
      <c r="CA91" s="906"/>
      <c r="CB91" s="906"/>
      <c r="CC91" s="906"/>
      <c r="CD91" s="906"/>
      <c r="CE91" s="906"/>
      <c r="CF91" s="906"/>
      <c r="CG91" s="906"/>
      <c r="CH91" s="906"/>
      <c r="CI91" s="906"/>
      <c r="CJ91" s="906"/>
      <c r="CK91" s="906"/>
      <c r="CL91" s="906"/>
      <c r="CM91" s="906"/>
      <c r="CN91" s="906"/>
      <c r="CO91" s="906"/>
      <c r="CP91" s="906"/>
      <c r="CQ91" s="906"/>
      <c r="CR91" s="906"/>
      <c r="CS91" s="906"/>
      <c r="CT91" s="906"/>
      <c r="CU91" s="906"/>
      <c r="CV91" s="906"/>
      <c r="CW91" s="906"/>
      <c r="CX91" s="906"/>
      <c r="CY91" s="906"/>
      <c r="CZ91" s="906"/>
      <c r="DA91" s="906"/>
      <c r="DB91" s="906"/>
      <c r="DC91" s="906"/>
      <c r="DD91" s="906"/>
      <c r="DE91" s="906"/>
      <c r="DF91" s="906"/>
      <c r="DG91" s="906"/>
      <c r="DH91" s="906"/>
      <c r="DI91" s="906"/>
      <c r="DJ91" s="906"/>
      <c r="DK91" s="906"/>
      <c r="DL91" s="906"/>
      <c r="DM91" s="906"/>
      <c r="DN91" s="906"/>
      <c r="DO91" s="906"/>
      <c r="DP91" s="906"/>
      <c r="DQ91" s="906"/>
      <c r="DR91" s="906"/>
      <c r="DS91" s="906"/>
    </row>
    <row r="92" spans="1:123" s="854" customFormat="1" ht="16.5" customHeight="1">
      <c r="A92" s="891"/>
      <c r="B92" s="771"/>
      <c r="C92" s="769"/>
      <c r="D92" s="892"/>
      <c r="E92" s="893"/>
      <c r="F92" s="894"/>
      <c r="G92" s="771"/>
      <c r="H92" s="894"/>
      <c r="I92" s="895"/>
      <c r="J92" s="895"/>
      <c r="K92" s="893"/>
      <c r="L92" s="893"/>
      <c r="M92" s="893"/>
      <c r="N92" s="893"/>
      <c r="O92" s="893"/>
      <c r="P92" s="893"/>
      <c r="Q92" s="893"/>
      <c r="R92" s="906"/>
      <c r="S92" s="899"/>
      <c r="T92" s="906"/>
      <c r="U92" s="906"/>
      <c r="V92" s="906"/>
      <c r="W92" s="906"/>
      <c r="X92" s="906"/>
      <c r="Y92" s="906"/>
      <c r="Z92" s="906"/>
      <c r="AA92" s="906"/>
      <c r="AB92" s="906"/>
      <c r="AC92" s="906"/>
      <c r="AD92" s="906"/>
      <c r="AE92" s="906"/>
      <c r="AF92" s="906"/>
      <c r="AG92" s="906"/>
      <c r="AH92" s="906"/>
      <c r="AI92" s="906"/>
      <c r="AJ92" s="906"/>
      <c r="AK92" s="906"/>
      <c r="AL92" s="906"/>
      <c r="AM92" s="906"/>
      <c r="AN92" s="906"/>
      <c r="AO92" s="906"/>
      <c r="AP92" s="906"/>
      <c r="AQ92" s="906"/>
      <c r="AR92" s="906"/>
      <c r="AS92" s="906"/>
      <c r="AT92" s="906"/>
      <c r="AU92" s="906"/>
      <c r="AV92" s="906"/>
      <c r="AW92" s="906"/>
      <c r="AX92" s="906"/>
      <c r="AY92" s="906"/>
      <c r="AZ92" s="906"/>
      <c r="BA92" s="906"/>
      <c r="BB92" s="906"/>
      <c r="BC92" s="906"/>
      <c r="BD92" s="906"/>
      <c r="BE92" s="906"/>
      <c r="BF92" s="906"/>
      <c r="BG92" s="906"/>
      <c r="BH92" s="906"/>
      <c r="BI92" s="906"/>
      <c r="BJ92" s="906"/>
      <c r="BK92" s="906"/>
      <c r="BL92" s="906"/>
      <c r="BM92" s="906"/>
      <c r="BN92" s="906"/>
      <c r="BO92" s="906"/>
      <c r="BP92" s="906"/>
      <c r="BQ92" s="906"/>
      <c r="BR92" s="906"/>
      <c r="BS92" s="906"/>
      <c r="BT92" s="906"/>
      <c r="BU92" s="906"/>
      <c r="BV92" s="906"/>
      <c r="BW92" s="906"/>
      <c r="BX92" s="906"/>
      <c r="BY92" s="906"/>
      <c r="BZ92" s="906"/>
      <c r="CA92" s="906"/>
      <c r="CB92" s="906"/>
      <c r="CC92" s="906"/>
      <c r="CD92" s="906"/>
      <c r="CE92" s="906"/>
      <c r="CF92" s="906"/>
      <c r="CG92" s="906"/>
      <c r="CH92" s="906"/>
      <c r="CI92" s="906"/>
      <c r="CJ92" s="906"/>
      <c r="CK92" s="906"/>
      <c r="CL92" s="906"/>
      <c r="CM92" s="906"/>
      <c r="CN92" s="906"/>
      <c r="CO92" s="906"/>
      <c r="CP92" s="906"/>
      <c r="CQ92" s="906"/>
      <c r="CR92" s="906"/>
      <c r="CS92" s="906"/>
      <c r="CT92" s="906"/>
      <c r="CU92" s="906"/>
      <c r="CV92" s="906"/>
      <c r="CW92" s="906"/>
      <c r="CX92" s="906"/>
      <c r="CY92" s="906"/>
      <c r="CZ92" s="906"/>
      <c r="DA92" s="906"/>
      <c r="DB92" s="906"/>
      <c r="DC92" s="906"/>
      <c r="DD92" s="906"/>
      <c r="DE92" s="906"/>
      <c r="DF92" s="906"/>
      <c r="DG92" s="906"/>
      <c r="DH92" s="906"/>
      <c r="DI92" s="906"/>
      <c r="DJ92" s="906"/>
      <c r="DK92" s="906"/>
      <c r="DL92" s="906"/>
      <c r="DM92" s="906"/>
      <c r="DN92" s="906"/>
      <c r="DO92" s="906"/>
      <c r="DP92" s="906"/>
      <c r="DQ92" s="906"/>
      <c r="DR92" s="906"/>
      <c r="DS92" s="906"/>
    </row>
    <row r="93" spans="1:123" s="854" customFormat="1" ht="16.5" customHeight="1">
      <c r="A93" s="891"/>
      <c r="B93" s="771"/>
      <c r="C93" s="769"/>
      <c r="D93" s="892"/>
      <c r="E93" s="893"/>
      <c r="F93" s="894"/>
      <c r="G93" s="771"/>
      <c r="H93" s="894"/>
      <c r="I93" s="895"/>
      <c r="J93" s="895"/>
      <c r="K93" s="893"/>
      <c r="L93" s="893"/>
      <c r="M93" s="893"/>
      <c r="N93" s="893"/>
      <c r="O93" s="893"/>
      <c r="P93" s="893"/>
      <c r="Q93" s="893"/>
      <c r="R93" s="906"/>
      <c r="S93" s="899"/>
      <c r="T93" s="906"/>
      <c r="U93" s="906"/>
      <c r="V93" s="906"/>
      <c r="W93" s="906"/>
      <c r="X93" s="906"/>
      <c r="Y93" s="906"/>
      <c r="Z93" s="906"/>
      <c r="AA93" s="906"/>
      <c r="AB93" s="906"/>
      <c r="AC93" s="906"/>
      <c r="AD93" s="906"/>
      <c r="AE93" s="906"/>
      <c r="AF93" s="906"/>
      <c r="AG93" s="906"/>
      <c r="AH93" s="906"/>
      <c r="AI93" s="906"/>
      <c r="AJ93" s="906"/>
      <c r="AK93" s="906"/>
      <c r="AL93" s="906"/>
      <c r="AM93" s="906"/>
      <c r="AN93" s="906"/>
      <c r="AO93" s="906"/>
      <c r="AP93" s="906"/>
      <c r="AQ93" s="906"/>
      <c r="AR93" s="906"/>
      <c r="AS93" s="906"/>
      <c r="AT93" s="906"/>
      <c r="AU93" s="906"/>
      <c r="AV93" s="906"/>
      <c r="AW93" s="906"/>
      <c r="AX93" s="906"/>
      <c r="AY93" s="906"/>
      <c r="AZ93" s="906"/>
      <c r="BA93" s="906"/>
      <c r="BB93" s="906"/>
      <c r="BC93" s="906"/>
      <c r="BD93" s="906"/>
      <c r="BE93" s="906"/>
      <c r="BF93" s="906"/>
      <c r="BG93" s="906"/>
      <c r="BH93" s="906"/>
      <c r="BI93" s="906"/>
      <c r="BJ93" s="906"/>
      <c r="BK93" s="906"/>
      <c r="BL93" s="906"/>
      <c r="BM93" s="906"/>
      <c r="BN93" s="906"/>
      <c r="BO93" s="906"/>
      <c r="BP93" s="906"/>
      <c r="BQ93" s="906"/>
      <c r="BR93" s="906"/>
      <c r="BS93" s="906"/>
      <c r="BT93" s="906"/>
      <c r="BU93" s="906"/>
      <c r="BV93" s="906"/>
      <c r="BW93" s="906"/>
      <c r="BX93" s="906"/>
      <c r="BY93" s="906"/>
      <c r="BZ93" s="906"/>
      <c r="CA93" s="906"/>
      <c r="CB93" s="906"/>
      <c r="CC93" s="906"/>
      <c r="CD93" s="906"/>
      <c r="CE93" s="906"/>
      <c r="CF93" s="906"/>
      <c r="CG93" s="906"/>
      <c r="CH93" s="906"/>
      <c r="CI93" s="906"/>
      <c r="CJ93" s="906"/>
      <c r="CK93" s="906"/>
      <c r="CL93" s="906"/>
      <c r="CM93" s="906"/>
      <c r="CN93" s="906"/>
      <c r="CO93" s="906"/>
      <c r="CP93" s="906"/>
      <c r="CQ93" s="906"/>
      <c r="CR93" s="906"/>
      <c r="CS93" s="906"/>
      <c r="CT93" s="906"/>
      <c r="CU93" s="906"/>
      <c r="CV93" s="906"/>
      <c r="CW93" s="906"/>
      <c r="CX93" s="906"/>
      <c r="CY93" s="906"/>
      <c r="CZ93" s="906"/>
      <c r="DA93" s="906"/>
      <c r="DB93" s="906"/>
      <c r="DC93" s="906"/>
      <c r="DD93" s="906"/>
      <c r="DE93" s="906"/>
      <c r="DF93" s="906"/>
      <c r="DG93" s="906"/>
      <c r="DH93" s="906"/>
      <c r="DI93" s="906"/>
      <c r="DJ93" s="906"/>
      <c r="DK93" s="906"/>
      <c r="DL93" s="906"/>
      <c r="DM93" s="906"/>
      <c r="DN93" s="906"/>
      <c r="DO93" s="906"/>
      <c r="DP93" s="906"/>
      <c r="DQ93" s="906"/>
      <c r="DR93" s="906"/>
      <c r="DS93" s="906"/>
    </row>
    <row r="94" spans="1:123" s="854" customFormat="1" ht="16.5" customHeight="1">
      <c r="A94" s="891"/>
      <c r="B94" s="771"/>
      <c r="C94" s="769"/>
      <c r="D94" s="892"/>
      <c r="E94" s="893"/>
      <c r="F94" s="894"/>
      <c r="G94" s="771"/>
      <c r="H94" s="894"/>
      <c r="I94" s="895"/>
      <c r="J94" s="895"/>
      <c r="K94" s="893"/>
      <c r="L94" s="893"/>
      <c r="M94" s="893"/>
      <c r="N94" s="893"/>
      <c r="O94" s="893"/>
      <c r="P94" s="893"/>
      <c r="Q94" s="893"/>
      <c r="R94" s="906"/>
      <c r="S94" s="899"/>
      <c r="T94" s="906"/>
      <c r="U94" s="906"/>
      <c r="V94" s="906"/>
      <c r="W94" s="906"/>
      <c r="X94" s="906"/>
      <c r="Y94" s="906"/>
      <c r="Z94" s="906"/>
      <c r="AA94" s="906"/>
      <c r="AB94" s="906"/>
      <c r="AC94" s="906"/>
      <c r="AD94" s="906"/>
      <c r="AE94" s="906"/>
      <c r="AF94" s="906"/>
      <c r="AG94" s="906"/>
      <c r="AH94" s="906"/>
      <c r="AI94" s="906"/>
      <c r="AJ94" s="906"/>
      <c r="AK94" s="906"/>
      <c r="AL94" s="906"/>
      <c r="AM94" s="906"/>
      <c r="AN94" s="906"/>
      <c r="AO94" s="906"/>
      <c r="AP94" s="906"/>
      <c r="AQ94" s="906"/>
      <c r="AR94" s="906"/>
      <c r="AS94" s="906"/>
      <c r="AT94" s="906"/>
      <c r="AU94" s="906"/>
      <c r="AV94" s="906"/>
      <c r="AW94" s="906"/>
      <c r="AX94" s="906"/>
      <c r="AY94" s="906"/>
      <c r="AZ94" s="906"/>
      <c r="BA94" s="906"/>
      <c r="BB94" s="906"/>
      <c r="BC94" s="906"/>
      <c r="BD94" s="906"/>
      <c r="BE94" s="906"/>
      <c r="BF94" s="906"/>
      <c r="BG94" s="906"/>
      <c r="BH94" s="906"/>
      <c r="BI94" s="906"/>
      <c r="BJ94" s="906"/>
      <c r="BK94" s="906"/>
      <c r="BL94" s="906"/>
      <c r="BM94" s="906"/>
      <c r="BN94" s="906"/>
      <c r="BO94" s="906"/>
      <c r="BP94" s="906"/>
      <c r="BQ94" s="906"/>
      <c r="BR94" s="906"/>
      <c r="BS94" s="906"/>
      <c r="BT94" s="906"/>
      <c r="BU94" s="906"/>
      <c r="BV94" s="906"/>
      <c r="BW94" s="906"/>
      <c r="BX94" s="906"/>
      <c r="BY94" s="906"/>
      <c r="BZ94" s="906"/>
      <c r="CA94" s="906"/>
      <c r="CB94" s="906"/>
      <c r="CC94" s="906"/>
      <c r="CD94" s="906"/>
      <c r="CE94" s="906"/>
      <c r="CF94" s="906"/>
      <c r="CG94" s="906"/>
      <c r="CH94" s="906"/>
      <c r="CI94" s="906"/>
      <c r="CJ94" s="906"/>
      <c r="CK94" s="906"/>
      <c r="CL94" s="906"/>
      <c r="CM94" s="906"/>
      <c r="CN94" s="906"/>
      <c r="CO94" s="906"/>
      <c r="CP94" s="906"/>
      <c r="CQ94" s="906"/>
      <c r="CR94" s="906"/>
      <c r="CS94" s="906"/>
      <c r="CT94" s="906"/>
      <c r="CU94" s="906"/>
      <c r="CV94" s="906"/>
      <c r="CW94" s="906"/>
      <c r="CX94" s="906"/>
      <c r="CY94" s="906"/>
      <c r="CZ94" s="906"/>
      <c r="DA94" s="906"/>
      <c r="DB94" s="906"/>
      <c r="DC94" s="906"/>
      <c r="DD94" s="906"/>
      <c r="DE94" s="906"/>
      <c r="DF94" s="906"/>
      <c r="DG94" s="906"/>
      <c r="DH94" s="906"/>
      <c r="DI94" s="906"/>
      <c r="DJ94" s="906"/>
      <c r="DK94" s="906"/>
      <c r="DL94" s="906"/>
      <c r="DM94" s="906"/>
      <c r="DN94" s="906"/>
      <c r="DO94" s="906"/>
      <c r="DP94" s="906"/>
      <c r="DQ94" s="906"/>
      <c r="DR94" s="906"/>
      <c r="DS94" s="906"/>
    </row>
    <row r="95" spans="1:123" s="854" customFormat="1" ht="16.5" customHeight="1">
      <c r="A95" s="891"/>
      <c r="B95" s="771"/>
      <c r="C95" s="769"/>
      <c r="D95" s="892"/>
      <c r="E95" s="893"/>
      <c r="F95" s="894"/>
      <c r="G95" s="771"/>
      <c r="H95" s="894"/>
      <c r="I95" s="895"/>
      <c r="J95" s="895"/>
      <c r="K95" s="893"/>
      <c r="L95" s="893"/>
      <c r="M95" s="893"/>
      <c r="N95" s="893"/>
      <c r="O95" s="893"/>
      <c r="P95" s="893"/>
      <c r="Q95" s="893"/>
      <c r="R95" s="906"/>
      <c r="S95" s="899"/>
      <c r="T95" s="906"/>
      <c r="U95" s="906"/>
      <c r="V95" s="906"/>
      <c r="W95" s="906"/>
      <c r="X95" s="906"/>
      <c r="Y95" s="906"/>
      <c r="Z95" s="906"/>
      <c r="AA95" s="906"/>
      <c r="AB95" s="906"/>
      <c r="AC95" s="906"/>
      <c r="AD95" s="906"/>
      <c r="AE95" s="906"/>
      <c r="AF95" s="906"/>
      <c r="AG95" s="906"/>
      <c r="AH95" s="906"/>
      <c r="AI95" s="906"/>
      <c r="AJ95" s="906"/>
      <c r="AK95" s="906"/>
      <c r="AL95" s="906"/>
      <c r="AM95" s="906"/>
      <c r="AN95" s="906"/>
      <c r="AO95" s="906"/>
      <c r="AP95" s="906"/>
      <c r="AQ95" s="906"/>
      <c r="AR95" s="906"/>
      <c r="AS95" s="906"/>
      <c r="AT95" s="906"/>
      <c r="AU95" s="906"/>
      <c r="AV95" s="906"/>
      <c r="AW95" s="906"/>
      <c r="AX95" s="906"/>
      <c r="AY95" s="906"/>
      <c r="AZ95" s="906"/>
      <c r="BA95" s="906"/>
      <c r="BB95" s="906"/>
      <c r="BC95" s="906"/>
      <c r="BD95" s="906"/>
      <c r="BE95" s="906"/>
      <c r="BF95" s="906"/>
      <c r="BG95" s="906"/>
      <c r="BH95" s="906"/>
      <c r="BI95" s="906"/>
      <c r="BJ95" s="906"/>
      <c r="BK95" s="906"/>
      <c r="BL95" s="906"/>
      <c r="BM95" s="906"/>
      <c r="BN95" s="906"/>
      <c r="BO95" s="906"/>
      <c r="BP95" s="906"/>
      <c r="BQ95" s="906"/>
      <c r="BR95" s="906"/>
      <c r="BS95" s="906"/>
      <c r="BT95" s="906"/>
      <c r="BU95" s="906"/>
      <c r="BV95" s="906"/>
      <c r="BW95" s="906"/>
      <c r="BX95" s="906"/>
      <c r="BY95" s="906"/>
      <c r="BZ95" s="906"/>
      <c r="CA95" s="906"/>
      <c r="CB95" s="906"/>
      <c r="CC95" s="906"/>
      <c r="CD95" s="906"/>
      <c r="CE95" s="906"/>
      <c r="CF95" s="906"/>
      <c r="CG95" s="906"/>
      <c r="CH95" s="906"/>
      <c r="CI95" s="906"/>
      <c r="CJ95" s="906"/>
      <c r="CK95" s="906"/>
      <c r="CL95" s="906"/>
      <c r="CM95" s="906"/>
      <c r="CN95" s="906"/>
      <c r="CO95" s="906"/>
      <c r="CP95" s="906"/>
      <c r="CQ95" s="906"/>
      <c r="CR95" s="906"/>
      <c r="CS95" s="906"/>
      <c r="CT95" s="906"/>
      <c r="CU95" s="906"/>
      <c r="CV95" s="906"/>
      <c r="CW95" s="906"/>
      <c r="CX95" s="906"/>
      <c r="CY95" s="906"/>
      <c r="CZ95" s="906"/>
      <c r="DA95" s="906"/>
      <c r="DB95" s="906"/>
      <c r="DC95" s="906"/>
      <c r="DD95" s="906"/>
      <c r="DE95" s="906"/>
      <c r="DF95" s="906"/>
      <c r="DG95" s="906"/>
      <c r="DH95" s="906"/>
      <c r="DI95" s="906"/>
      <c r="DJ95" s="906"/>
      <c r="DK95" s="906"/>
      <c r="DL95" s="906"/>
      <c r="DM95" s="906"/>
      <c r="DN95" s="906"/>
      <c r="DO95" s="906"/>
      <c r="DP95" s="906"/>
      <c r="DQ95" s="906"/>
      <c r="DR95" s="906"/>
      <c r="DS95" s="906"/>
    </row>
    <row r="96" spans="1:123" s="854" customFormat="1" ht="16.5" customHeight="1">
      <c r="A96" s="891"/>
      <c r="B96" s="771"/>
      <c r="C96" s="769"/>
      <c r="D96" s="892"/>
      <c r="E96" s="893"/>
      <c r="F96" s="894"/>
      <c r="G96" s="771"/>
      <c r="H96" s="894"/>
      <c r="I96" s="895"/>
      <c r="J96" s="895"/>
      <c r="K96" s="893"/>
      <c r="L96" s="893"/>
      <c r="M96" s="893"/>
      <c r="N96" s="893"/>
      <c r="O96" s="893"/>
      <c r="P96" s="893"/>
      <c r="Q96" s="893"/>
      <c r="R96" s="906"/>
      <c r="S96" s="899"/>
      <c r="T96" s="906"/>
      <c r="U96" s="906"/>
      <c r="V96" s="906"/>
      <c r="W96" s="906"/>
      <c r="X96" s="906"/>
      <c r="Y96" s="906"/>
      <c r="Z96" s="906"/>
      <c r="AA96" s="906"/>
      <c r="AB96" s="906"/>
      <c r="AC96" s="906"/>
      <c r="AD96" s="906"/>
      <c r="AE96" s="906"/>
      <c r="AF96" s="906"/>
      <c r="AG96" s="906"/>
      <c r="AH96" s="906"/>
      <c r="AI96" s="906"/>
      <c r="AJ96" s="906"/>
      <c r="AK96" s="906"/>
      <c r="AL96" s="906"/>
      <c r="AM96" s="906"/>
      <c r="AN96" s="906"/>
      <c r="AO96" s="906"/>
      <c r="AP96" s="906"/>
      <c r="AQ96" s="906"/>
      <c r="AR96" s="906"/>
      <c r="AS96" s="906"/>
      <c r="AT96" s="906"/>
      <c r="AU96" s="906"/>
      <c r="AV96" s="906"/>
      <c r="AW96" s="906"/>
      <c r="AX96" s="906"/>
      <c r="AY96" s="906"/>
      <c r="AZ96" s="906"/>
      <c r="BA96" s="906"/>
      <c r="BB96" s="906"/>
      <c r="BC96" s="906"/>
      <c r="BD96" s="906"/>
      <c r="BE96" s="906"/>
      <c r="BF96" s="906"/>
      <c r="BG96" s="906"/>
      <c r="BH96" s="906"/>
      <c r="BI96" s="906"/>
      <c r="BJ96" s="906"/>
      <c r="BK96" s="906"/>
      <c r="BL96" s="906"/>
      <c r="BM96" s="906"/>
      <c r="BN96" s="906"/>
      <c r="BO96" s="906"/>
      <c r="BP96" s="906"/>
      <c r="BQ96" s="906"/>
      <c r="BR96" s="906"/>
      <c r="BS96" s="906"/>
      <c r="BT96" s="906"/>
      <c r="BU96" s="906"/>
      <c r="BV96" s="906"/>
      <c r="BW96" s="906"/>
      <c r="BX96" s="906"/>
      <c r="BY96" s="906"/>
      <c r="BZ96" s="906"/>
      <c r="CA96" s="906"/>
      <c r="CB96" s="906"/>
      <c r="CC96" s="906"/>
      <c r="CD96" s="906"/>
      <c r="CE96" s="906"/>
      <c r="CF96" s="906"/>
      <c r="CG96" s="906"/>
      <c r="CH96" s="906"/>
      <c r="CI96" s="906"/>
      <c r="CJ96" s="906"/>
      <c r="CK96" s="906"/>
      <c r="CL96" s="906"/>
      <c r="CM96" s="906"/>
      <c r="CN96" s="906"/>
      <c r="CO96" s="906"/>
      <c r="CP96" s="906"/>
      <c r="CQ96" s="906"/>
      <c r="CR96" s="906"/>
      <c r="CS96" s="906"/>
      <c r="CT96" s="906"/>
      <c r="CU96" s="906"/>
      <c r="CV96" s="906"/>
      <c r="CW96" s="906"/>
      <c r="CX96" s="906"/>
      <c r="CY96" s="906"/>
      <c r="CZ96" s="906"/>
      <c r="DA96" s="906"/>
      <c r="DB96" s="906"/>
      <c r="DC96" s="906"/>
      <c r="DD96" s="906"/>
      <c r="DE96" s="906"/>
      <c r="DF96" s="906"/>
      <c r="DG96" s="906"/>
      <c r="DH96" s="906"/>
      <c r="DI96" s="906"/>
      <c r="DJ96" s="906"/>
      <c r="DK96" s="906"/>
      <c r="DL96" s="906"/>
      <c r="DM96" s="906"/>
      <c r="DN96" s="906"/>
      <c r="DO96" s="906"/>
      <c r="DP96" s="906"/>
      <c r="DQ96" s="906"/>
      <c r="DR96" s="906"/>
      <c r="DS96" s="906"/>
    </row>
    <row r="97" spans="1:123" s="854" customFormat="1" ht="16.5" customHeight="1">
      <c r="A97" s="891"/>
      <c r="B97" s="771"/>
      <c r="C97" s="769"/>
      <c r="D97" s="892"/>
      <c r="E97" s="893"/>
      <c r="F97" s="894"/>
      <c r="G97" s="771"/>
      <c r="H97" s="894"/>
      <c r="I97" s="895"/>
      <c r="J97" s="895"/>
      <c r="K97" s="893"/>
      <c r="L97" s="893"/>
      <c r="M97" s="893"/>
      <c r="N97" s="893"/>
      <c r="O97" s="893"/>
      <c r="P97" s="893"/>
      <c r="Q97" s="893"/>
      <c r="R97" s="906"/>
      <c r="S97" s="899"/>
      <c r="T97" s="906"/>
      <c r="U97" s="906"/>
      <c r="V97" s="906"/>
      <c r="W97" s="906"/>
      <c r="X97" s="906"/>
      <c r="Y97" s="906"/>
      <c r="Z97" s="906"/>
      <c r="AA97" s="906"/>
      <c r="AB97" s="906"/>
      <c r="AC97" s="906"/>
      <c r="AD97" s="906"/>
      <c r="AE97" s="906"/>
      <c r="AF97" s="906"/>
      <c r="AG97" s="906"/>
      <c r="AH97" s="906"/>
      <c r="AI97" s="906"/>
      <c r="AJ97" s="906"/>
      <c r="AK97" s="906"/>
      <c r="AL97" s="906"/>
      <c r="AM97" s="906"/>
      <c r="AN97" s="906"/>
      <c r="AO97" s="906"/>
      <c r="AP97" s="906"/>
      <c r="AQ97" s="906"/>
      <c r="AR97" s="906"/>
      <c r="AS97" s="906"/>
      <c r="AT97" s="906"/>
      <c r="AU97" s="906"/>
      <c r="AV97" s="906"/>
      <c r="AW97" s="906"/>
      <c r="AX97" s="906"/>
      <c r="AY97" s="906"/>
      <c r="AZ97" s="906"/>
      <c r="BA97" s="906"/>
      <c r="BB97" s="906"/>
      <c r="BC97" s="906"/>
      <c r="BD97" s="906"/>
      <c r="BE97" s="906"/>
      <c r="BF97" s="906"/>
      <c r="BG97" s="906"/>
      <c r="BH97" s="906"/>
      <c r="BI97" s="906"/>
      <c r="BJ97" s="906"/>
      <c r="BK97" s="906"/>
      <c r="BL97" s="906"/>
      <c r="BM97" s="906"/>
      <c r="BN97" s="906"/>
      <c r="BO97" s="906"/>
      <c r="BP97" s="906"/>
      <c r="BQ97" s="906"/>
      <c r="BR97" s="906"/>
      <c r="BS97" s="906"/>
      <c r="BT97" s="906"/>
      <c r="BU97" s="906"/>
      <c r="BV97" s="906"/>
      <c r="BW97" s="906"/>
      <c r="BX97" s="906"/>
      <c r="BY97" s="906"/>
      <c r="BZ97" s="906"/>
      <c r="CA97" s="906"/>
      <c r="CB97" s="906"/>
      <c r="CC97" s="906"/>
      <c r="CD97" s="906"/>
      <c r="CE97" s="906"/>
      <c r="CF97" s="906"/>
      <c r="CG97" s="906"/>
      <c r="CH97" s="906"/>
      <c r="CI97" s="906"/>
      <c r="CJ97" s="906"/>
      <c r="CK97" s="906"/>
      <c r="CL97" s="906"/>
      <c r="CM97" s="906"/>
      <c r="CN97" s="906"/>
      <c r="CO97" s="906"/>
      <c r="CP97" s="906"/>
      <c r="CQ97" s="906"/>
      <c r="CR97" s="906"/>
      <c r="CS97" s="906"/>
      <c r="CT97" s="906"/>
      <c r="CU97" s="906"/>
      <c r="CV97" s="906"/>
      <c r="CW97" s="906"/>
      <c r="CX97" s="906"/>
      <c r="CY97" s="906"/>
      <c r="CZ97" s="906"/>
      <c r="DA97" s="906"/>
      <c r="DB97" s="906"/>
      <c r="DC97" s="906"/>
      <c r="DD97" s="906"/>
      <c r="DE97" s="906"/>
      <c r="DF97" s="906"/>
      <c r="DG97" s="906"/>
      <c r="DH97" s="906"/>
      <c r="DI97" s="906"/>
      <c r="DJ97" s="906"/>
      <c r="DK97" s="906"/>
      <c r="DL97" s="906"/>
      <c r="DM97" s="906"/>
      <c r="DN97" s="906"/>
      <c r="DO97" s="906"/>
      <c r="DP97" s="906"/>
      <c r="DQ97" s="906"/>
      <c r="DR97" s="906"/>
      <c r="DS97" s="906"/>
    </row>
    <row r="98" spans="1:123" s="854" customFormat="1" ht="16.5" customHeight="1">
      <c r="A98" s="891"/>
      <c r="B98" s="771"/>
      <c r="C98" s="769"/>
      <c r="D98" s="892"/>
      <c r="E98" s="893"/>
      <c r="F98" s="894"/>
      <c r="G98" s="771"/>
      <c r="H98" s="894"/>
      <c r="I98" s="895"/>
      <c r="J98" s="895"/>
      <c r="K98" s="893"/>
      <c r="L98" s="893"/>
      <c r="M98" s="893"/>
      <c r="N98" s="893"/>
      <c r="O98" s="893"/>
      <c r="P98" s="893"/>
      <c r="Q98" s="893"/>
      <c r="R98" s="906"/>
      <c r="S98" s="899"/>
      <c r="T98" s="906"/>
      <c r="U98" s="906"/>
      <c r="V98" s="906"/>
      <c r="W98" s="906"/>
      <c r="X98" s="906"/>
      <c r="Y98" s="906"/>
      <c r="Z98" s="906"/>
      <c r="AA98" s="906"/>
      <c r="AB98" s="906"/>
      <c r="AC98" s="906"/>
      <c r="AD98" s="906"/>
      <c r="AE98" s="906"/>
      <c r="AF98" s="906"/>
      <c r="AG98" s="906"/>
      <c r="AH98" s="906"/>
      <c r="AI98" s="906"/>
      <c r="AJ98" s="906"/>
      <c r="AK98" s="906"/>
      <c r="AL98" s="906"/>
      <c r="AM98" s="906"/>
      <c r="AN98" s="906"/>
      <c r="AO98" s="906"/>
      <c r="AP98" s="906"/>
      <c r="AQ98" s="906"/>
      <c r="AR98" s="906"/>
      <c r="AS98" s="906"/>
      <c r="AT98" s="906"/>
      <c r="AU98" s="906"/>
      <c r="AV98" s="906"/>
      <c r="AW98" s="906"/>
      <c r="AX98" s="906"/>
      <c r="AY98" s="906"/>
      <c r="AZ98" s="906"/>
      <c r="BA98" s="906"/>
      <c r="BB98" s="906"/>
      <c r="BC98" s="906"/>
      <c r="BD98" s="906"/>
      <c r="BE98" s="906"/>
      <c r="BF98" s="906"/>
      <c r="BG98" s="906"/>
      <c r="BH98" s="906"/>
      <c r="BI98" s="906"/>
      <c r="BJ98" s="906"/>
      <c r="BK98" s="906"/>
      <c r="BL98" s="906"/>
      <c r="BM98" s="906"/>
      <c r="BN98" s="906"/>
      <c r="BO98" s="906"/>
      <c r="BP98" s="906"/>
      <c r="BQ98" s="906"/>
      <c r="BR98" s="906"/>
      <c r="BS98" s="906"/>
      <c r="BT98" s="906"/>
      <c r="BU98" s="906"/>
      <c r="BV98" s="906"/>
      <c r="BW98" s="906"/>
      <c r="BX98" s="906"/>
      <c r="BY98" s="906"/>
      <c r="BZ98" s="906"/>
      <c r="CA98" s="906"/>
      <c r="CB98" s="906"/>
      <c r="CC98" s="906"/>
      <c r="CD98" s="906"/>
      <c r="CE98" s="906"/>
      <c r="CF98" s="906"/>
      <c r="CG98" s="906"/>
      <c r="CH98" s="906"/>
      <c r="CI98" s="906"/>
      <c r="CJ98" s="906"/>
      <c r="CK98" s="906"/>
      <c r="CL98" s="906"/>
      <c r="CM98" s="906"/>
      <c r="CN98" s="906"/>
      <c r="CO98" s="906"/>
      <c r="CP98" s="906"/>
      <c r="CQ98" s="906"/>
      <c r="CR98" s="906"/>
      <c r="CS98" s="906"/>
      <c r="CT98" s="906"/>
      <c r="CU98" s="906"/>
      <c r="CV98" s="906"/>
      <c r="CW98" s="906"/>
      <c r="CX98" s="906"/>
      <c r="CY98" s="906"/>
      <c r="CZ98" s="906"/>
      <c r="DA98" s="906"/>
      <c r="DB98" s="906"/>
      <c r="DC98" s="906"/>
      <c r="DD98" s="906"/>
      <c r="DE98" s="906"/>
      <c r="DF98" s="906"/>
      <c r="DG98" s="906"/>
      <c r="DH98" s="906"/>
      <c r="DI98" s="906"/>
      <c r="DJ98" s="906"/>
      <c r="DK98" s="906"/>
      <c r="DL98" s="906"/>
      <c r="DM98" s="906"/>
      <c r="DN98" s="906"/>
      <c r="DO98" s="906"/>
      <c r="DP98" s="906"/>
      <c r="DQ98" s="906"/>
      <c r="DR98" s="906"/>
      <c r="DS98" s="906"/>
    </row>
    <row r="99" spans="1:123" s="854" customFormat="1" ht="16.5" customHeight="1">
      <c r="A99" s="891"/>
      <c r="B99" s="771"/>
      <c r="C99" s="769"/>
      <c r="D99" s="892"/>
      <c r="E99" s="893"/>
      <c r="F99" s="894"/>
      <c r="G99" s="771"/>
      <c r="H99" s="894"/>
      <c r="I99" s="895"/>
      <c r="J99" s="895"/>
      <c r="K99" s="893"/>
      <c r="L99" s="893"/>
      <c r="M99" s="893"/>
      <c r="N99" s="893"/>
      <c r="O99" s="893"/>
      <c r="P99" s="893"/>
      <c r="Q99" s="893"/>
      <c r="R99" s="906"/>
      <c r="S99" s="899"/>
      <c r="T99" s="906"/>
      <c r="U99" s="906"/>
      <c r="V99" s="906"/>
      <c r="W99" s="906"/>
      <c r="X99" s="906"/>
      <c r="Y99" s="906"/>
      <c r="Z99" s="906"/>
      <c r="AA99" s="906"/>
      <c r="AB99" s="906"/>
      <c r="AC99" s="906"/>
      <c r="AD99" s="906"/>
      <c r="AE99" s="906"/>
      <c r="AF99" s="906"/>
      <c r="AG99" s="906"/>
      <c r="AH99" s="906"/>
      <c r="AI99" s="906"/>
      <c r="AJ99" s="906"/>
      <c r="AK99" s="906"/>
      <c r="AL99" s="906"/>
      <c r="AM99" s="906"/>
      <c r="AN99" s="906"/>
      <c r="AO99" s="906"/>
      <c r="AP99" s="906"/>
      <c r="AQ99" s="906"/>
      <c r="AR99" s="906"/>
      <c r="AS99" s="906"/>
      <c r="AT99" s="906"/>
      <c r="AU99" s="906"/>
      <c r="AV99" s="906"/>
      <c r="AW99" s="906"/>
      <c r="AX99" s="906"/>
      <c r="AY99" s="906"/>
      <c r="AZ99" s="906"/>
      <c r="BA99" s="906"/>
      <c r="BB99" s="906"/>
      <c r="BC99" s="906"/>
      <c r="BD99" s="906"/>
      <c r="BE99" s="906"/>
      <c r="BF99" s="906"/>
      <c r="BG99" s="906"/>
      <c r="BH99" s="906"/>
      <c r="BI99" s="906"/>
      <c r="BJ99" s="906"/>
      <c r="BK99" s="906"/>
      <c r="BL99" s="906"/>
      <c r="BM99" s="906"/>
      <c r="BN99" s="906"/>
      <c r="BO99" s="906"/>
      <c r="BP99" s="906"/>
      <c r="BQ99" s="906"/>
      <c r="BR99" s="906"/>
      <c r="BS99" s="906"/>
      <c r="BT99" s="906"/>
      <c r="BU99" s="906"/>
      <c r="BV99" s="906"/>
      <c r="BW99" s="906"/>
      <c r="BX99" s="906"/>
      <c r="BY99" s="906"/>
      <c r="BZ99" s="906"/>
      <c r="CA99" s="906"/>
      <c r="CB99" s="906"/>
      <c r="CC99" s="906"/>
      <c r="CD99" s="906"/>
      <c r="CE99" s="906"/>
      <c r="CF99" s="906"/>
      <c r="CG99" s="906"/>
      <c r="CH99" s="906"/>
      <c r="CI99" s="906"/>
      <c r="CJ99" s="906"/>
      <c r="CK99" s="906"/>
      <c r="CL99" s="906"/>
      <c r="CM99" s="906"/>
      <c r="CN99" s="906"/>
      <c r="CO99" s="906"/>
      <c r="CP99" s="906"/>
      <c r="CQ99" s="906"/>
      <c r="CR99" s="906"/>
      <c r="CS99" s="906"/>
      <c r="CT99" s="906"/>
      <c r="CU99" s="906"/>
      <c r="CV99" s="906"/>
      <c r="CW99" s="906"/>
      <c r="CX99" s="906"/>
      <c r="CY99" s="906"/>
      <c r="CZ99" s="906"/>
      <c r="DA99" s="906"/>
      <c r="DB99" s="906"/>
      <c r="DC99" s="906"/>
      <c r="DD99" s="906"/>
      <c r="DE99" s="906"/>
      <c r="DF99" s="906"/>
      <c r="DG99" s="906"/>
      <c r="DH99" s="906"/>
      <c r="DI99" s="906"/>
      <c r="DJ99" s="906"/>
      <c r="DK99" s="906"/>
      <c r="DL99" s="906"/>
      <c r="DM99" s="906"/>
      <c r="DN99" s="906"/>
      <c r="DO99" s="906"/>
      <c r="DP99" s="906"/>
      <c r="DQ99" s="906"/>
      <c r="DR99" s="906"/>
      <c r="DS99" s="906"/>
    </row>
    <row r="100" spans="1:123" s="854" customFormat="1" ht="16.5" customHeight="1">
      <c r="A100" s="891"/>
      <c r="B100" s="771"/>
      <c r="C100" s="769"/>
      <c r="D100" s="892"/>
      <c r="E100" s="893"/>
      <c r="F100" s="894"/>
      <c r="G100" s="771"/>
      <c r="H100" s="894"/>
      <c r="I100" s="895"/>
      <c r="J100" s="895"/>
      <c r="K100" s="893"/>
      <c r="L100" s="893"/>
      <c r="M100" s="893"/>
      <c r="N100" s="893"/>
      <c r="O100" s="893"/>
      <c r="P100" s="893"/>
      <c r="Q100" s="893"/>
      <c r="R100" s="906"/>
      <c r="S100" s="899"/>
      <c r="T100" s="906"/>
      <c r="U100" s="906"/>
      <c r="V100" s="906"/>
      <c r="W100" s="906"/>
      <c r="X100" s="906"/>
      <c r="Y100" s="906"/>
      <c r="Z100" s="906"/>
      <c r="AA100" s="906"/>
      <c r="AB100" s="906"/>
      <c r="AC100" s="906"/>
      <c r="AD100" s="906"/>
      <c r="AE100" s="906"/>
      <c r="AF100" s="906"/>
      <c r="AG100" s="906"/>
      <c r="AH100" s="906"/>
      <c r="AI100" s="906"/>
      <c r="AJ100" s="906"/>
      <c r="AK100" s="906"/>
      <c r="AL100" s="906"/>
      <c r="AM100" s="906"/>
      <c r="AN100" s="906"/>
      <c r="AO100" s="906"/>
      <c r="AP100" s="906"/>
      <c r="AQ100" s="906"/>
      <c r="AR100" s="906"/>
      <c r="AS100" s="906"/>
      <c r="AT100" s="906"/>
      <c r="AU100" s="906"/>
      <c r="AV100" s="906"/>
      <c r="AW100" s="906"/>
      <c r="AX100" s="906"/>
      <c r="AY100" s="906"/>
      <c r="AZ100" s="906"/>
      <c r="BA100" s="906"/>
      <c r="BB100" s="906"/>
      <c r="BC100" s="906"/>
      <c r="BD100" s="906"/>
      <c r="BE100" s="906"/>
      <c r="BF100" s="906"/>
      <c r="BG100" s="906"/>
      <c r="BH100" s="906"/>
      <c r="BI100" s="906"/>
      <c r="BJ100" s="906"/>
      <c r="BK100" s="906"/>
      <c r="BL100" s="906"/>
      <c r="BM100" s="906"/>
      <c r="BN100" s="906"/>
      <c r="BO100" s="906"/>
      <c r="BP100" s="906"/>
      <c r="BQ100" s="906"/>
      <c r="BR100" s="906"/>
      <c r="BS100" s="906"/>
      <c r="BT100" s="906"/>
      <c r="BU100" s="906"/>
      <c r="BV100" s="906"/>
      <c r="BW100" s="906"/>
      <c r="BX100" s="906"/>
      <c r="BY100" s="906"/>
      <c r="BZ100" s="906"/>
      <c r="CA100" s="906"/>
      <c r="CB100" s="906"/>
      <c r="CC100" s="906"/>
      <c r="CD100" s="906"/>
      <c r="CE100" s="906"/>
      <c r="CF100" s="906"/>
      <c r="CG100" s="906"/>
      <c r="CH100" s="906"/>
      <c r="CI100" s="906"/>
      <c r="CJ100" s="906"/>
      <c r="CK100" s="906"/>
      <c r="CL100" s="906"/>
      <c r="CM100" s="906"/>
      <c r="CN100" s="906"/>
      <c r="CO100" s="906"/>
      <c r="CP100" s="906"/>
      <c r="CQ100" s="906"/>
      <c r="CR100" s="906"/>
      <c r="CS100" s="906"/>
      <c r="CT100" s="906"/>
      <c r="CU100" s="906"/>
      <c r="CV100" s="906"/>
      <c r="CW100" s="906"/>
      <c r="CX100" s="906"/>
      <c r="CY100" s="906"/>
      <c r="CZ100" s="906"/>
      <c r="DA100" s="906"/>
      <c r="DB100" s="906"/>
      <c r="DC100" s="906"/>
      <c r="DD100" s="906"/>
      <c r="DE100" s="906"/>
      <c r="DF100" s="906"/>
      <c r="DG100" s="906"/>
      <c r="DH100" s="906"/>
      <c r="DI100" s="906"/>
      <c r="DJ100" s="906"/>
      <c r="DK100" s="906"/>
      <c r="DL100" s="906"/>
      <c r="DM100" s="906"/>
      <c r="DN100" s="906"/>
      <c r="DO100" s="906"/>
      <c r="DP100" s="906"/>
      <c r="DQ100" s="906"/>
      <c r="DR100" s="906"/>
      <c r="DS100" s="906"/>
    </row>
    <row r="101" spans="1:123" s="854" customFormat="1" ht="16.5" customHeight="1">
      <c r="A101" s="891"/>
      <c r="B101" s="771"/>
      <c r="C101" s="769"/>
      <c r="D101" s="892"/>
      <c r="E101" s="893"/>
      <c r="F101" s="894"/>
      <c r="G101" s="771"/>
      <c r="H101" s="894"/>
      <c r="I101" s="895"/>
      <c r="J101" s="895"/>
      <c r="K101" s="893"/>
      <c r="L101" s="893"/>
      <c r="M101" s="893"/>
      <c r="N101" s="893"/>
      <c r="O101" s="893"/>
      <c r="P101" s="893"/>
      <c r="Q101" s="893"/>
      <c r="R101" s="906"/>
      <c r="S101" s="899"/>
      <c r="T101" s="906"/>
      <c r="U101" s="906"/>
      <c r="V101" s="906"/>
      <c r="W101" s="906"/>
      <c r="X101" s="906"/>
      <c r="Y101" s="906"/>
      <c r="Z101" s="906"/>
      <c r="AA101" s="906"/>
      <c r="AB101" s="906"/>
      <c r="AC101" s="906"/>
      <c r="AD101" s="906"/>
      <c r="AE101" s="906"/>
      <c r="AF101" s="906"/>
      <c r="AG101" s="906"/>
      <c r="AH101" s="906"/>
      <c r="AI101" s="906"/>
      <c r="AJ101" s="906"/>
      <c r="AK101" s="906"/>
      <c r="AL101" s="906"/>
      <c r="AM101" s="906"/>
      <c r="AN101" s="906"/>
      <c r="AO101" s="906"/>
      <c r="AP101" s="906"/>
      <c r="AQ101" s="906"/>
      <c r="AR101" s="906"/>
      <c r="AS101" s="906"/>
      <c r="AT101" s="906"/>
      <c r="AU101" s="906"/>
      <c r="AV101" s="906"/>
      <c r="AW101" s="906"/>
      <c r="AX101" s="906"/>
      <c r="AY101" s="906"/>
      <c r="AZ101" s="906"/>
      <c r="BA101" s="906"/>
      <c r="BB101" s="906"/>
      <c r="BC101" s="906"/>
      <c r="BD101" s="906"/>
      <c r="BE101" s="906"/>
      <c r="BF101" s="906"/>
      <c r="BG101" s="906"/>
      <c r="BH101" s="906"/>
      <c r="BI101" s="906"/>
      <c r="BJ101" s="906"/>
      <c r="BK101" s="906"/>
      <c r="BL101" s="906"/>
      <c r="BM101" s="906"/>
      <c r="BN101" s="906"/>
      <c r="BO101" s="906"/>
      <c r="BP101" s="906"/>
      <c r="BQ101" s="906"/>
      <c r="BR101" s="906"/>
      <c r="BS101" s="906"/>
      <c r="BT101" s="906"/>
      <c r="BU101" s="906"/>
      <c r="BV101" s="906"/>
      <c r="BW101" s="906"/>
      <c r="BX101" s="906"/>
      <c r="BY101" s="906"/>
      <c r="BZ101" s="906"/>
      <c r="CA101" s="906"/>
      <c r="CB101" s="906"/>
      <c r="CC101" s="906"/>
      <c r="CD101" s="906"/>
      <c r="CE101" s="906"/>
      <c r="CF101" s="906"/>
      <c r="CG101" s="906"/>
      <c r="CH101" s="906"/>
      <c r="CI101" s="906"/>
      <c r="CJ101" s="906"/>
      <c r="CK101" s="906"/>
      <c r="CL101" s="906"/>
      <c r="CM101" s="906"/>
      <c r="CN101" s="906"/>
      <c r="CO101" s="906"/>
      <c r="CP101" s="906"/>
      <c r="CQ101" s="906"/>
      <c r="CR101" s="906"/>
      <c r="CS101" s="906"/>
      <c r="CT101" s="906"/>
      <c r="CU101" s="906"/>
      <c r="CV101" s="906"/>
      <c r="CW101" s="906"/>
      <c r="CX101" s="906"/>
      <c r="CY101" s="906"/>
      <c r="CZ101" s="906"/>
      <c r="DA101" s="906"/>
      <c r="DB101" s="906"/>
      <c r="DC101" s="906"/>
      <c r="DD101" s="906"/>
      <c r="DE101" s="906"/>
      <c r="DF101" s="906"/>
      <c r="DG101" s="906"/>
      <c r="DH101" s="906"/>
      <c r="DI101" s="906"/>
      <c r="DJ101" s="906"/>
      <c r="DK101" s="906"/>
      <c r="DL101" s="906"/>
      <c r="DM101" s="906"/>
      <c r="DN101" s="906"/>
      <c r="DO101" s="906"/>
      <c r="DP101" s="906"/>
      <c r="DQ101" s="906"/>
      <c r="DR101" s="906"/>
      <c r="DS101" s="906"/>
    </row>
    <row r="102" spans="1:123" s="854" customFormat="1" ht="16.5" customHeight="1">
      <c r="A102" s="891"/>
      <c r="B102" s="771"/>
      <c r="C102" s="769"/>
      <c r="D102" s="892"/>
      <c r="E102" s="893"/>
      <c r="F102" s="894"/>
      <c r="G102" s="771"/>
      <c r="H102" s="894"/>
      <c r="I102" s="895"/>
      <c r="J102" s="895"/>
      <c r="K102" s="893"/>
      <c r="L102" s="893"/>
      <c r="M102" s="893"/>
      <c r="N102" s="893"/>
      <c r="O102" s="893"/>
      <c r="P102" s="893"/>
      <c r="Q102" s="893"/>
      <c r="R102" s="906"/>
      <c r="S102" s="899"/>
      <c r="T102" s="906"/>
      <c r="U102" s="906"/>
      <c r="V102" s="906"/>
      <c r="W102" s="906"/>
      <c r="X102" s="906"/>
      <c r="Y102" s="906"/>
      <c r="Z102" s="906"/>
      <c r="AA102" s="906"/>
      <c r="AB102" s="906"/>
      <c r="AC102" s="906"/>
      <c r="AD102" s="906"/>
      <c r="AE102" s="906"/>
      <c r="AF102" s="906"/>
      <c r="AG102" s="906"/>
      <c r="AH102" s="906"/>
      <c r="AI102" s="906"/>
      <c r="AJ102" s="906"/>
      <c r="AK102" s="906"/>
      <c r="AL102" s="906"/>
      <c r="AM102" s="906"/>
      <c r="AN102" s="906"/>
      <c r="AO102" s="906"/>
      <c r="AP102" s="906"/>
      <c r="AQ102" s="906"/>
      <c r="AR102" s="906"/>
      <c r="AS102" s="906"/>
      <c r="AT102" s="906"/>
      <c r="AU102" s="906"/>
      <c r="AV102" s="906"/>
      <c r="AW102" s="906"/>
      <c r="AX102" s="906"/>
      <c r="AY102" s="906"/>
      <c r="AZ102" s="906"/>
      <c r="BA102" s="906"/>
      <c r="BB102" s="906"/>
      <c r="BC102" s="906"/>
      <c r="BD102" s="906"/>
      <c r="BE102" s="906"/>
      <c r="BF102" s="906"/>
      <c r="BG102" s="906"/>
      <c r="BH102" s="906"/>
      <c r="BI102" s="906"/>
      <c r="BJ102" s="906"/>
      <c r="BK102" s="906"/>
      <c r="BL102" s="906"/>
      <c r="BM102" s="906"/>
      <c r="BN102" s="906"/>
      <c r="BO102" s="906"/>
      <c r="BP102" s="906"/>
      <c r="BQ102" s="906"/>
      <c r="BR102" s="906"/>
      <c r="BS102" s="906"/>
      <c r="BT102" s="906"/>
      <c r="BU102" s="906"/>
      <c r="BV102" s="906"/>
      <c r="BW102" s="906"/>
      <c r="BX102" s="906"/>
      <c r="BY102" s="906"/>
      <c r="BZ102" s="906"/>
      <c r="CA102" s="906"/>
      <c r="CB102" s="906"/>
      <c r="CC102" s="906"/>
      <c r="CD102" s="906"/>
      <c r="CE102" s="906"/>
      <c r="CF102" s="906"/>
      <c r="CG102" s="906"/>
      <c r="CH102" s="906"/>
      <c r="CI102" s="906"/>
      <c r="CJ102" s="906"/>
      <c r="CK102" s="906"/>
      <c r="CL102" s="906"/>
      <c r="CM102" s="906"/>
      <c r="CN102" s="906"/>
      <c r="CO102" s="906"/>
      <c r="CP102" s="906"/>
      <c r="CQ102" s="906"/>
      <c r="CR102" s="906"/>
      <c r="CS102" s="906"/>
      <c r="CT102" s="906"/>
      <c r="CU102" s="906"/>
      <c r="CV102" s="906"/>
      <c r="CW102" s="906"/>
      <c r="CX102" s="906"/>
      <c r="CY102" s="906"/>
      <c r="CZ102" s="906"/>
      <c r="DA102" s="906"/>
      <c r="DB102" s="906"/>
      <c r="DC102" s="906"/>
      <c r="DD102" s="906"/>
      <c r="DE102" s="906"/>
      <c r="DF102" s="906"/>
      <c r="DG102" s="906"/>
      <c r="DH102" s="906"/>
      <c r="DI102" s="906"/>
      <c r="DJ102" s="906"/>
      <c r="DK102" s="906"/>
      <c r="DL102" s="906"/>
      <c r="DM102" s="906"/>
      <c r="DN102" s="906"/>
      <c r="DO102" s="906"/>
      <c r="DP102" s="906"/>
      <c r="DQ102" s="906"/>
      <c r="DR102" s="906"/>
      <c r="DS102" s="906"/>
    </row>
    <row r="103" spans="1:123" s="854" customFormat="1" ht="16.5" customHeight="1">
      <c r="A103" s="891"/>
      <c r="B103" s="771"/>
      <c r="C103" s="769"/>
      <c r="D103" s="892"/>
      <c r="E103" s="893"/>
      <c r="F103" s="894"/>
      <c r="G103" s="771"/>
      <c r="H103" s="894"/>
      <c r="I103" s="895"/>
      <c r="J103" s="895"/>
      <c r="K103" s="893"/>
      <c r="L103" s="893"/>
      <c r="M103" s="893"/>
      <c r="N103" s="893"/>
      <c r="O103" s="893"/>
      <c r="P103" s="893"/>
      <c r="Q103" s="893"/>
      <c r="R103" s="906"/>
      <c r="S103" s="899"/>
      <c r="T103" s="906"/>
      <c r="U103" s="906"/>
      <c r="V103" s="906"/>
      <c r="W103" s="906"/>
      <c r="X103" s="906"/>
      <c r="Y103" s="906"/>
      <c r="Z103" s="906"/>
      <c r="AA103" s="906"/>
      <c r="AB103" s="906"/>
      <c r="AC103" s="906"/>
      <c r="AD103" s="906"/>
      <c r="AE103" s="906"/>
      <c r="AF103" s="906"/>
      <c r="AG103" s="906"/>
      <c r="AH103" s="906"/>
      <c r="AI103" s="906"/>
      <c r="AJ103" s="906"/>
      <c r="AK103" s="906"/>
      <c r="AL103" s="906"/>
      <c r="AM103" s="906"/>
      <c r="AN103" s="906"/>
      <c r="AO103" s="906"/>
      <c r="AP103" s="906"/>
      <c r="AQ103" s="906"/>
      <c r="AR103" s="906"/>
      <c r="AS103" s="906"/>
      <c r="AT103" s="906"/>
      <c r="AU103" s="906"/>
      <c r="AV103" s="906"/>
      <c r="AW103" s="906"/>
      <c r="AX103" s="906"/>
      <c r="AY103" s="906"/>
      <c r="AZ103" s="906"/>
      <c r="BA103" s="906"/>
      <c r="BB103" s="906"/>
      <c r="BC103" s="906"/>
      <c r="BD103" s="906"/>
      <c r="BE103" s="906"/>
      <c r="BF103" s="906"/>
      <c r="BG103" s="906"/>
      <c r="BH103" s="906"/>
      <c r="BI103" s="906"/>
      <c r="BJ103" s="906"/>
      <c r="BK103" s="906"/>
      <c r="BL103" s="906"/>
      <c r="BM103" s="906"/>
      <c r="BN103" s="906"/>
      <c r="BO103" s="906"/>
      <c r="BP103" s="906"/>
      <c r="BQ103" s="906"/>
      <c r="BR103" s="906"/>
      <c r="BS103" s="906"/>
      <c r="BT103" s="906"/>
      <c r="BU103" s="906"/>
      <c r="BV103" s="906"/>
      <c r="BW103" s="906"/>
      <c r="BX103" s="906"/>
      <c r="BY103" s="906"/>
      <c r="BZ103" s="906"/>
      <c r="CA103" s="906"/>
      <c r="CB103" s="906"/>
      <c r="CC103" s="906"/>
      <c r="CD103" s="906"/>
      <c r="CE103" s="906"/>
      <c r="CF103" s="906"/>
      <c r="CG103" s="906"/>
      <c r="CH103" s="906"/>
      <c r="CI103" s="906"/>
      <c r="CJ103" s="906"/>
      <c r="CK103" s="906"/>
      <c r="CL103" s="906"/>
      <c r="CM103" s="906"/>
      <c r="CN103" s="906"/>
      <c r="CO103" s="906"/>
      <c r="CP103" s="906"/>
      <c r="CQ103" s="906"/>
      <c r="CR103" s="906"/>
      <c r="CS103" s="906"/>
      <c r="CT103" s="906"/>
      <c r="CU103" s="906"/>
      <c r="CV103" s="906"/>
      <c r="CW103" s="906"/>
      <c r="CX103" s="906"/>
      <c r="CY103" s="906"/>
      <c r="CZ103" s="906"/>
      <c r="DA103" s="906"/>
      <c r="DB103" s="906"/>
      <c r="DC103" s="906"/>
      <c r="DD103" s="906"/>
      <c r="DE103" s="906"/>
      <c r="DF103" s="906"/>
      <c r="DG103" s="906"/>
      <c r="DH103" s="906"/>
      <c r="DI103" s="906"/>
      <c r="DJ103" s="906"/>
      <c r="DK103" s="906"/>
      <c r="DL103" s="906"/>
      <c r="DM103" s="906"/>
      <c r="DN103" s="906"/>
      <c r="DO103" s="906"/>
      <c r="DP103" s="906"/>
      <c r="DQ103" s="906"/>
      <c r="DR103" s="906"/>
      <c r="DS103" s="906"/>
    </row>
    <row r="104" spans="1:123" s="854" customFormat="1" ht="16.5" customHeight="1">
      <c r="A104" s="891"/>
      <c r="B104" s="771"/>
      <c r="C104" s="769"/>
      <c r="D104" s="892"/>
      <c r="E104" s="893"/>
      <c r="F104" s="894"/>
      <c r="G104" s="771"/>
      <c r="H104" s="894"/>
      <c r="I104" s="895"/>
      <c r="J104" s="895"/>
      <c r="K104" s="893"/>
      <c r="L104" s="893"/>
      <c r="M104" s="893"/>
      <c r="N104" s="893"/>
      <c r="O104" s="893"/>
      <c r="P104" s="893"/>
      <c r="Q104" s="893"/>
      <c r="R104" s="906"/>
      <c r="S104" s="899"/>
      <c r="T104" s="906"/>
      <c r="U104" s="906"/>
      <c r="V104" s="906"/>
      <c r="W104" s="906"/>
      <c r="X104" s="906"/>
      <c r="Y104" s="906"/>
      <c r="Z104" s="906"/>
      <c r="AA104" s="906"/>
      <c r="AB104" s="906"/>
      <c r="AC104" s="906"/>
      <c r="AD104" s="906"/>
      <c r="AE104" s="906"/>
      <c r="AF104" s="906"/>
      <c r="AG104" s="906"/>
      <c r="AH104" s="906"/>
      <c r="AI104" s="906"/>
      <c r="AJ104" s="906"/>
      <c r="AK104" s="906"/>
      <c r="AL104" s="906"/>
      <c r="AM104" s="906"/>
      <c r="AN104" s="906"/>
      <c r="AO104" s="906"/>
      <c r="AP104" s="906"/>
      <c r="AQ104" s="906"/>
      <c r="AR104" s="906"/>
      <c r="AS104" s="906"/>
      <c r="AT104" s="906"/>
      <c r="AU104" s="906"/>
      <c r="AV104" s="906"/>
      <c r="AW104" s="906"/>
      <c r="AX104" s="906"/>
      <c r="AY104" s="906"/>
      <c r="AZ104" s="906"/>
      <c r="BA104" s="906"/>
      <c r="BB104" s="906"/>
      <c r="BC104" s="906"/>
      <c r="BD104" s="906"/>
      <c r="BE104" s="906"/>
      <c r="BF104" s="906"/>
      <c r="BG104" s="906"/>
      <c r="BH104" s="906"/>
      <c r="BI104" s="906"/>
      <c r="BJ104" s="906"/>
      <c r="BK104" s="906"/>
      <c r="BL104" s="906"/>
      <c r="BM104" s="906"/>
      <c r="BN104" s="906"/>
      <c r="BO104" s="906"/>
      <c r="BP104" s="906"/>
      <c r="BQ104" s="906"/>
      <c r="BR104" s="906"/>
      <c r="BS104" s="906"/>
      <c r="BT104" s="906"/>
      <c r="BU104" s="906"/>
      <c r="BV104" s="906"/>
      <c r="BW104" s="906"/>
      <c r="BX104" s="906"/>
      <c r="BY104" s="906"/>
      <c r="BZ104" s="906"/>
      <c r="CA104" s="906"/>
      <c r="CB104" s="906"/>
      <c r="CC104" s="906"/>
      <c r="CD104" s="906"/>
      <c r="CE104" s="906"/>
      <c r="CF104" s="906"/>
      <c r="CG104" s="906"/>
      <c r="CH104" s="906"/>
      <c r="CI104" s="906"/>
      <c r="CJ104" s="906"/>
      <c r="CK104" s="906"/>
      <c r="CL104" s="906"/>
      <c r="CM104" s="906"/>
      <c r="CN104" s="906"/>
      <c r="CO104" s="906"/>
      <c r="CP104" s="906"/>
      <c r="CQ104" s="906"/>
      <c r="CR104" s="906"/>
      <c r="CS104" s="906"/>
      <c r="CT104" s="906"/>
      <c r="CU104" s="906"/>
      <c r="CV104" s="906"/>
      <c r="CW104" s="906"/>
      <c r="CX104" s="906"/>
      <c r="CY104" s="906"/>
      <c r="CZ104" s="906"/>
      <c r="DA104" s="906"/>
      <c r="DB104" s="906"/>
      <c r="DC104" s="906"/>
      <c r="DD104" s="906"/>
      <c r="DE104" s="906"/>
      <c r="DF104" s="906"/>
      <c r="DG104" s="906"/>
      <c r="DH104" s="906"/>
      <c r="DI104" s="906"/>
      <c r="DJ104" s="906"/>
      <c r="DK104" s="906"/>
      <c r="DL104" s="906"/>
      <c r="DM104" s="906"/>
      <c r="DN104" s="906"/>
      <c r="DO104" s="906"/>
      <c r="DP104" s="906"/>
      <c r="DQ104" s="906"/>
      <c r="DR104" s="906"/>
      <c r="DS104" s="906"/>
    </row>
    <row r="105" spans="1:123" s="854" customFormat="1" ht="16.5" customHeight="1">
      <c r="A105" s="891"/>
      <c r="B105" s="771"/>
      <c r="C105" s="769"/>
      <c r="D105" s="892"/>
      <c r="E105" s="893"/>
      <c r="F105" s="894"/>
      <c r="G105" s="771"/>
      <c r="H105" s="894"/>
      <c r="I105" s="895"/>
      <c r="J105" s="895"/>
      <c r="K105" s="893"/>
      <c r="L105" s="893"/>
      <c r="M105" s="893"/>
      <c r="N105" s="893"/>
      <c r="O105" s="893"/>
      <c r="P105" s="893"/>
      <c r="Q105" s="893"/>
      <c r="R105" s="906"/>
      <c r="S105" s="899"/>
      <c r="T105" s="906"/>
      <c r="U105" s="906"/>
      <c r="V105" s="906"/>
      <c r="W105" s="906"/>
      <c r="X105" s="906"/>
      <c r="Y105" s="906"/>
      <c r="Z105" s="906"/>
      <c r="AA105" s="906"/>
      <c r="AB105" s="906"/>
      <c r="AC105" s="906"/>
      <c r="AD105" s="906"/>
      <c r="AE105" s="906"/>
      <c r="AF105" s="906"/>
      <c r="AG105" s="906"/>
      <c r="AH105" s="906"/>
      <c r="AI105" s="906"/>
      <c r="AJ105" s="906"/>
      <c r="AK105" s="906"/>
      <c r="AL105" s="906"/>
      <c r="AM105" s="906"/>
      <c r="AN105" s="906"/>
      <c r="AO105" s="906"/>
      <c r="AP105" s="906"/>
      <c r="AQ105" s="906"/>
      <c r="AR105" s="906"/>
      <c r="AS105" s="906"/>
      <c r="AT105" s="906"/>
      <c r="AU105" s="906"/>
      <c r="AV105" s="906"/>
      <c r="AW105" s="906"/>
      <c r="AX105" s="906"/>
      <c r="AY105" s="906"/>
      <c r="AZ105" s="906"/>
      <c r="BA105" s="906"/>
      <c r="BB105" s="906"/>
      <c r="BC105" s="906"/>
      <c r="BD105" s="906"/>
      <c r="BE105" s="906"/>
      <c r="BF105" s="906"/>
      <c r="BG105" s="906"/>
      <c r="BH105" s="906"/>
      <c r="BI105" s="906"/>
      <c r="BJ105" s="906"/>
      <c r="BK105" s="906"/>
      <c r="BL105" s="906"/>
      <c r="BM105" s="906"/>
      <c r="BN105" s="906"/>
      <c r="BO105" s="906"/>
      <c r="BP105" s="906"/>
      <c r="BQ105" s="906"/>
      <c r="BR105" s="906"/>
      <c r="BS105" s="906"/>
      <c r="BT105" s="906"/>
      <c r="BU105" s="906"/>
      <c r="BV105" s="906"/>
      <c r="BW105" s="906"/>
      <c r="BX105" s="906"/>
      <c r="BY105" s="906"/>
      <c r="BZ105" s="906"/>
      <c r="CA105" s="906"/>
      <c r="CB105" s="906"/>
      <c r="CC105" s="906"/>
      <c r="CD105" s="906"/>
      <c r="CE105" s="906"/>
      <c r="CF105" s="906"/>
      <c r="CG105" s="906"/>
      <c r="CH105" s="906"/>
      <c r="CI105" s="906"/>
      <c r="CJ105" s="906"/>
      <c r="CK105" s="906"/>
      <c r="CL105" s="906"/>
      <c r="CM105" s="906"/>
      <c r="CN105" s="906"/>
      <c r="CO105" s="906"/>
      <c r="CP105" s="906"/>
      <c r="CQ105" s="906"/>
      <c r="CR105" s="906"/>
      <c r="CS105" s="906"/>
      <c r="CT105" s="906"/>
      <c r="CU105" s="906"/>
      <c r="CV105" s="906"/>
      <c r="CW105" s="906"/>
      <c r="CX105" s="906"/>
      <c r="CY105" s="906"/>
      <c r="CZ105" s="906"/>
      <c r="DA105" s="906"/>
      <c r="DB105" s="906"/>
      <c r="DC105" s="906"/>
      <c r="DD105" s="906"/>
      <c r="DE105" s="906"/>
      <c r="DF105" s="906"/>
      <c r="DG105" s="906"/>
      <c r="DH105" s="906"/>
      <c r="DI105" s="906"/>
      <c r="DJ105" s="906"/>
      <c r="DK105" s="906"/>
      <c r="DL105" s="906"/>
      <c r="DM105" s="906"/>
      <c r="DN105" s="906"/>
      <c r="DO105" s="906"/>
      <c r="DP105" s="906"/>
      <c r="DQ105" s="906"/>
      <c r="DR105" s="906"/>
      <c r="DS105" s="906"/>
    </row>
    <row r="106" spans="1:123" s="854" customFormat="1" ht="16.5" customHeight="1">
      <c r="A106" s="891"/>
      <c r="B106" s="771"/>
      <c r="C106" s="769"/>
      <c r="D106" s="892"/>
      <c r="E106" s="893"/>
      <c r="F106" s="894"/>
      <c r="G106" s="771"/>
      <c r="H106" s="894"/>
      <c r="I106" s="895"/>
      <c r="J106" s="895"/>
      <c r="K106" s="893"/>
      <c r="L106" s="893"/>
      <c r="M106" s="893"/>
      <c r="N106" s="893"/>
      <c r="O106" s="893"/>
      <c r="P106" s="893"/>
      <c r="Q106" s="893"/>
      <c r="R106" s="906"/>
      <c r="S106" s="899"/>
      <c r="T106" s="906"/>
      <c r="U106" s="906"/>
      <c r="V106" s="906"/>
      <c r="W106" s="906"/>
      <c r="X106" s="906"/>
      <c r="Y106" s="906"/>
      <c r="Z106" s="906"/>
      <c r="AA106" s="906"/>
      <c r="AB106" s="906"/>
      <c r="AC106" s="906"/>
      <c r="AD106" s="906"/>
      <c r="AE106" s="906"/>
      <c r="AF106" s="906"/>
      <c r="AG106" s="906"/>
      <c r="AH106" s="906"/>
      <c r="AI106" s="906"/>
      <c r="AJ106" s="906"/>
      <c r="AK106" s="906"/>
      <c r="AL106" s="906"/>
      <c r="AM106" s="906"/>
      <c r="AN106" s="906"/>
      <c r="AO106" s="906"/>
      <c r="AP106" s="906"/>
      <c r="AQ106" s="906"/>
      <c r="AR106" s="906"/>
      <c r="AS106" s="906"/>
      <c r="AT106" s="906"/>
      <c r="AU106" s="906"/>
      <c r="AV106" s="906"/>
      <c r="AW106" s="906"/>
      <c r="AX106" s="906"/>
      <c r="AY106" s="906"/>
      <c r="AZ106" s="906"/>
      <c r="BA106" s="906"/>
      <c r="BB106" s="906"/>
      <c r="BC106" s="906"/>
      <c r="BD106" s="906"/>
      <c r="BE106" s="906"/>
      <c r="BF106" s="906"/>
      <c r="BG106" s="906"/>
      <c r="BH106" s="906"/>
      <c r="BI106" s="906"/>
      <c r="BJ106" s="906"/>
      <c r="BK106" s="906"/>
      <c r="BL106" s="906"/>
      <c r="BM106" s="906"/>
      <c r="BN106" s="906"/>
      <c r="BO106" s="906"/>
      <c r="BP106" s="906"/>
      <c r="BQ106" s="906"/>
      <c r="BR106" s="906"/>
      <c r="BS106" s="906"/>
      <c r="BT106" s="906"/>
      <c r="BU106" s="906"/>
      <c r="BV106" s="906"/>
      <c r="BW106" s="906"/>
      <c r="BX106" s="906"/>
      <c r="BY106" s="906"/>
      <c r="BZ106" s="906"/>
      <c r="CA106" s="906"/>
      <c r="CB106" s="906"/>
      <c r="CC106" s="906"/>
      <c r="CD106" s="906"/>
      <c r="CE106" s="906"/>
      <c r="CF106" s="906"/>
      <c r="CG106" s="906"/>
      <c r="CH106" s="906"/>
      <c r="CI106" s="906"/>
      <c r="CJ106" s="906"/>
      <c r="CK106" s="906"/>
      <c r="CL106" s="906"/>
      <c r="CM106" s="906"/>
      <c r="CN106" s="906"/>
      <c r="CO106" s="906"/>
      <c r="CP106" s="906"/>
      <c r="CQ106" s="906"/>
      <c r="CR106" s="906"/>
      <c r="CS106" s="906"/>
      <c r="CT106" s="906"/>
      <c r="CU106" s="906"/>
      <c r="CV106" s="906"/>
      <c r="CW106" s="906"/>
      <c r="CX106" s="906"/>
      <c r="CY106" s="906"/>
      <c r="CZ106" s="906"/>
      <c r="DA106" s="906"/>
      <c r="DB106" s="906"/>
      <c r="DC106" s="906"/>
      <c r="DD106" s="906"/>
      <c r="DE106" s="906"/>
      <c r="DF106" s="906"/>
      <c r="DG106" s="906"/>
      <c r="DH106" s="906"/>
      <c r="DI106" s="906"/>
      <c r="DJ106" s="906"/>
      <c r="DK106" s="906"/>
      <c r="DL106" s="906"/>
      <c r="DM106" s="906"/>
      <c r="DN106" s="906"/>
      <c r="DO106" s="906"/>
      <c r="DP106" s="906"/>
      <c r="DQ106" s="906"/>
      <c r="DR106" s="906"/>
      <c r="DS106" s="906"/>
    </row>
    <row r="107" spans="1:123" s="854" customFormat="1" ht="16.5" customHeight="1">
      <c r="A107" s="891"/>
      <c r="B107" s="771"/>
      <c r="C107" s="769"/>
      <c r="D107" s="892"/>
      <c r="E107" s="893"/>
      <c r="F107" s="894"/>
      <c r="G107" s="771"/>
      <c r="H107" s="894"/>
      <c r="I107" s="895"/>
      <c r="J107" s="895"/>
      <c r="K107" s="893"/>
      <c r="L107" s="893"/>
      <c r="M107" s="893"/>
      <c r="N107" s="893"/>
      <c r="O107" s="893"/>
      <c r="P107" s="893"/>
      <c r="Q107" s="893"/>
      <c r="R107" s="906"/>
      <c r="S107" s="899"/>
      <c r="T107" s="906"/>
      <c r="U107" s="906"/>
      <c r="V107" s="906"/>
      <c r="W107" s="906"/>
      <c r="X107" s="906"/>
      <c r="Y107" s="906"/>
      <c r="Z107" s="906"/>
      <c r="AA107" s="906"/>
      <c r="AB107" s="906"/>
      <c r="AC107" s="906"/>
      <c r="AD107" s="906"/>
      <c r="AE107" s="906"/>
      <c r="AF107" s="906"/>
      <c r="AG107" s="906"/>
      <c r="AH107" s="906"/>
      <c r="AI107" s="906"/>
      <c r="AJ107" s="906"/>
      <c r="AK107" s="906"/>
      <c r="AL107" s="906"/>
      <c r="AM107" s="906"/>
      <c r="AN107" s="906"/>
      <c r="AO107" s="906"/>
      <c r="AP107" s="906"/>
      <c r="AQ107" s="906"/>
      <c r="AR107" s="906"/>
      <c r="AS107" s="906"/>
      <c r="AT107" s="906"/>
      <c r="AU107" s="906"/>
      <c r="AV107" s="906"/>
      <c r="AW107" s="906"/>
      <c r="AX107" s="906"/>
      <c r="AY107" s="906"/>
      <c r="AZ107" s="906"/>
      <c r="BA107" s="906"/>
      <c r="BB107" s="906"/>
      <c r="BC107" s="906"/>
      <c r="BD107" s="906"/>
      <c r="BE107" s="906"/>
      <c r="BF107" s="906"/>
      <c r="BG107" s="906"/>
      <c r="BH107" s="906"/>
      <c r="BI107" s="906"/>
      <c r="BJ107" s="906"/>
      <c r="BK107" s="906"/>
      <c r="BL107" s="906"/>
      <c r="BM107" s="906"/>
      <c r="BN107" s="906"/>
      <c r="BO107" s="906"/>
      <c r="BP107" s="906"/>
      <c r="BQ107" s="906"/>
      <c r="BR107" s="906"/>
      <c r="BS107" s="906"/>
      <c r="BT107" s="906"/>
      <c r="BU107" s="906"/>
      <c r="BV107" s="906"/>
      <c r="BW107" s="906"/>
      <c r="BX107" s="906"/>
      <c r="BY107" s="906"/>
      <c r="BZ107" s="906"/>
      <c r="CA107" s="906"/>
      <c r="CB107" s="906"/>
      <c r="CC107" s="906"/>
      <c r="CD107" s="906"/>
      <c r="CE107" s="906"/>
      <c r="CF107" s="906"/>
      <c r="CG107" s="906"/>
      <c r="CH107" s="906"/>
      <c r="CI107" s="906"/>
      <c r="CJ107" s="906"/>
      <c r="CK107" s="906"/>
      <c r="CL107" s="906"/>
      <c r="CM107" s="906"/>
      <c r="CN107" s="906"/>
      <c r="CO107" s="906"/>
      <c r="CP107" s="906"/>
      <c r="CQ107" s="906"/>
      <c r="CR107" s="906"/>
      <c r="CS107" s="906"/>
      <c r="CT107" s="906"/>
      <c r="CU107" s="906"/>
      <c r="CV107" s="906"/>
      <c r="CW107" s="906"/>
      <c r="CX107" s="906"/>
      <c r="CY107" s="906"/>
      <c r="CZ107" s="906"/>
      <c r="DA107" s="906"/>
      <c r="DB107" s="906"/>
      <c r="DC107" s="906"/>
      <c r="DD107" s="906"/>
      <c r="DE107" s="906"/>
      <c r="DF107" s="906"/>
      <c r="DG107" s="906"/>
      <c r="DH107" s="906"/>
      <c r="DI107" s="906"/>
      <c r="DJ107" s="906"/>
      <c r="DK107" s="906"/>
      <c r="DL107" s="906"/>
      <c r="DM107" s="906"/>
      <c r="DN107" s="906"/>
      <c r="DO107" s="906"/>
      <c r="DP107" s="906"/>
      <c r="DQ107" s="906"/>
      <c r="DR107" s="906"/>
      <c r="DS107" s="906"/>
    </row>
    <row r="108" spans="1:123" s="854" customFormat="1" ht="16.5" customHeight="1">
      <c r="A108" s="891"/>
      <c r="B108" s="771"/>
      <c r="C108" s="769"/>
      <c r="D108" s="892"/>
      <c r="E108" s="893"/>
      <c r="F108" s="894"/>
      <c r="G108" s="771"/>
      <c r="H108" s="894"/>
      <c r="I108" s="895"/>
      <c r="J108" s="895"/>
      <c r="K108" s="893"/>
      <c r="L108" s="893"/>
      <c r="M108" s="893"/>
      <c r="N108" s="893"/>
      <c r="O108" s="893"/>
      <c r="P108" s="893"/>
      <c r="Q108" s="893"/>
      <c r="R108" s="906"/>
      <c r="S108" s="899"/>
      <c r="T108" s="906"/>
      <c r="U108" s="906"/>
      <c r="V108" s="906"/>
      <c r="W108" s="906"/>
      <c r="X108" s="906"/>
      <c r="Y108" s="906"/>
      <c r="Z108" s="906"/>
      <c r="AA108" s="906"/>
      <c r="AB108" s="906"/>
      <c r="AC108" s="906"/>
      <c r="AD108" s="906"/>
      <c r="AE108" s="906"/>
      <c r="AF108" s="906"/>
      <c r="AG108" s="906"/>
      <c r="AH108" s="906"/>
      <c r="AI108" s="906"/>
      <c r="AJ108" s="906"/>
      <c r="AK108" s="906"/>
      <c r="AL108" s="906"/>
      <c r="AM108" s="906"/>
      <c r="AN108" s="906"/>
      <c r="AO108" s="906"/>
      <c r="AP108" s="906"/>
      <c r="AQ108" s="906"/>
      <c r="AR108" s="906"/>
      <c r="AS108" s="906"/>
      <c r="AT108" s="906"/>
      <c r="AU108" s="906"/>
      <c r="AV108" s="906"/>
      <c r="AW108" s="906"/>
      <c r="AX108" s="906"/>
      <c r="AY108" s="906"/>
      <c r="AZ108" s="906"/>
      <c r="BA108" s="906"/>
      <c r="BB108" s="906"/>
      <c r="BC108" s="906"/>
      <c r="BD108" s="906"/>
      <c r="BE108" s="906"/>
      <c r="BF108" s="906"/>
      <c r="BG108" s="906"/>
      <c r="BH108" s="906"/>
      <c r="BI108" s="906"/>
      <c r="BJ108" s="906"/>
      <c r="BK108" s="906"/>
      <c r="BL108" s="906"/>
      <c r="BM108" s="906"/>
      <c r="BN108" s="906"/>
      <c r="BO108" s="906"/>
      <c r="BP108" s="906"/>
      <c r="BQ108" s="906"/>
      <c r="BR108" s="906"/>
      <c r="BS108" s="906"/>
      <c r="BT108" s="906"/>
      <c r="BU108" s="906"/>
      <c r="BV108" s="906"/>
      <c r="BW108" s="906"/>
      <c r="BX108" s="906"/>
      <c r="BY108" s="906"/>
      <c r="BZ108" s="906"/>
      <c r="CA108" s="906"/>
      <c r="CB108" s="906"/>
      <c r="CC108" s="906"/>
      <c r="CD108" s="906"/>
      <c r="CE108" s="906"/>
      <c r="CF108" s="906"/>
      <c r="CG108" s="906"/>
      <c r="CH108" s="906"/>
      <c r="CI108" s="906"/>
      <c r="CJ108" s="906"/>
      <c r="CK108" s="906"/>
      <c r="CL108" s="906"/>
      <c r="CM108" s="906"/>
      <c r="CN108" s="906"/>
      <c r="CO108" s="906"/>
      <c r="CP108" s="906"/>
      <c r="CQ108" s="906"/>
      <c r="CR108" s="906"/>
      <c r="CS108" s="906"/>
      <c r="CT108" s="906"/>
      <c r="CU108" s="906"/>
      <c r="CV108" s="906"/>
      <c r="CW108" s="906"/>
      <c r="CX108" s="906"/>
      <c r="CY108" s="906"/>
      <c r="CZ108" s="906"/>
      <c r="DA108" s="906"/>
      <c r="DB108" s="906"/>
      <c r="DC108" s="906"/>
      <c r="DD108" s="906"/>
      <c r="DE108" s="906"/>
      <c r="DF108" s="906"/>
      <c r="DG108" s="906"/>
      <c r="DH108" s="906"/>
      <c r="DI108" s="906"/>
      <c r="DJ108" s="906"/>
      <c r="DK108" s="906"/>
      <c r="DL108" s="906"/>
      <c r="DM108" s="906"/>
      <c r="DN108" s="906"/>
      <c r="DO108" s="906"/>
      <c r="DP108" s="906"/>
      <c r="DQ108" s="906"/>
      <c r="DR108" s="906"/>
      <c r="DS108" s="906"/>
    </row>
    <row r="109" spans="1:123" s="854" customFormat="1" ht="16.5" customHeight="1">
      <c r="A109" s="891"/>
      <c r="B109" s="771"/>
      <c r="C109" s="769"/>
      <c r="D109" s="892"/>
      <c r="E109" s="893"/>
      <c r="F109" s="894"/>
      <c r="G109" s="771"/>
      <c r="H109" s="894"/>
      <c r="I109" s="895"/>
      <c r="J109" s="895"/>
      <c r="K109" s="893"/>
      <c r="L109" s="893"/>
      <c r="M109" s="893"/>
      <c r="N109" s="893"/>
      <c r="O109" s="893"/>
      <c r="P109" s="893"/>
      <c r="Q109" s="893"/>
      <c r="R109" s="906"/>
      <c r="S109" s="899"/>
      <c r="T109" s="906"/>
      <c r="U109" s="906"/>
      <c r="V109" s="906"/>
      <c r="W109" s="906"/>
      <c r="X109" s="906"/>
      <c r="Y109" s="906"/>
      <c r="Z109" s="906"/>
      <c r="AA109" s="906"/>
      <c r="AB109" s="906"/>
      <c r="AC109" s="906"/>
      <c r="AD109" s="906"/>
      <c r="AE109" s="906"/>
      <c r="AF109" s="906"/>
      <c r="AG109" s="906"/>
      <c r="AH109" s="906"/>
      <c r="AI109" s="906"/>
      <c r="AJ109" s="906"/>
      <c r="AK109" s="906"/>
      <c r="AL109" s="906"/>
      <c r="AM109" s="906"/>
      <c r="AN109" s="906"/>
      <c r="AO109" s="906"/>
      <c r="AP109" s="906"/>
      <c r="AQ109" s="906"/>
      <c r="AR109" s="906"/>
      <c r="AS109" s="906"/>
      <c r="AT109" s="906"/>
      <c r="AU109" s="906"/>
      <c r="AV109" s="906"/>
      <c r="AW109" s="906"/>
      <c r="AX109" s="906"/>
      <c r="AY109" s="906"/>
      <c r="AZ109" s="906"/>
      <c r="BA109" s="906"/>
      <c r="BB109" s="906"/>
      <c r="BC109" s="906"/>
      <c r="BD109" s="906"/>
      <c r="BE109" s="906"/>
      <c r="BF109" s="906"/>
      <c r="BG109" s="906"/>
      <c r="BH109" s="906"/>
      <c r="BI109" s="906"/>
      <c r="BJ109" s="906"/>
      <c r="BK109" s="906"/>
      <c r="BL109" s="906"/>
      <c r="BM109" s="906"/>
      <c r="BN109" s="906"/>
      <c r="BO109" s="906"/>
      <c r="BP109" s="906"/>
      <c r="BQ109" s="906"/>
      <c r="BR109" s="906"/>
      <c r="BS109" s="906"/>
      <c r="BT109" s="906"/>
      <c r="BU109" s="906"/>
      <c r="BV109" s="906"/>
      <c r="BW109" s="906"/>
      <c r="BX109" s="906"/>
      <c r="BY109" s="906"/>
      <c r="BZ109" s="906"/>
      <c r="CA109" s="906"/>
      <c r="CB109" s="906"/>
      <c r="CC109" s="906"/>
      <c r="CD109" s="906"/>
      <c r="CE109" s="906"/>
      <c r="CF109" s="906"/>
      <c r="CG109" s="906"/>
      <c r="CH109" s="906"/>
      <c r="CI109" s="906"/>
      <c r="CJ109" s="906"/>
      <c r="CK109" s="906"/>
      <c r="CL109" s="906"/>
      <c r="CM109" s="906"/>
      <c r="CN109" s="906"/>
      <c r="CO109" s="906"/>
      <c r="CP109" s="906"/>
      <c r="CQ109" s="906"/>
      <c r="CR109" s="906"/>
      <c r="CS109" s="906"/>
      <c r="CT109" s="906"/>
      <c r="CU109" s="906"/>
      <c r="CV109" s="906"/>
      <c r="CW109" s="906"/>
      <c r="CX109" s="906"/>
      <c r="CY109" s="906"/>
      <c r="CZ109" s="906"/>
      <c r="DA109" s="906"/>
      <c r="DB109" s="906"/>
      <c r="DC109" s="906"/>
      <c r="DD109" s="906"/>
      <c r="DE109" s="906"/>
      <c r="DF109" s="906"/>
      <c r="DG109" s="906"/>
      <c r="DH109" s="906"/>
      <c r="DI109" s="906"/>
      <c r="DJ109" s="906"/>
      <c r="DK109" s="906"/>
      <c r="DL109" s="906"/>
      <c r="DM109" s="906"/>
      <c r="DN109" s="906"/>
      <c r="DO109" s="906"/>
      <c r="DP109" s="906"/>
      <c r="DQ109" s="906"/>
      <c r="DR109" s="906"/>
      <c r="DS109" s="906"/>
    </row>
    <row r="110" spans="1:123" s="854" customFormat="1" ht="16.5" customHeight="1">
      <c r="A110" s="891"/>
      <c r="B110" s="771"/>
      <c r="C110" s="769"/>
      <c r="D110" s="892"/>
      <c r="E110" s="893"/>
      <c r="F110" s="894"/>
      <c r="G110" s="771"/>
      <c r="H110" s="894"/>
      <c r="I110" s="895"/>
      <c r="J110" s="895"/>
      <c r="K110" s="893"/>
      <c r="L110" s="893"/>
      <c r="M110" s="893"/>
      <c r="N110" s="893"/>
      <c r="O110" s="893"/>
      <c r="P110" s="893"/>
      <c r="Q110" s="893"/>
      <c r="R110" s="906"/>
      <c r="S110" s="899"/>
      <c r="T110" s="906"/>
      <c r="U110" s="906"/>
      <c r="V110" s="906"/>
      <c r="W110" s="906"/>
      <c r="X110" s="906"/>
      <c r="Y110" s="906"/>
      <c r="Z110" s="906"/>
      <c r="AA110" s="906"/>
      <c r="AB110" s="906"/>
      <c r="AC110" s="906"/>
      <c r="AD110" s="906"/>
      <c r="AE110" s="906"/>
      <c r="AF110" s="906"/>
      <c r="AG110" s="906"/>
      <c r="AH110" s="906"/>
      <c r="AI110" s="906"/>
      <c r="AJ110" s="906"/>
      <c r="AK110" s="906"/>
      <c r="AL110" s="906"/>
      <c r="AM110" s="906"/>
      <c r="AN110" s="906"/>
      <c r="AO110" s="906"/>
      <c r="AP110" s="906"/>
      <c r="AQ110" s="906"/>
      <c r="AR110" s="906"/>
      <c r="AS110" s="906"/>
      <c r="AT110" s="906"/>
      <c r="AU110" s="906"/>
      <c r="AV110" s="906"/>
      <c r="AW110" s="906"/>
      <c r="AX110" s="906"/>
      <c r="AY110" s="906"/>
      <c r="AZ110" s="906"/>
      <c r="BA110" s="906"/>
      <c r="BB110" s="906"/>
      <c r="BC110" s="906"/>
      <c r="BD110" s="906"/>
      <c r="BE110" s="906"/>
      <c r="BF110" s="906"/>
      <c r="BG110" s="906"/>
      <c r="BH110" s="906"/>
      <c r="BI110" s="906"/>
      <c r="BJ110" s="906"/>
      <c r="BK110" s="906"/>
      <c r="BL110" s="906"/>
      <c r="BM110" s="906"/>
      <c r="BN110" s="906"/>
      <c r="BO110" s="906"/>
      <c r="BP110" s="906"/>
      <c r="BQ110" s="906"/>
      <c r="BR110" s="906"/>
      <c r="BS110" s="906"/>
      <c r="BT110" s="906"/>
      <c r="BU110" s="906"/>
      <c r="BV110" s="906"/>
      <c r="BW110" s="906"/>
      <c r="BX110" s="906"/>
      <c r="BY110" s="906"/>
      <c r="BZ110" s="906"/>
      <c r="CA110" s="906"/>
      <c r="CB110" s="906"/>
      <c r="CC110" s="906"/>
      <c r="CD110" s="906"/>
      <c r="CE110" s="906"/>
      <c r="CF110" s="906"/>
      <c r="CG110" s="906"/>
      <c r="CH110" s="906"/>
      <c r="CI110" s="906"/>
      <c r="CJ110" s="906"/>
      <c r="CK110" s="906"/>
      <c r="CL110" s="906"/>
      <c r="CM110" s="906"/>
      <c r="CN110" s="906"/>
      <c r="CO110" s="906"/>
      <c r="CP110" s="906"/>
      <c r="CQ110" s="906"/>
      <c r="CR110" s="906"/>
      <c r="CS110" s="906"/>
      <c r="CT110" s="906"/>
      <c r="CU110" s="906"/>
      <c r="CV110" s="906"/>
      <c r="CW110" s="906"/>
      <c r="CX110" s="906"/>
      <c r="CY110" s="906"/>
      <c r="CZ110" s="906"/>
      <c r="DA110" s="906"/>
      <c r="DB110" s="906"/>
      <c r="DC110" s="906"/>
      <c r="DD110" s="906"/>
      <c r="DE110" s="906"/>
      <c r="DF110" s="906"/>
      <c r="DG110" s="906"/>
      <c r="DH110" s="906"/>
      <c r="DI110" s="906"/>
      <c r="DJ110" s="906"/>
      <c r="DK110" s="906"/>
      <c r="DL110" s="906"/>
      <c r="DM110" s="906"/>
      <c r="DN110" s="906"/>
      <c r="DO110" s="906"/>
      <c r="DP110" s="906"/>
      <c r="DQ110" s="906"/>
      <c r="DR110" s="906"/>
      <c r="DS110" s="906"/>
    </row>
    <row r="111" spans="1:123" s="854" customFormat="1" ht="16.5" customHeight="1">
      <c r="A111" s="891"/>
      <c r="B111" s="771"/>
      <c r="C111" s="769"/>
      <c r="D111" s="892"/>
      <c r="E111" s="893"/>
      <c r="F111" s="894"/>
      <c r="G111" s="771"/>
      <c r="H111" s="894"/>
      <c r="I111" s="895"/>
      <c r="J111" s="895"/>
      <c r="K111" s="893"/>
      <c r="L111" s="893"/>
      <c r="M111" s="893"/>
      <c r="N111" s="893"/>
      <c r="O111" s="893"/>
      <c r="P111" s="893"/>
      <c r="Q111" s="893"/>
      <c r="R111" s="906"/>
      <c r="S111" s="899"/>
      <c r="T111" s="906"/>
      <c r="U111" s="906"/>
      <c r="V111" s="906"/>
      <c r="W111" s="906"/>
      <c r="X111" s="906"/>
      <c r="Y111" s="906"/>
      <c r="Z111" s="906"/>
      <c r="AA111" s="906"/>
      <c r="AB111" s="906"/>
      <c r="AC111" s="906"/>
      <c r="AD111" s="906"/>
      <c r="AE111" s="906"/>
      <c r="AF111" s="906"/>
      <c r="AG111" s="906"/>
      <c r="AH111" s="906"/>
      <c r="AI111" s="906"/>
      <c r="AJ111" s="906"/>
      <c r="AK111" s="906"/>
      <c r="AL111" s="906"/>
      <c r="AM111" s="906"/>
      <c r="AN111" s="906"/>
      <c r="AO111" s="906"/>
      <c r="AP111" s="906"/>
      <c r="AQ111" s="906"/>
      <c r="AR111" s="906"/>
      <c r="AS111" s="906"/>
      <c r="AT111" s="906"/>
      <c r="AU111" s="906"/>
      <c r="AV111" s="906"/>
      <c r="AW111" s="906"/>
      <c r="AX111" s="906"/>
      <c r="AY111" s="906"/>
      <c r="AZ111" s="906"/>
      <c r="BA111" s="906"/>
      <c r="BB111" s="906"/>
      <c r="BC111" s="906"/>
      <c r="BD111" s="906"/>
      <c r="BE111" s="906"/>
      <c r="BF111" s="906"/>
      <c r="BG111" s="906"/>
      <c r="BH111" s="906"/>
      <c r="BI111" s="906"/>
      <c r="BJ111" s="906"/>
      <c r="BK111" s="906"/>
      <c r="BL111" s="906"/>
      <c r="BM111" s="906"/>
      <c r="BN111" s="906"/>
      <c r="BO111" s="906"/>
      <c r="BP111" s="906"/>
      <c r="BQ111" s="906"/>
      <c r="BR111" s="906"/>
      <c r="BS111" s="906"/>
      <c r="BT111" s="906"/>
      <c r="BU111" s="906"/>
      <c r="BV111" s="906"/>
      <c r="BW111" s="906"/>
      <c r="BX111" s="906"/>
      <c r="BY111" s="906"/>
      <c r="BZ111" s="906"/>
      <c r="CA111" s="906"/>
      <c r="CB111" s="906"/>
      <c r="CC111" s="906"/>
      <c r="CD111" s="906"/>
      <c r="CE111" s="906"/>
      <c r="CF111" s="906"/>
      <c r="CG111" s="906"/>
      <c r="CH111" s="906"/>
      <c r="CI111" s="906"/>
      <c r="CJ111" s="906"/>
      <c r="CK111" s="906"/>
      <c r="CL111" s="906"/>
      <c r="CM111" s="906"/>
      <c r="CN111" s="906"/>
      <c r="CO111" s="906"/>
      <c r="CP111" s="906"/>
      <c r="CQ111" s="906"/>
      <c r="CR111" s="906"/>
      <c r="CS111" s="906"/>
      <c r="CT111" s="906"/>
      <c r="CU111" s="906"/>
      <c r="CV111" s="906"/>
      <c r="CW111" s="906"/>
      <c r="CX111" s="906"/>
      <c r="CY111" s="906"/>
      <c r="CZ111" s="906"/>
      <c r="DA111" s="906"/>
      <c r="DB111" s="906"/>
      <c r="DC111" s="906"/>
      <c r="DD111" s="906"/>
      <c r="DE111" s="906"/>
      <c r="DF111" s="906"/>
      <c r="DG111" s="906"/>
      <c r="DH111" s="906"/>
      <c r="DI111" s="906"/>
      <c r="DJ111" s="906"/>
      <c r="DK111" s="906"/>
      <c r="DL111" s="906"/>
      <c r="DM111" s="906"/>
      <c r="DN111" s="906"/>
      <c r="DO111" s="906"/>
      <c r="DP111" s="906"/>
      <c r="DQ111" s="906"/>
      <c r="DR111" s="906"/>
      <c r="DS111" s="906"/>
    </row>
    <row r="112" spans="1:123" s="854" customFormat="1" ht="16.5" customHeight="1">
      <c r="A112" s="891"/>
      <c r="B112" s="771"/>
      <c r="C112" s="769"/>
      <c r="D112" s="892"/>
      <c r="E112" s="893"/>
      <c r="F112" s="894"/>
      <c r="G112" s="771"/>
      <c r="H112" s="894"/>
      <c r="I112" s="895"/>
      <c r="J112" s="895"/>
      <c r="K112" s="893"/>
      <c r="L112" s="893"/>
      <c r="M112" s="893"/>
      <c r="N112" s="893"/>
      <c r="O112" s="893"/>
      <c r="P112" s="893"/>
      <c r="Q112" s="893"/>
      <c r="R112" s="906"/>
      <c r="S112" s="899"/>
      <c r="T112" s="906"/>
      <c r="U112" s="906"/>
      <c r="V112" s="906"/>
      <c r="W112" s="906"/>
      <c r="X112" s="906"/>
      <c r="Y112" s="906"/>
      <c r="Z112" s="906"/>
      <c r="AA112" s="906"/>
      <c r="AB112" s="906"/>
      <c r="AC112" s="906"/>
      <c r="AD112" s="906"/>
      <c r="AE112" s="906"/>
      <c r="AF112" s="906"/>
      <c r="AG112" s="906"/>
      <c r="AH112" s="906"/>
      <c r="AI112" s="906"/>
      <c r="AJ112" s="906"/>
      <c r="AK112" s="906"/>
      <c r="AL112" s="906"/>
      <c r="AM112" s="906"/>
      <c r="AN112" s="906"/>
      <c r="AO112" s="906"/>
      <c r="AP112" s="906"/>
      <c r="AQ112" s="906"/>
      <c r="AR112" s="906"/>
      <c r="AS112" s="906"/>
      <c r="AT112" s="906"/>
      <c r="AU112" s="906"/>
      <c r="AV112" s="906"/>
      <c r="AW112" s="906"/>
      <c r="AX112" s="906"/>
      <c r="AY112" s="906"/>
      <c r="AZ112" s="906"/>
      <c r="BA112" s="906"/>
      <c r="BB112" s="906"/>
      <c r="BC112" s="906"/>
      <c r="BD112" s="906"/>
      <c r="BE112" s="906"/>
      <c r="BF112" s="906"/>
      <c r="BG112" s="906"/>
      <c r="BH112" s="906"/>
      <c r="BI112" s="906"/>
      <c r="BJ112" s="906"/>
      <c r="BK112" s="906"/>
      <c r="BL112" s="906"/>
      <c r="BM112" s="906"/>
      <c r="BN112" s="906"/>
      <c r="BO112" s="906"/>
      <c r="BP112" s="906"/>
      <c r="BQ112" s="906"/>
      <c r="BR112" s="906"/>
      <c r="BS112" s="906"/>
      <c r="BT112" s="906"/>
      <c r="BU112" s="906"/>
      <c r="BV112" s="906"/>
      <c r="BW112" s="906"/>
      <c r="BX112" s="906"/>
      <c r="BY112" s="906"/>
      <c r="BZ112" s="906"/>
      <c r="CA112" s="906"/>
      <c r="CB112" s="906"/>
      <c r="CC112" s="906"/>
      <c r="CD112" s="906"/>
      <c r="CE112" s="906"/>
      <c r="CF112" s="906"/>
      <c r="CG112" s="906"/>
      <c r="CH112" s="906"/>
      <c r="CI112" s="906"/>
      <c r="CJ112" s="906"/>
      <c r="CK112" s="906"/>
      <c r="CL112" s="906"/>
      <c r="CM112" s="906"/>
      <c r="CN112" s="906"/>
      <c r="CO112" s="906"/>
      <c r="CP112" s="906"/>
      <c r="CQ112" s="906"/>
      <c r="CR112" s="906"/>
      <c r="CS112" s="906"/>
      <c r="CT112" s="906"/>
      <c r="CU112" s="906"/>
      <c r="CV112" s="906"/>
      <c r="CW112" s="906"/>
      <c r="CX112" s="906"/>
      <c r="CY112" s="906"/>
      <c r="CZ112" s="906"/>
      <c r="DA112" s="906"/>
      <c r="DB112" s="906"/>
      <c r="DC112" s="906"/>
      <c r="DD112" s="906"/>
      <c r="DE112" s="906"/>
      <c r="DF112" s="906"/>
      <c r="DG112" s="906"/>
      <c r="DH112" s="906"/>
      <c r="DI112" s="906"/>
      <c r="DJ112" s="906"/>
      <c r="DK112" s="906"/>
      <c r="DL112" s="906"/>
      <c r="DM112" s="906"/>
      <c r="DN112" s="906"/>
      <c r="DO112" s="906"/>
      <c r="DP112" s="906"/>
      <c r="DQ112" s="906"/>
      <c r="DR112" s="906"/>
      <c r="DS112" s="906"/>
    </row>
    <row r="113" spans="1:123" s="854" customFormat="1" ht="16.5" customHeight="1">
      <c r="A113" s="891"/>
      <c r="B113" s="771"/>
      <c r="C113" s="769"/>
      <c r="D113" s="892"/>
      <c r="E113" s="893"/>
      <c r="F113" s="894"/>
      <c r="G113" s="771"/>
      <c r="H113" s="894"/>
      <c r="I113" s="895"/>
      <c r="J113" s="895"/>
      <c r="K113" s="893"/>
      <c r="L113" s="893"/>
      <c r="M113" s="893"/>
      <c r="N113" s="893"/>
      <c r="O113" s="893"/>
      <c r="P113" s="893"/>
      <c r="Q113" s="893"/>
      <c r="R113" s="906"/>
      <c r="S113" s="899"/>
      <c r="T113" s="906"/>
      <c r="U113" s="906"/>
      <c r="V113" s="906"/>
      <c r="W113" s="906"/>
      <c r="X113" s="906"/>
      <c r="Y113" s="906"/>
      <c r="Z113" s="906"/>
      <c r="AA113" s="906"/>
      <c r="AB113" s="906"/>
      <c r="AC113" s="906"/>
      <c r="AD113" s="906"/>
      <c r="AE113" s="906"/>
      <c r="AF113" s="906"/>
      <c r="AG113" s="906"/>
      <c r="AH113" s="906"/>
      <c r="AI113" s="906"/>
      <c r="AJ113" s="906"/>
      <c r="AK113" s="906"/>
      <c r="AL113" s="906"/>
      <c r="AM113" s="906"/>
      <c r="AN113" s="906"/>
      <c r="AO113" s="906"/>
      <c r="AP113" s="906"/>
      <c r="AQ113" s="906"/>
      <c r="AR113" s="906"/>
      <c r="AS113" s="906"/>
      <c r="AT113" s="906"/>
      <c r="AU113" s="906"/>
      <c r="AV113" s="906"/>
      <c r="AW113" s="906"/>
      <c r="AX113" s="906"/>
      <c r="AY113" s="906"/>
      <c r="AZ113" s="906"/>
      <c r="BA113" s="906"/>
      <c r="BB113" s="906"/>
      <c r="BC113" s="906"/>
      <c r="BD113" s="906"/>
      <c r="BE113" s="906"/>
      <c r="BF113" s="906"/>
      <c r="BG113" s="906"/>
      <c r="BH113" s="906"/>
      <c r="BI113" s="906"/>
      <c r="BJ113" s="906"/>
      <c r="BK113" s="906"/>
      <c r="BL113" s="906"/>
      <c r="BM113" s="906"/>
      <c r="BN113" s="906"/>
      <c r="BO113" s="906"/>
      <c r="BP113" s="906"/>
      <c r="BQ113" s="906"/>
      <c r="BR113" s="906"/>
      <c r="BS113" s="906"/>
      <c r="BT113" s="906"/>
      <c r="BU113" s="906"/>
      <c r="BV113" s="906"/>
      <c r="BW113" s="906"/>
      <c r="BX113" s="906"/>
      <c r="BY113" s="906"/>
      <c r="BZ113" s="906"/>
      <c r="CA113" s="906"/>
      <c r="CB113" s="906"/>
      <c r="CC113" s="906"/>
      <c r="CD113" s="906"/>
      <c r="CE113" s="906"/>
      <c r="CF113" s="906"/>
      <c r="CG113" s="906"/>
      <c r="CH113" s="906"/>
      <c r="CI113" s="906"/>
      <c r="CJ113" s="906"/>
      <c r="CK113" s="906"/>
      <c r="CL113" s="906"/>
      <c r="CM113" s="906"/>
      <c r="CN113" s="906"/>
      <c r="CO113" s="906"/>
      <c r="CP113" s="906"/>
      <c r="CQ113" s="906"/>
      <c r="CR113" s="906"/>
      <c r="CS113" s="906"/>
      <c r="CT113" s="906"/>
      <c r="CU113" s="906"/>
      <c r="CV113" s="906"/>
      <c r="CW113" s="906"/>
      <c r="CX113" s="906"/>
      <c r="CY113" s="906"/>
      <c r="CZ113" s="906"/>
      <c r="DA113" s="906"/>
      <c r="DB113" s="906"/>
      <c r="DC113" s="906"/>
      <c r="DD113" s="906"/>
      <c r="DE113" s="906"/>
      <c r="DF113" s="906"/>
      <c r="DG113" s="906"/>
      <c r="DH113" s="906"/>
      <c r="DI113" s="906"/>
      <c r="DJ113" s="906"/>
      <c r="DK113" s="906"/>
      <c r="DL113" s="906"/>
      <c r="DM113" s="906"/>
      <c r="DN113" s="906"/>
      <c r="DO113" s="906"/>
      <c r="DP113" s="906"/>
      <c r="DQ113" s="906"/>
      <c r="DR113" s="906"/>
      <c r="DS113" s="906"/>
    </row>
    <row r="114" spans="1:123" s="854" customFormat="1" ht="16.5" customHeight="1">
      <c r="A114" s="891"/>
      <c r="B114" s="771"/>
      <c r="C114" s="769"/>
      <c r="D114" s="892"/>
      <c r="E114" s="893"/>
      <c r="F114" s="894"/>
      <c r="G114" s="771"/>
      <c r="H114" s="894"/>
      <c r="I114" s="895"/>
      <c r="J114" s="895"/>
      <c r="K114" s="893"/>
      <c r="L114" s="893"/>
      <c r="M114" s="893"/>
      <c r="N114" s="893"/>
      <c r="O114" s="893"/>
      <c r="P114" s="893"/>
      <c r="Q114" s="893"/>
      <c r="R114" s="906"/>
      <c r="S114" s="899"/>
      <c r="T114" s="906"/>
      <c r="U114" s="906"/>
      <c r="V114" s="906"/>
      <c r="W114" s="906"/>
      <c r="X114" s="906"/>
      <c r="Y114" s="906"/>
      <c r="Z114" s="906"/>
      <c r="AA114" s="906"/>
      <c r="AB114" s="906"/>
      <c r="AC114" s="906"/>
      <c r="AD114" s="906"/>
      <c r="AE114" s="906"/>
      <c r="AF114" s="906"/>
      <c r="AG114" s="906"/>
      <c r="AH114" s="906"/>
      <c r="AI114" s="906"/>
      <c r="AJ114" s="906"/>
      <c r="AK114" s="906"/>
      <c r="AL114" s="906"/>
      <c r="AM114" s="906"/>
      <c r="AN114" s="906"/>
      <c r="AO114" s="906"/>
      <c r="AP114" s="906"/>
      <c r="AQ114" s="906"/>
      <c r="AR114" s="906"/>
      <c r="AS114" s="906"/>
      <c r="AT114" s="906"/>
      <c r="AU114" s="906"/>
      <c r="AV114" s="906"/>
      <c r="AW114" s="906"/>
      <c r="AX114" s="906"/>
      <c r="AY114" s="906"/>
      <c r="AZ114" s="906"/>
      <c r="BA114" s="906"/>
      <c r="BB114" s="906"/>
      <c r="BC114" s="906"/>
      <c r="BD114" s="906"/>
      <c r="BE114" s="906"/>
      <c r="BF114" s="906"/>
      <c r="BG114" s="906"/>
      <c r="BH114" s="906"/>
      <c r="BI114" s="906"/>
      <c r="BJ114" s="906"/>
      <c r="BK114" s="906"/>
      <c r="BL114" s="906"/>
      <c r="BM114" s="906"/>
      <c r="BN114" s="906"/>
      <c r="BO114" s="906"/>
      <c r="BP114" s="906"/>
      <c r="BQ114" s="906"/>
      <c r="BR114" s="906"/>
      <c r="BS114" s="906"/>
      <c r="BT114" s="906"/>
      <c r="BU114" s="906"/>
      <c r="BV114" s="906"/>
      <c r="BW114" s="906"/>
      <c r="BX114" s="906"/>
      <c r="BY114" s="906"/>
      <c r="BZ114" s="906"/>
      <c r="CA114" s="906"/>
      <c r="CB114" s="906"/>
      <c r="CC114" s="906"/>
      <c r="CD114" s="906"/>
      <c r="CE114" s="906"/>
      <c r="CF114" s="906"/>
      <c r="CG114" s="906"/>
      <c r="CH114" s="906"/>
      <c r="CI114" s="906"/>
      <c r="CJ114" s="906"/>
      <c r="CK114" s="906"/>
      <c r="CL114" s="906"/>
      <c r="CM114" s="906"/>
      <c r="CN114" s="906"/>
      <c r="CO114" s="906"/>
      <c r="CP114" s="906"/>
      <c r="CQ114" s="906"/>
      <c r="CR114" s="906"/>
      <c r="CS114" s="906"/>
      <c r="CT114" s="906"/>
      <c r="CU114" s="906"/>
      <c r="CV114" s="906"/>
      <c r="CW114" s="906"/>
      <c r="CX114" s="906"/>
      <c r="CY114" s="906"/>
      <c r="CZ114" s="906"/>
      <c r="DA114" s="906"/>
      <c r="DB114" s="906"/>
      <c r="DC114" s="906"/>
      <c r="DD114" s="906"/>
      <c r="DE114" s="906"/>
      <c r="DF114" s="906"/>
      <c r="DG114" s="906"/>
      <c r="DH114" s="906"/>
      <c r="DI114" s="906"/>
      <c r="DJ114" s="906"/>
      <c r="DK114" s="906"/>
      <c r="DL114" s="906"/>
      <c r="DM114" s="906"/>
      <c r="DN114" s="906"/>
      <c r="DO114" s="906"/>
      <c r="DP114" s="906"/>
      <c r="DQ114" s="906"/>
      <c r="DR114" s="906"/>
      <c r="DS114" s="906"/>
    </row>
    <row r="115" spans="1:123" s="854" customFormat="1" ht="16.5" customHeight="1">
      <c r="A115" s="891"/>
      <c r="B115" s="771"/>
      <c r="C115" s="769"/>
      <c r="D115" s="892"/>
      <c r="E115" s="893"/>
      <c r="F115" s="894"/>
      <c r="G115" s="771"/>
      <c r="H115" s="894"/>
      <c r="I115" s="895"/>
      <c r="J115" s="895"/>
      <c r="K115" s="893"/>
      <c r="L115" s="893"/>
      <c r="M115" s="893"/>
      <c r="N115" s="893"/>
      <c r="O115" s="893"/>
      <c r="P115" s="893"/>
      <c r="Q115" s="893"/>
      <c r="R115" s="906"/>
      <c r="S115" s="899"/>
      <c r="T115" s="906"/>
      <c r="U115" s="906"/>
      <c r="V115" s="906"/>
      <c r="W115" s="906"/>
      <c r="X115" s="906"/>
      <c r="Y115" s="906"/>
      <c r="Z115" s="906"/>
      <c r="AA115" s="906"/>
      <c r="AB115" s="906"/>
      <c r="AC115" s="906"/>
      <c r="AD115" s="906"/>
      <c r="AE115" s="906"/>
      <c r="AF115" s="906"/>
      <c r="AG115" s="906"/>
      <c r="AH115" s="906"/>
      <c r="AI115" s="906"/>
      <c r="AJ115" s="906"/>
      <c r="AK115" s="906"/>
      <c r="AL115" s="906"/>
      <c r="AM115" s="906"/>
      <c r="AN115" s="906"/>
      <c r="AO115" s="906"/>
      <c r="AP115" s="906"/>
      <c r="AQ115" s="906"/>
      <c r="AR115" s="906"/>
      <c r="AS115" s="906"/>
      <c r="AT115" s="906"/>
      <c r="AU115" s="906"/>
      <c r="AV115" s="906"/>
      <c r="AW115" s="906"/>
      <c r="AX115" s="906"/>
      <c r="AY115" s="906"/>
      <c r="AZ115" s="906"/>
      <c r="BA115" s="906"/>
      <c r="BB115" s="906"/>
      <c r="BC115" s="906"/>
      <c r="BD115" s="906"/>
      <c r="BE115" s="906"/>
      <c r="BF115" s="906"/>
      <c r="BG115" s="906"/>
      <c r="BH115" s="906"/>
      <c r="BI115" s="906"/>
      <c r="BJ115" s="906"/>
      <c r="BK115" s="906"/>
      <c r="BL115" s="906"/>
      <c r="BM115" s="906"/>
      <c r="BN115" s="906"/>
      <c r="BO115" s="906"/>
      <c r="BP115" s="906"/>
      <c r="BQ115" s="906"/>
      <c r="BR115" s="906"/>
      <c r="BS115" s="906"/>
      <c r="BT115" s="906"/>
      <c r="BU115" s="906"/>
      <c r="BV115" s="906"/>
      <c r="BW115" s="906"/>
      <c r="BX115" s="906"/>
      <c r="BY115" s="906"/>
      <c r="BZ115" s="906"/>
      <c r="CA115" s="906"/>
      <c r="CB115" s="906"/>
      <c r="CC115" s="906"/>
      <c r="CD115" s="906"/>
      <c r="CE115" s="906"/>
      <c r="CF115" s="906"/>
      <c r="CG115" s="906"/>
      <c r="CH115" s="906"/>
      <c r="CI115" s="906"/>
      <c r="CJ115" s="906"/>
      <c r="CK115" s="906"/>
      <c r="CL115" s="906"/>
      <c r="CM115" s="906"/>
      <c r="CN115" s="906"/>
      <c r="CO115" s="906"/>
      <c r="CP115" s="906"/>
      <c r="CQ115" s="906"/>
      <c r="CR115" s="906"/>
      <c r="CS115" s="906"/>
      <c r="CT115" s="906"/>
      <c r="CU115" s="906"/>
      <c r="CV115" s="906"/>
      <c r="CW115" s="906"/>
      <c r="CX115" s="906"/>
      <c r="CY115" s="906"/>
      <c r="CZ115" s="906"/>
      <c r="DA115" s="906"/>
      <c r="DB115" s="906"/>
      <c r="DC115" s="906"/>
      <c r="DD115" s="906"/>
      <c r="DE115" s="906"/>
      <c r="DF115" s="906"/>
      <c r="DG115" s="906"/>
      <c r="DH115" s="906"/>
      <c r="DI115" s="906"/>
      <c r="DJ115" s="906"/>
      <c r="DK115" s="906"/>
      <c r="DL115" s="906"/>
      <c r="DM115" s="906"/>
      <c r="DN115" s="906"/>
      <c r="DO115" s="906"/>
      <c r="DP115" s="906"/>
      <c r="DQ115" s="906"/>
      <c r="DR115" s="906"/>
      <c r="DS115" s="906"/>
    </row>
    <row r="116" spans="1:123" s="854" customFormat="1" ht="16.5" customHeight="1">
      <c r="A116" s="891"/>
      <c r="B116" s="771"/>
      <c r="C116" s="769"/>
      <c r="D116" s="892"/>
      <c r="E116" s="893"/>
      <c r="F116" s="894"/>
      <c r="G116" s="771"/>
      <c r="H116" s="894"/>
      <c r="I116" s="895"/>
      <c r="J116" s="895"/>
      <c r="K116" s="893"/>
      <c r="L116" s="893"/>
      <c r="M116" s="893"/>
      <c r="N116" s="893"/>
      <c r="O116" s="893"/>
      <c r="P116" s="893"/>
      <c r="Q116" s="893"/>
      <c r="R116" s="906"/>
      <c r="S116" s="899"/>
      <c r="T116" s="906"/>
      <c r="U116" s="906"/>
      <c r="V116" s="906"/>
      <c r="W116" s="906"/>
      <c r="X116" s="906"/>
      <c r="Y116" s="906"/>
      <c r="Z116" s="906"/>
      <c r="AA116" s="906"/>
      <c r="AB116" s="906"/>
      <c r="AC116" s="906"/>
      <c r="AD116" s="906"/>
      <c r="AE116" s="906"/>
      <c r="AF116" s="906"/>
      <c r="AG116" s="906"/>
      <c r="AH116" s="906"/>
      <c r="AI116" s="906"/>
      <c r="AJ116" s="906"/>
      <c r="AK116" s="906"/>
      <c r="AL116" s="906"/>
      <c r="AM116" s="906"/>
      <c r="AN116" s="906"/>
      <c r="AO116" s="906"/>
      <c r="AP116" s="906"/>
      <c r="AQ116" s="906"/>
      <c r="AR116" s="906"/>
      <c r="AS116" s="906"/>
      <c r="AT116" s="906"/>
      <c r="AU116" s="906"/>
      <c r="AV116" s="906"/>
      <c r="AW116" s="906"/>
      <c r="AX116" s="906"/>
      <c r="AY116" s="906"/>
      <c r="AZ116" s="906"/>
      <c r="BA116" s="906"/>
      <c r="BB116" s="906"/>
      <c r="BC116" s="906"/>
      <c r="BD116" s="906"/>
      <c r="BE116" s="906"/>
      <c r="BF116" s="906"/>
      <c r="BG116" s="906"/>
      <c r="BH116" s="906"/>
      <c r="BI116" s="906"/>
      <c r="BJ116" s="906"/>
      <c r="BK116" s="906"/>
      <c r="BL116" s="906"/>
      <c r="BM116" s="906"/>
      <c r="BN116" s="906"/>
      <c r="BO116" s="906"/>
      <c r="BP116" s="906"/>
      <c r="BQ116" s="906"/>
      <c r="BR116" s="906"/>
      <c r="BS116" s="906"/>
      <c r="BT116" s="906"/>
      <c r="BU116" s="906"/>
      <c r="BV116" s="906"/>
      <c r="BW116" s="906"/>
      <c r="BX116" s="906"/>
      <c r="BY116" s="906"/>
      <c r="BZ116" s="906"/>
      <c r="CA116" s="906"/>
      <c r="CB116" s="906"/>
      <c r="CC116" s="906"/>
      <c r="CD116" s="906"/>
      <c r="CE116" s="906"/>
      <c r="CF116" s="906"/>
      <c r="CG116" s="906"/>
      <c r="CH116" s="906"/>
      <c r="CI116" s="906"/>
      <c r="CJ116" s="906"/>
      <c r="CK116" s="906"/>
      <c r="CL116" s="906"/>
      <c r="CM116" s="906"/>
      <c r="CN116" s="906"/>
      <c r="CO116" s="906"/>
      <c r="CP116" s="906"/>
      <c r="CQ116" s="906"/>
      <c r="CR116" s="906"/>
      <c r="CS116" s="906"/>
      <c r="CT116" s="906"/>
      <c r="CU116" s="906"/>
      <c r="CV116" s="906"/>
      <c r="CW116" s="906"/>
      <c r="CX116" s="906"/>
      <c r="CY116" s="906"/>
      <c r="CZ116" s="906"/>
      <c r="DA116" s="906"/>
      <c r="DB116" s="906"/>
      <c r="DC116" s="906"/>
      <c r="DD116" s="906"/>
      <c r="DE116" s="906"/>
      <c r="DF116" s="906"/>
      <c r="DG116" s="906"/>
      <c r="DH116" s="906"/>
      <c r="DI116" s="906"/>
      <c r="DJ116" s="906"/>
      <c r="DK116" s="906"/>
      <c r="DL116" s="906"/>
      <c r="DM116" s="906"/>
      <c r="DN116" s="906"/>
      <c r="DO116" s="906"/>
      <c r="DP116" s="906"/>
      <c r="DQ116" s="906"/>
      <c r="DR116" s="906"/>
      <c r="DS116" s="906"/>
    </row>
    <row r="117" spans="1:123" s="854" customFormat="1" ht="16.5" customHeight="1">
      <c r="A117" s="891"/>
      <c r="B117" s="771"/>
      <c r="C117" s="769"/>
      <c r="D117" s="892"/>
      <c r="E117" s="893"/>
      <c r="F117" s="894"/>
      <c r="G117" s="771"/>
      <c r="H117" s="894"/>
      <c r="I117" s="895"/>
      <c r="J117" s="895"/>
      <c r="K117" s="893"/>
      <c r="L117" s="893"/>
      <c r="M117" s="893"/>
      <c r="N117" s="893"/>
      <c r="O117" s="893"/>
      <c r="P117" s="893"/>
      <c r="Q117" s="893"/>
      <c r="R117" s="906"/>
      <c r="S117" s="899"/>
      <c r="T117" s="906"/>
      <c r="U117" s="906"/>
      <c r="V117" s="906"/>
      <c r="W117" s="906"/>
      <c r="X117" s="906"/>
      <c r="Y117" s="906"/>
      <c r="Z117" s="906"/>
      <c r="AA117" s="906"/>
      <c r="AB117" s="906"/>
      <c r="AC117" s="906"/>
      <c r="AD117" s="906"/>
      <c r="AE117" s="906"/>
      <c r="AF117" s="906"/>
      <c r="AG117" s="906"/>
      <c r="AH117" s="906"/>
      <c r="AI117" s="906"/>
      <c r="AJ117" s="906"/>
      <c r="AK117" s="906"/>
      <c r="AL117" s="906"/>
      <c r="AM117" s="906"/>
      <c r="AN117" s="906"/>
      <c r="AO117" s="906"/>
      <c r="AP117" s="906"/>
      <c r="AQ117" s="906"/>
      <c r="AR117" s="906"/>
      <c r="AS117" s="906"/>
      <c r="AT117" s="906"/>
      <c r="AU117" s="906"/>
      <c r="AV117" s="906"/>
      <c r="AW117" s="906"/>
      <c r="AX117" s="906"/>
      <c r="AY117" s="906"/>
      <c r="AZ117" s="906"/>
      <c r="BA117" s="906"/>
      <c r="BB117" s="906"/>
      <c r="BC117" s="906"/>
      <c r="BD117" s="906"/>
      <c r="BE117" s="906"/>
      <c r="BF117" s="906"/>
      <c r="BG117" s="906"/>
      <c r="BH117" s="906"/>
      <c r="BI117" s="906"/>
      <c r="BJ117" s="906"/>
      <c r="BK117" s="906"/>
      <c r="BL117" s="906"/>
      <c r="BM117" s="906"/>
      <c r="BN117" s="906"/>
      <c r="BO117" s="906"/>
      <c r="BP117" s="906"/>
      <c r="BQ117" s="906"/>
      <c r="BR117" s="906"/>
      <c r="BS117" s="906"/>
      <c r="BT117" s="906"/>
      <c r="BU117" s="906"/>
      <c r="BV117" s="906"/>
      <c r="BW117" s="906"/>
      <c r="BX117" s="906"/>
      <c r="BY117" s="906"/>
      <c r="BZ117" s="906"/>
      <c r="CA117" s="906"/>
      <c r="CB117" s="906"/>
      <c r="CC117" s="906"/>
      <c r="CD117" s="906"/>
      <c r="CE117" s="906"/>
      <c r="CF117" s="906"/>
      <c r="CG117" s="906"/>
      <c r="CH117" s="906"/>
      <c r="CI117" s="906"/>
      <c r="CJ117" s="906"/>
      <c r="CK117" s="906"/>
      <c r="CL117" s="906"/>
      <c r="CM117" s="906"/>
      <c r="CN117" s="906"/>
      <c r="CO117" s="906"/>
      <c r="CP117" s="906"/>
      <c r="CQ117" s="906"/>
      <c r="CR117" s="906"/>
      <c r="CS117" s="906"/>
      <c r="CT117" s="906"/>
      <c r="CU117" s="906"/>
      <c r="CV117" s="906"/>
      <c r="CW117" s="906"/>
      <c r="CX117" s="906"/>
      <c r="CY117" s="906"/>
      <c r="CZ117" s="906"/>
      <c r="DA117" s="906"/>
      <c r="DB117" s="906"/>
      <c r="DC117" s="906"/>
      <c r="DD117" s="906"/>
      <c r="DE117" s="906"/>
      <c r="DF117" s="906"/>
      <c r="DG117" s="906"/>
      <c r="DH117" s="906"/>
      <c r="DI117" s="906"/>
      <c r="DJ117" s="906"/>
      <c r="DK117" s="906"/>
      <c r="DL117" s="906"/>
      <c r="DM117" s="906"/>
      <c r="DN117" s="906"/>
      <c r="DO117" s="906"/>
      <c r="DP117" s="906"/>
      <c r="DQ117" s="906"/>
      <c r="DR117" s="906"/>
      <c r="DS117" s="906"/>
    </row>
    <row r="118" spans="1:123" s="854" customFormat="1" ht="16.5" customHeight="1">
      <c r="A118" s="891"/>
      <c r="B118" s="771"/>
      <c r="C118" s="769"/>
      <c r="D118" s="892"/>
      <c r="E118" s="893"/>
      <c r="F118" s="894"/>
      <c r="G118" s="771"/>
      <c r="H118" s="894"/>
      <c r="I118" s="895"/>
      <c r="J118" s="895"/>
      <c r="K118" s="893"/>
      <c r="L118" s="893"/>
      <c r="M118" s="893"/>
      <c r="N118" s="893"/>
      <c r="O118" s="893"/>
      <c r="P118" s="893"/>
      <c r="Q118" s="893"/>
      <c r="R118" s="906"/>
      <c r="S118" s="899"/>
      <c r="T118" s="906"/>
      <c r="U118" s="906"/>
      <c r="V118" s="906"/>
      <c r="W118" s="906"/>
      <c r="X118" s="906"/>
      <c r="Y118" s="906"/>
      <c r="Z118" s="906"/>
      <c r="AA118" s="906"/>
      <c r="AB118" s="906"/>
      <c r="AC118" s="906"/>
      <c r="AD118" s="906"/>
      <c r="AE118" s="906"/>
      <c r="AF118" s="906"/>
      <c r="AG118" s="906"/>
      <c r="AH118" s="906"/>
      <c r="AI118" s="906"/>
      <c r="AJ118" s="906"/>
      <c r="AK118" s="906"/>
      <c r="AL118" s="906"/>
      <c r="AM118" s="906"/>
      <c r="AN118" s="906"/>
      <c r="AO118" s="906"/>
      <c r="AP118" s="906"/>
      <c r="AQ118" s="906"/>
      <c r="AR118" s="906"/>
      <c r="AS118" s="906"/>
      <c r="AT118" s="906"/>
      <c r="AU118" s="906"/>
      <c r="AV118" s="906"/>
      <c r="AW118" s="906"/>
      <c r="AX118" s="906"/>
      <c r="AY118" s="906"/>
      <c r="AZ118" s="906"/>
      <c r="BA118" s="906"/>
      <c r="BB118" s="906"/>
      <c r="BC118" s="906"/>
      <c r="BD118" s="906"/>
      <c r="BE118" s="906"/>
      <c r="BF118" s="906"/>
      <c r="BG118" s="906"/>
      <c r="BH118" s="906"/>
      <c r="BI118" s="906"/>
      <c r="BJ118" s="906"/>
      <c r="BK118" s="906"/>
      <c r="BL118" s="906"/>
      <c r="BM118" s="906"/>
      <c r="BN118" s="906"/>
      <c r="BO118" s="906"/>
      <c r="BP118" s="906"/>
      <c r="BQ118" s="906"/>
      <c r="BR118" s="906"/>
      <c r="BS118" s="906"/>
      <c r="BT118" s="906"/>
      <c r="BU118" s="906"/>
      <c r="BV118" s="906"/>
      <c r="BW118" s="906"/>
      <c r="BX118" s="906"/>
      <c r="BY118" s="906"/>
      <c r="BZ118" s="906"/>
      <c r="CA118" s="906"/>
      <c r="CB118" s="906"/>
      <c r="CC118" s="906"/>
      <c r="CD118" s="906"/>
      <c r="CE118" s="906"/>
      <c r="CF118" s="906"/>
      <c r="CG118" s="906"/>
      <c r="CH118" s="906"/>
      <c r="CI118" s="906"/>
      <c r="CJ118" s="906"/>
      <c r="CK118" s="906"/>
      <c r="CL118" s="906"/>
      <c r="CM118" s="906"/>
      <c r="CN118" s="906"/>
      <c r="CO118" s="906"/>
      <c r="CP118" s="906"/>
      <c r="CQ118" s="906"/>
      <c r="CR118" s="906"/>
      <c r="CS118" s="906"/>
      <c r="CT118" s="906"/>
      <c r="CU118" s="906"/>
      <c r="CV118" s="906"/>
      <c r="CW118" s="906"/>
      <c r="CX118" s="906"/>
      <c r="CY118" s="906"/>
      <c r="CZ118" s="906"/>
      <c r="DA118" s="906"/>
      <c r="DB118" s="906"/>
      <c r="DC118" s="906"/>
      <c r="DD118" s="906"/>
      <c r="DE118" s="906"/>
      <c r="DF118" s="906"/>
      <c r="DG118" s="906"/>
      <c r="DH118" s="906"/>
      <c r="DI118" s="906"/>
      <c r="DJ118" s="906"/>
      <c r="DK118" s="906"/>
      <c r="DL118" s="906"/>
      <c r="DM118" s="906"/>
      <c r="DN118" s="906"/>
      <c r="DO118" s="906"/>
      <c r="DP118" s="906"/>
      <c r="DQ118" s="906"/>
      <c r="DR118" s="906"/>
      <c r="DS118" s="906"/>
    </row>
    <row r="119" spans="1:123" s="854" customFormat="1" ht="16.5" customHeight="1">
      <c r="A119" s="891"/>
      <c r="B119" s="771"/>
      <c r="C119" s="769"/>
      <c r="D119" s="892"/>
      <c r="E119" s="893"/>
      <c r="F119" s="894"/>
      <c r="G119" s="771"/>
      <c r="H119" s="894"/>
      <c r="I119" s="895"/>
      <c r="J119" s="895"/>
      <c r="K119" s="893"/>
      <c r="L119" s="893"/>
      <c r="M119" s="893"/>
      <c r="N119" s="893"/>
      <c r="O119" s="893"/>
      <c r="P119" s="893"/>
      <c r="Q119" s="893"/>
      <c r="R119" s="906"/>
      <c r="S119" s="899"/>
      <c r="T119" s="906"/>
      <c r="U119" s="906"/>
      <c r="V119" s="906"/>
      <c r="W119" s="906"/>
      <c r="X119" s="906"/>
      <c r="Y119" s="906"/>
      <c r="Z119" s="906"/>
      <c r="AA119" s="906"/>
      <c r="AB119" s="906"/>
      <c r="AC119" s="906"/>
      <c r="AD119" s="906"/>
      <c r="AE119" s="906"/>
      <c r="AF119" s="906"/>
      <c r="AG119" s="906"/>
      <c r="AH119" s="906"/>
      <c r="AI119" s="906"/>
      <c r="AJ119" s="906"/>
      <c r="AK119" s="906"/>
      <c r="AL119" s="906"/>
      <c r="AM119" s="906"/>
      <c r="AN119" s="906"/>
      <c r="AO119" s="906"/>
      <c r="AP119" s="906"/>
      <c r="AQ119" s="906"/>
      <c r="AR119" s="906"/>
      <c r="AS119" s="906"/>
      <c r="AT119" s="906"/>
      <c r="AU119" s="906"/>
      <c r="AV119" s="906"/>
      <c r="AW119" s="906"/>
      <c r="AX119" s="906"/>
      <c r="AY119" s="906"/>
      <c r="AZ119" s="906"/>
      <c r="BA119" s="906"/>
      <c r="BB119" s="906"/>
      <c r="BC119" s="906"/>
      <c r="BD119" s="906"/>
      <c r="BE119" s="906"/>
      <c r="BF119" s="906"/>
      <c r="BG119" s="906"/>
      <c r="BH119" s="906"/>
      <c r="BI119" s="906"/>
      <c r="BJ119" s="906"/>
      <c r="BK119" s="906"/>
      <c r="BL119" s="906"/>
      <c r="BM119" s="906"/>
      <c r="BN119" s="906"/>
      <c r="BO119" s="906"/>
      <c r="BP119" s="906"/>
      <c r="BQ119" s="906"/>
      <c r="BR119" s="906"/>
      <c r="BS119" s="906"/>
      <c r="BT119" s="906"/>
      <c r="BU119" s="906"/>
      <c r="BV119" s="906"/>
      <c r="BW119" s="906"/>
      <c r="BX119" s="906"/>
      <c r="BY119" s="906"/>
      <c r="BZ119" s="906"/>
      <c r="CA119" s="906"/>
      <c r="CB119" s="906"/>
      <c r="CC119" s="906"/>
      <c r="CD119" s="906"/>
      <c r="CE119" s="906"/>
      <c r="CF119" s="906"/>
      <c r="CG119" s="906"/>
      <c r="CH119" s="906"/>
      <c r="CI119" s="906"/>
      <c r="CJ119" s="906"/>
      <c r="CK119" s="906"/>
      <c r="CL119" s="906"/>
      <c r="CM119" s="906"/>
      <c r="CN119" s="906"/>
      <c r="CO119" s="906"/>
      <c r="CP119" s="906"/>
      <c r="CQ119" s="906"/>
      <c r="CR119" s="906"/>
      <c r="CS119" s="906"/>
      <c r="CT119" s="906"/>
      <c r="CU119" s="906"/>
      <c r="CV119" s="906"/>
      <c r="CW119" s="906"/>
      <c r="CX119" s="906"/>
      <c r="CY119" s="906"/>
      <c r="CZ119" s="906"/>
      <c r="DA119" s="906"/>
      <c r="DB119" s="906"/>
      <c r="DC119" s="906"/>
      <c r="DD119" s="906"/>
      <c r="DE119" s="906"/>
      <c r="DF119" s="906"/>
      <c r="DG119" s="906"/>
      <c r="DH119" s="906"/>
      <c r="DI119" s="906"/>
      <c r="DJ119" s="906"/>
      <c r="DK119" s="906"/>
      <c r="DL119" s="906"/>
      <c r="DM119" s="906"/>
      <c r="DN119" s="906"/>
      <c r="DO119" s="906"/>
      <c r="DP119" s="906"/>
      <c r="DQ119" s="906"/>
      <c r="DR119" s="906"/>
      <c r="DS119" s="906"/>
    </row>
    <row r="120" spans="1:123" s="854" customFormat="1" ht="16.5" customHeight="1">
      <c r="A120" s="891"/>
      <c r="B120" s="771"/>
      <c r="C120" s="769"/>
      <c r="D120" s="892"/>
      <c r="E120" s="893"/>
      <c r="F120" s="894"/>
      <c r="G120" s="771"/>
      <c r="H120" s="894"/>
      <c r="I120" s="895"/>
      <c r="J120" s="895"/>
      <c r="K120" s="893"/>
      <c r="L120" s="893"/>
      <c r="M120" s="893"/>
      <c r="N120" s="893"/>
      <c r="O120" s="893"/>
      <c r="P120" s="893"/>
      <c r="Q120" s="893"/>
      <c r="R120" s="906"/>
      <c r="S120" s="899"/>
      <c r="T120" s="906"/>
      <c r="U120" s="906"/>
      <c r="V120" s="906"/>
      <c r="W120" s="906"/>
      <c r="X120" s="906"/>
      <c r="Y120" s="906"/>
      <c r="Z120" s="906"/>
      <c r="AA120" s="906"/>
      <c r="AB120" s="906"/>
      <c r="AC120" s="906"/>
      <c r="AD120" s="906"/>
      <c r="AE120" s="906"/>
      <c r="AF120" s="906"/>
      <c r="AG120" s="906"/>
      <c r="AH120" s="906"/>
      <c r="AI120" s="906"/>
      <c r="AJ120" s="906"/>
      <c r="AK120" s="906"/>
      <c r="AL120" s="906"/>
      <c r="AM120" s="906"/>
      <c r="AN120" s="906"/>
      <c r="AO120" s="906"/>
      <c r="AP120" s="906"/>
      <c r="AQ120" s="906"/>
      <c r="AR120" s="906"/>
      <c r="AS120" s="906"/>
      <c r="AT120" s="906"/>
      <c r="AU120" s="906"/>
      <c r="AV120" s="906"/>
      <c r="AW120" s="906"/>
      <c r="AX120" s="906"/>
      <c r="AY120" s="906"/>
      <c r="AZ120" s="906"/>
      <c r="BA120" s="906"/>
      <c r="BB120" s="906"/>
      <c r="BC120" s="906"/>
      <c r="BD120" s="906"/>
      <c r="BE120" s="906"/>
      <c r="BF120" s="906"/>
      <c r="BG120" s="906"/>
      <c r="BH120" s="906"/>
      <c r="BI120" s="906"/>
      <c r="BJ120" s="906"/>
      <c r="BK120" s="906"/>
      <c r="BL120" s="906"/>
      <c r="BM120" s="906"/>
      <c r="BN120" s="906"/>
      <c r="BO120" s="906"/>
      <c r="BP120" s="906"/>
      <c r="BQ120" s="906"/>
      <c r="BR120" s="906"/>
      <c r="BS120" s="906"/>
      <c r="BT120" s="906"/>
      <c r="BU120" s="906"/>
      <c r="BV120" s="906"/>
      <c r="BW120" s="906"/>
      <c r="BX120" s="906"/>
      <c r="BY120" s="906"/>
      <c r="BZ120" s="906"/>
      <c r="CA120" s="906"/>
      <c r="CB120" s="906"/>
      <c r="CC120" s="906"/>
      <c r="CD120" s="906"/>
      <c r="CE120" s="906"/>
      <c r="CF120" s="906"/>
      <c r="CG120" s="906"/>
      <c r="CH120" s="906"/>
      <c r="CI120" s="906"/>
      <c r="CJ120" s="906"/>
      <c r="CK120" s="906"/>
      <c r="CL120" s="906"/>
      <c r="CM120" s="906"/>
      <c r="CN120" s="906"/>
      <c r="CO120" s="906"/>
      <c r="CP120" s="906"/>
      <c r="CQ120" s="906"/>
      <c r="CR120" s="906"/>
      <c r="CS120" s="906"/>
      <c r="CT120" s="906"/>
      <c r="CU120" s="906"/>
      <c r="CV120" s="906"/>
      <c r="CW120" s="906"/>
      <c r="CX120" s="906"/>
      <c r="CY120" s="906"/>
      <c r="CZ120" s="906"/>
      <c r="DA120" s="906"/>
      <c r="DB120" s="906"/>
      <c r="DC120" s="906"/>
      <c r="DD120" s="906"/>
      <c r="DE120" s="906"/>
      <c r="DF120" s="906"/>
      <c r="DG120" s="906"/>
      <c r="DH120" s="906"/>
      <c r="DI120" s="906"/>
      <c r="DJ120" s="906"/>
      <c r="DK120" s="906"/>
      <c r="DL120" s="906"/>
      <c r="DM120" s="906"/>
      <c r="DN120" s="906"/>
      <c r="DO120" s="906"/>
      <c r="DP120" s="906"/>
      <c r="DQ120" s="906"/>
      <c r="DR120" s="906"/>
      <c r="DS120" s="906"/>
    </row>
    <row r="121" spans="1:123" s="854" customFormat="1" ht="16.5" customHeight="1">
      <c r="A121" s="891"/>
      <c r="B121" s="771"/>
      <c r="C121" s="769"/>
      <c r="D121" s="892"/>
      <c r="E121" s="893"/>
      <c r="F121" s="894"/>
      <c r="G121" s="771"/>
      <c r="H121" s="894"/>
      <c r="I121" s="895"/>
      <c r="J121" s="895"/>
      <c r="K121" s="893"/>
      <c r="L121" s="893"/>
      <c r="M121" s="893"/>
      <c r="N121" s="893"/>
      <c r="O121" s="893"/>
      <c r="P121" s="893"/>
      <c r="Q121" s="893"/>
      <c r="R121" s="906"/>
      <c r="S121" s="899"/>
      <c r="T121" s="906"/>
      <c r="U121" s="906"/>
      <c r="V121" s="906"/>
      <c r="W121" s="906"/>
      <c r="X121" s="906"/>
      <c r="Y121" s="906"/>
      <c r="Z121" s="906"/>
      <c r="AA121" s="906"/>
      <c r="AB121" s="906"/>
      <c r="AC121" s="906"/>
      <c r="AD121" s="906"/>
      <c r="AE121" s="906"/>
      <c r="AF121" s="906"/>
      <c r="AG121" s="906"/>
      <c r="AH121" s="906"/>
      <c r="AI121" s="906"/>
      <c r="AJ121" s="906"/>
      <c r="AK121" s="906"/>
      <c r="AL121" s="906"/>
      <c r="AM121" s="906"/>
      <c r="AN121" s="906"/>
      <c r="AO121" s="906"/>
      <c r="AP121" s="906"/>
      <c r="AQ121" s="906"/>
      <c r="AR121" s="906"/>
      <c r="AS121" s="906"/>
      <c r="AT121" s="906"/>
      <c r="AU121" s="906"/>
      <c r="AV121" s="906"/>
      <c r="AW121" s="906"/>
      <c r="AX121" s="906"/>
      <c r="AY121" s="906"/>
      <c r="AZ121" s="906"/>
      <c r="BA121" s="906"/>
      <c r="BB121" s="906"/>
      <c r="BC121" s="906"/>
      <c r="BD121" s="906"/>
      <c r="BE121" s="906"/>
      <c r="BF121" s="906"/>
      <c r="BG121" s="906"/>
      <c r="BH121" s="906"/>
      <c r="BI121" s="906"/>
      <c r="BJ121" s="906"/>
      <c r="BK121" s="906"/>
      <c r="BL121" s="906"/>
      <c r="BM121" s="906"/>
      <c r="BN121" s="906"/>
      <c r="BO121" s="906"/>
      <c r="BP121" s="906"/>
      <c r="BQ121" s="906"/>
      <c r="BR121" s="906"/>
      <c r="BS121" s="906"/>
      <c r="BT121" s="906"/>
      <c r="BU121" s="906"/>
      <c r="BV121" s="906"/>
      <c r="BW121" s="906"/>
      <c r="BX121" s="906"/>
      <c r="BY121" s="906"/>
      <c r="BZ121" s="906"/>
      <c r="CA121" s="906"/>
      <c r="CB121" s="906"/>
      <c r="CC121" s="906"/>
      <c r="CD121" s="906"/>
      <c r="CE121" s="906"/>
      <c r="CF121" s="906"/>
      <c r="CG121" s="906"/>
      <c r="CH121" s="906"/>
      <c r="CI121" s="906"/>
      <c r="CJ121" s="906"/>
      <c r="CK121" s="906"/>
      <c r="CL121" s="906"/>
      <c r="CM121" s="906"/>
      <c r="CN121" s="906"/>
      <c r="CO121" s="906"/>
      <c r="CP121" s="906"/>
      <c r="CQ121" s="906"/>
      <c r="CR121" s="906"/>
      <c r="CS121" s="906"/>
      <c r="CT121" s="906"/>
      <c r="CU121" s="906"/>
      <c r="CV121" s="906"/>
      <c r="CW121" s="906"/>
      <c r="CX121" s="906"/>
      <c r="CY121" s="906"/>
      <c r="CZ121" s="906"/>
      <c r="DA121" s="906"/>
      <c r="DB121" s="906"/>
      <c r="DC121" s="906"/>
      <c r="DD121" s="906"/>
      <c r="DE121" s="906"/>
      <c r="DF121" s="906"/>
      <c r="DG121" s="906"/>
      <c r="DH121" s="906"/>
      <c r="DI121" s="906"/>
      <c r="DJ121" s="906"/>
      <c r="DK121" s="906"/>
      <c r="DL121" s="906"/>
      <c r="DM121" s="906"/>
      <c r="DN121" s="906"/>
      <c r="DO121" s="906"/>
      <c r="DP121" s="906"/>
      <c r="DQ121" s="906"/>
      <c r="DR121" s="906"/>
      <c r="DS121" s="906"/>
    </row>
    <row r="122" spans="1:123" s="854" customFormat="1" ht="16.5" customHeight="1">
      <c r="A122" s="891"/>
      <c r="B122" s="771"/>
      <c r="C122" s="769"/>
      <c r="D122" s="892"/>
      <c r="E122" s="893"/>
      <c r="F122" s="894"/>
      <c r="G122" s="771"/>
      <c r="H122" s="894"/>
      <c r="I122" s="895"/>
      <c r="J122" s="895"/>
      <c r="K122" s="893"/>
      <c r="L122" s="893"/>
      <c r="M122" s="893"/>
      <c r="N122" s="893"/>
      <c r="O122" s="893"/>
      <c r="P122" s="893"/>
      <c r="Q122" s="893"/>
      <c r="R122" s="906"/>
      <c r="S122" s="899"/>
      <c r="T122" s="906"/>
      <c r="U122" s="906"/>
      <c r="V122" s="906"/>
      <c r="W122" s="906"/>
      <c r="X122" s="906"/>
      <c r="Y122" s="906"/>
      <c r="Z122" s="906"/>
      <c r="AA122" s="906"/>
      <c r="AB122" s="906"/>
      <c r="AC122" s="906"/>
      <c r="AD122" s="906"/>
      <c r="AE122" s="906"/>
      <c r="AF122" s="906"/>
      <c r="AG122" s="906"/>
      <c r="AH122" s="906"/>
      <c r="AI122" s="906"/>
      <c r="AJ122" s="906"/>
      <c r="AK122" s="906"/>
      <c r="AL122" s="906"/>
      <c r="AM122" s="906"/>
      <c r="AN122" s="906"/>
      <c r="AO122" s="906"/>
      <c r="AP122" s="906"/>
      <c r="AQ122" s="906"/>
      <c r="AR122" s="906"/>
      <c r="AS122" s="906"/>
      <c r="AT122" s="906"/>
      <c r="AU122" s="906"/>
      <c r="AV122" s="906"/>
      <c r="AW122" s="906"/>
      <c r="AX122" s="906"/>
      <c r="AY122" s="906"/>
      <c r="AZ122" s="906"/>
      <c r="BA122" s="906"/>
      <c r="BB122" s="906"/>
      <c r="BC122" s="906"/>
      <c r="BD122" s="906"/>
      <c r="BE122" s="906"/>
      <c r="BF122" s="906"/>
      <c r="BG122" s="906"/>
      <c r="BH122" s="906"/>
      <c r="BI122" s="906"/>
      <c r="BJ122" s="906"/>
      <c r="BK122" s="906"/>
      <c r="BL122" s="906"/>
      <c r="BM122" s="906"/>
      <c r="BN122" s="906"/>
      <c r="BO122" s="906"/>
      <c r="BP122" s="906"/>
      <c r="BQ122" s="906"/>
      <c r="BR122" s="906"/>
      <c r="BS122" s="906"/>
      <c r="BT122" s="906"/>
      <c r="BU122" s="906"/>
      <c r="BV122" s="906"/>
      <c r="BW122" s="906"/>
      <c r="BX122" s="906"/>
      <c r="BY122" s="906"/>
      <c r="BZ122" s="906"/>
      <c r="CA122" s="906"/>
      <c r="CB122" s="906"/>
      <c r="CC122" s="906"/>
      <c r="CD122" s="906"/>
      <c r="CE122" s="906"/>
      <c r="CF122" s="906"/>
      <c r="CG122" s="906"/>
      <c r="CH122" s="906"/>
      <c r="CI122" s="906"/>
      <c r="CJ122" s="906"/>
      <c r="CK122" s="906"/>
      <c r="CL122" s="906"/>
      <c r="CM122" s="906"/>
      <c r="CN122" s="906"/>
      <c r="CO122" s="906"/>
      <c r="CP122" s="906"/>
      <c r="CQ122" s="906"/>
      <c r="CR122" s="906"/>
      <c r="CS122" s="906"/>
      <c r="CT122" s="906"/>
      <c r="CU122" s="906"/>
      <c r="CV122" s="906"/>
      <c r="CW122" s="906"/>
      <c r="CX122" s="906"/>
      <c r="CY122" s="906"/>
      <c r="CZ122" s="906"/>
      <c r="DA122" s="906"/>
      <c r="DB122" s="906"/>
      <c r="DC122" s="906"/>
      <c r="DD122" s="906"/>
      <c r="DE122" s="906"/>
      <c r="DF122" s="906"/>
      <c r="DG122" s="906"/>
      <c r="DH122" s="906"/>
      <c r="DI122" s="906"/>
      <c r="DJ122" s="906"/>
      <c r="DK122" s="906"/>
      <c r="DL122" s="906"/>
      <c r="DM122" s="906"/>
      <c r="DN122" s="906"/>
      <c r="DO122" s="906"/>
      <c r="DP122" s="906"/>
      <c r="DQ122" s="906"/>
      <c r="DR122" s="906"/>
      <c r="DS122" s="906"/>
    </row>
    <row r="123" spans="1:123" s="854" customFormat="1" ht="16.5" customHeight="1">
      <c r="A123" s="891"/>
      <c r="B123" s="771"/>
      <c r="C123" s="769"/>
      <c r="D123" s="892"/>
      <c r="E123" s="893"/>
      <c r="F123" s="894"/>
      <c r="G123" s="771"/>
      <c r="H123" s="894"/>
      <c r="I123" s="895"/>
      <c r="J123" s="895"/>
      <c r="K123" s="893"/>
      <c r="L123" s="893"/>
      <c r="M123" s="893"/>
      <c r="N123" s="893"/>
      <c r="O123" s="893"/>
      <c r="P123" s="893"/>
      <c r="Q123" s="893"/>
      <c r="R123" s="906"/>
      <c r="S123" s="899"/>
      <c r="T123" s="906"/>
      <c r="U123" s="906"/>
      <c r="V123" s="906"/>
      <c r="W123" s="906"/>
      <c r="X123" s="906"/>
      <c r="Y123" s="906"/>
      <c r="Z123" s="906"/>
      <c r="AA123" s="906"/>
      <c r="AB123" s="906"/>
      <c r="AC123" s="906"/>
      <c r="AD123" s="906"/>
      <c r="AE123" s="906"/>
      <c r="AF123" s="906"/>
      <c r="AG123" s="906"/>
      <c r="AH123" s="906"/>
      <c r="AI123" s="906"/>
      <c r="AJ123" s="906"/>
      <c r="AK123" s="906"/>
      <c r="AL123" s="906"/>
      <c r="AM123" s="906"/>
      <c r="AN123" s="906"/>
      <c r="AO123" s="906"/>
      <c r="AP123" s="906"/>
      <c r="AQ123" s="906"/>
      <c r="AR123" s="906"/>
      <c r="AS123" s="906"/>
      <c r="AT123" s="906"/>
      <c r="AU123" s="906"/>
      <c r="AV123" s="906"/>
      <c r="AW123" s="906"/>
      <c r="AX123" s="906"/>
      <c r="AY123" s="906"/>
      <c r="AZ123" s="906"/>
      <c r="BA123" s="906"/>
      <c r="BB123" s="906"/>
      <c r="BC123" s="906"/>
      <c r="BD123" s="906"/>
      <c r="BE123" s="906"/>
      <c r="BF123" s="906"/>
      <c r="BG123" s="906"/>
      <c r="BH123" s="906"/>
      <c r="BI123" s="906"/>
      <c r="BJ123" s="906"/>
      <c r="BK123" s="906"/>
      <c r="BL123" s="906"/>
      <c r="BM123" s="906"/>
      <c r="BN123" s="906"/>
      <c r="BO123" s="906"/>
      <c r="BP123" s="906"/>
      <c r="BQ123" s="906"/>
      <c r="BR123" s="906"/>
      <c r="BS123" s="906"/>
      <c r="BT123" s="906"/>
      <c r="BU123" s="906"/>
      <c r="BV123" s="906"/>
      <c r="BW123" s="906"/>
      <c r="BX123" s="906"/>
      <c r="BY123" s="906"/>
      <c r="BZ123" s="906"/>
      <c r="CA123" s="906"/>
      <c r="CB123" s="906"/>
      <c r="CC123" s="906"/>
      <c r="CD123" s="906"/>
      <c r="CE123" s="906"/>
      <c r="CF123" s="906"/>
      <c r="CG123" s="906"/>
      <c r="CH123" s="906"/>
      <c r="CI123" s="906"/>
      <c r="CJ123" s="906"/>
      <c r="CK123" s="906"/>
      <c r="CL123" s="906"/>
      <c r="CM123" s="906"/>
      <c r="CN123" s="906"/>
      <c r="CO123" s="906"/>
      <c r="CP123" s="906"/>
      <c r="CQ123" s="906"/>
      <c r="CR123" s="906"/>
      <c r="CS123" s="906"/>
      <c r="CT123" s="906"/>
      <c r="CU123" s="906"/>
      <c r="CV123" s="906"/>
      <c r="CW123" s="906"/>
      <c r="CX123" s="906"/>
      <c r="CY123" s="906"/>
      <c r="CZ123" s="906"/>
      <c r="DA123" s="906"/>
      <c r="DB123" s="906"/>
      <c r="DC123" s="906"/>
      <c r="DD123" s="906"/>
      <c r="DE123" s="906"/>
      <c r="DF123" s="906"/>
      <c r="DG123" s="906"/>
      <c r="DH123" s="906"/>
      <c r="DI123" s="906"/>
      <c r="DJ123" s="906"/>
      <c r="DK123" s="906"/>
      <c r="DL123" s="906"/>
      <c r="DM123" s="906"/>
      <c r="DN123" s="906"/>
      <c r="DO123" s="906"/>
      <c r="DP123" s="906"/>
      <c r="DQ123" s="906"/>
      <c r="DR123" s="906"/>
      <c r="DS123" s="906"/>
    </row>
    <row r="124" spans="1:123" s="854" customFormat="1" ht="16.5" customHeight="1">
      <c r="A124" s="891"/>
      <c r="B124" s="771"/>
      <c r="C124" s="769"/>
      <c r="D124" s="892"/>
      <c r="E124" s="893"/>
      <c r="F124" s="894"/>
      <c r="G124" s="771"/>
      <c r="H124" s="894"/>
      <c r="I124" s="895"/>
      <c r="J124" s="895"/>
      <c r="K124" s="893"/>
      <c r="L124" s="893"/>
      <c r="M124" s="893"/>
      <c r="N124" s="893"/>
      <c r="O124" s="893"/>
      <c r="P124" s="893"/>
      <c r="Q124" s="893"/>
      <c r="R124" s="906"/>
      <c r="S124" s="899"/>
      <c r="T124" s="906"/>
      <c r="U124" s="906"/>
      <c r="V124" s="906"/>
      <c r="W124" s="906"/>
      <c r="X124" s="906"/>
      <c r="Y124" s="906"/>
      <c r="Z124" s="906"/>
      <c r="AA124" s="906"/>
      <c r="AB124" s="906"/>
      <c r="AC124" s="906"/>
      <c r="AD124" s="906"/>
      <c r="AE124" s="906"/>
      <c r="AF124" s="906"/>
      <c r="AG124" s="906"/>
      <c r="AH124" s="906"/>
      <c r="AI124" s="906"/>
      <c r="AJ124" s="906"/>
      <c r="AK124" s="906"/>
      <c r="AL124" s="906"/>
      <c r="AM124" s="906"/>
      <c r="AN124" s="906"/>
      <c r="AO124" s="906"/>
      <c r="AP124" s="906"/>
      <c r="AQ124" s="906"/>
      <c r="AR124" s="906"/>
      <c r="AS124" s="906"/>
      <c r="AT124" s="906"/>
      <c r="AU124" s="906"/>
      <c r="AV124" s="906"/>
      <c r="AW124" s="906"/>
      <c r="AX124" s="906"/>
      <c r="AY124" s="906"/>
      <c r="AZ124" s="906"/>
      <c r="BA124" s="906"/>
      <c r="BB124" s="906"/>
      <c r="BC124" s="906"/>
      <c r="BD124" s="906"/>
      <c r="BE124" s="906"/>
      <c r="BF124" s="906"/>
      <c r="BG124" s="906"/>
      <c r="BH124" s="906"/>
      <c r="BI124" s="906"/>
      <c r="BJ124" s="906"/>
      <c r="BK124" s="906"/>
      <c r="BL124" s="906"/>
      <c r="BM124" s="906"/>
      <c r="BN124" s="906"/>
      <c r="BO124" s="906"/>
      <c r="BP124" s="906"/>
      <c r="BQ124" s="906"/>
      <c r="BR124" s="906"/>
      <c r="BS124" s="906"/>
      <c r="BT124" s="906"/>
      <c r="BU124" s="906"/>
      <c r="BV124" s="906"/>
      <c r="BW124" s="906"/>
      <c r="BX124" s="906"/>
      <c r="BY124" s="906"/>
      <c r="BZ124" s="906"/>
      <c r="CA124" s="906"/>
      <c r="CB124" s="906"/>
      <c r="CC124" s="906"/>
      <c r="CD124" s="906"/>
      <c r="CE124" s="906"/>
      <c r="CF124" s="906"/>
      <c r="CG124" s="906"/>
      <c r="CH124" s="906"/>
      <c r="CI124" s="906"/>
      <c r="CJ124" s="906"/>
      <c r="CK124" s="906"/>
      <c r="CL124" s="906"/>
      <c r="CM124" s="906"/>
      <c r="CN124" s="906"/>
      <c r="CO124" s="906"/>
      <c r="CP124" s="906"/>
      <c r="CQ124" s="906"/>
      <c r="CR124" s="906"/>
      <c r="CS124" s="906"/>
      <c r="CT124" s="906"/>
      <c r="CU124" s="906"/>
      <c r="CV124" s="906"/>
      <c r="CW124" s="906"/>
      <c r="CX124" s="906"/>
      <c r="CY124" s="906"/>
      <c r="CZ124" s="906"/>
      <c r="DA124" s="906"/>
      <c r="DB124" s="906"/>
      <c r="DC124" s="906"/>
      <c r="DD124" s="906"/>
      <c r="DE124" s="906"/>
      <c r="DF124" s="906"/>
      <c r="DG124" s="906"/>
      <c r="DH124" s="906"/>
      <c r="DI124" s="906"/>
      <c r="DJ124" s="906"/>
      <c r="DK124" s="906"/>
      <c r="DL124" s="906"/>
      <c r="DM124" s="906"/>
      <c r="DN124" s="906"/>
      <c r="DO124" s="906"/>
      <c r="DP124" s="906"/>
      <c r="DQ124" s="906"/>
      <c r="DR124" s="906"/>
      <c r="DS124" s="906"/>
    </row>
    <row r="125" spans="1:123" s="854" customFormat="1" ht="16.5" customHeight="1">
      <c r="A125" s="891"/>
      <c r="B125" s="771"/>
      <c r="C125" s="769"/>
      <c r="D125" s="892"/>
      <c r="E125" s="893"/>
      <c r="F125" s="894"/>
      <c r="G125" s="771"/>
      <c r="H125" s="894"/>
      <c r="I125" s="895"/>
      <c r="J125" s="895"/>
      <c r="K125" s="893"/>
      <c r="L125" s="893"/>
      <c r="M125" s="893"/>
      <c r="N125" s="893"/>
      <c r="O125" s="893"/>
      <c r="P125" s="893"/>
      <c r="Q125" s="893"/>
      <c r="R125" s="906"/>
      <c r="S125" s="899"/>
      <c r="T125" s="906"/>
      <c r="U125" s="906"/>
      <c r="V125" s="906"/>
      <c r="W125" s="906"/>
      <c r="X125" s="906"/>
      <c r="Y125" s="906"/>
      <c r="Z125" s="906"/>
      <c r="AA125" s="906"/>
      <c r="AB125" s="906"/>
      <c r="AC125" s="906"/>
      <c r="AD125" s="906"/>
      <c r="AE125" s="906"/>
      <c r="AF125" s="906"/>
      <c r="AG125" s="906"/>
      <c r="AH125" s="906"/>
      <c r="AI125" s="906"/>
      <c r="AJ125" s="906"/>
      <c r="AK125" s="906"/>
      <c r="AL125" s="906"/>
      <c r="AM125" s="906"/>
      <c r="AN125" s="906"/>
      <c r="AO125" s="906"/>
      <c r="AP125" s="906"/>
      <c r="AQ125" s="906"/>
      <c r="AR125" s="906"/>
      <c r="AS125" s="906"/>
      <c r="AT125" s="906"/>
      <c r="AU125" s="906"/>
      <c r="AV125" s="906"/>
      <c r="AW125" s="906"/>
      <c r="AX125" s="906"/>
      <c r="AY125" s="906"/>
      <c r="AZ125" s="906"/>
      <c r="BA125" s="906"/>
      <c r="BB125" s="906"/>
      <c r="BC125" s="906"/>
      <c r="BD125" s="906"/>
      <c r="BE125" s="906"/>
      <c r="BF125" s="906"/>
      <c r="BG125" s="906"/>
      <c r="BH125" s="906"/>
      <c r="BI125" s="906"/>
      <c r="BJ125" s="906"/>
      <c r="BK125" s="906"/>
      <c r="BL125" s="906"/>
      <c r="BM125" s="906"/>
      <c r="BN125" s="906"/>
      <c r="BO125" s="906"/>
      <c r="BP125" s="906"/>
      <c r="BQ125" s="906"/>
      <c r="BR125" s="906"/>
      <c r="BS125" s="906"/>
      <c r="BT125" s="906"/>
      <c r="BU125" s="906"/>
      <c r="BV125" s="906"/>
      <c r="BW125" s="906"/>
      <c r="BX125" s="906"/>
      <c r="BY125" s="906"/>
      <c r="BZ125" s="906"/>
      <c r="CA125" s="906"/>
      <c r="CB125" s="906"/>
      <c r="CC125" s="906"/>
      <c r="CD125" s="906"/>
      <c r="CE125" s="906"/>
      <c r="CF125" s="906"/>
      <c r="CG125" s="906"/>
      <c r="CH125" s="906"/>
      <c r="CI125" s="906"/>
      <c r="CJ125" s="906"/>
      <c r="CK125" s="906"/>
      <c r="CL125" s="906"/>
      <c r="CM125" s="906"/>
      <c r="CN125" s="906"/>
      <c r="CO125" s="906"/>
      <c r="CP125" s="906"/>
      <c r="CQ125" s="906"/>
      <c r="CR125" s="906"/>
      <c r="CS125" s="906"/>
      <c r="CT125" s="906"/>
      <c r="CU125" s="906"/>
      <c r="CV125" s="906"/>
      <c r="CW125" s="906"/>
      <c r="CX125" s="906"/>
      <c r="CY125" s="906"/>
      <c r="CZ125" s="906"/>
      <c r="DA125" s="906"/>
      <c r="DB125" s="906"/>
      <c r="DC125" s="906"/>
      <c r="DD125" s="906"/>
      <c r="DE125" s="906"/>
      <c r="DF125" s="906"/>
      <c r="DG125" s="906"/>
      <c r="DH125" s="906"/>
      <c r="DI125" s="906"/>
      <c r="DJ125" s="906"/>
      <c r="DK125" s="906"/>
      <c r="DL125" s="906"/>
      <c r="DM125" s="906"/>
      <c r="DN125" s="906"/>
      <c r="DO125" s="906"/>
      <c r="DP125" s="906"/>
      <c r="DQ125" s="906"/>
      <c r="DR125" s="906"/>
      <c r="DS125" s="906"/>
    </row>
    <row r="126" spans="1:123" s="854" customFormat="1" ht="16.5" customHeight="1">
      <c r="A126" s="891"/>
      <c r="B126" s="771"/>
      <c r="C126" s="769"/>
      <c r="D126" s="892"/>
      <c r="E126" s="893"/>
      <c r="F126" s="894"/>
      <c r="G126" s="771"/>
      <c r="H126" s="894"/>
      <c r="I126" s="895"/>
      <c r="J126" s="895"/>
      <c r="K126" s="893"/>
      <c r="L126" s="893"/>
      <c r="M126" s="893"/>
      <c r="N126" s="893"/>
      <c r="O126" s="893"/>
      <c r="P126" s="893"/>
      <c r="Q126" s="893"/>
      <c r="R126" s="906"/>
      <c r="S126" s="899"/>
      <c r="T126" s="906"/>
      <c r="U126" s="906"/>
      <c r="V126" s="906"/>
      <c r="W126" s="906"/>
      <c r="X126" s="906"/>
      <c r="Y126" s="906"/>
      <c r="Z126" s="906"/>
      <c r="AA126" s="906"/>
      <c r="AB126" s="906"/>
      <c r="AC126" s="906"/>
      <c r="AD126" s="906"/>
      <c r="AE126" s="906"/>
      <c r="AF126" s="906"/>
      <c r="AG126" s="906"/>
      <c r="AH126" s="906"/>
      <c r="AI126" s="906"/>
      <c r="AJ126" s="906"/>
      <c r="AK126" s="906"/>
      <c r="AL126" s="906"/>
      <c r="AM126" s="906"/>
      <c r="AN126" s="906"/>
      <c r="AO126" s="906"/>
      <c r="AP126" s="906"/>
      <c r="AQ126" s="906"/>
      <c r="AR126" s="906"/>
      <c r="AS126" s="906"/>
      <c r="AT126" s="906"/>
      <c r="AU126" s="906"/>
      <c r="AV126" s="906"/>
      <c r="AW126" s="906"/>
      <c r="AX126" s="906"/>
      <c r="AY126" s="906"/>
      <c r="AZ126" s="906"/>
      <c r="BA126" s="906"/>
      <c r="BB126" s="906"/>
      <c r="BC126" s="906"/>
      <c r="BD126" s="906"/>
      <c r="BE126" s="906"/>
      <c r="BF126" s="906"/>
      <c r="BG126" s="906"/>
      <c r="BH126" s="906"/>
      <c r="BI126" s="906"/>
      <c r="BJ126" s="906"/>
      <c r="BK126" s="906"/>
      <c r="BL126" s="906"/>
      <c r="BM126" s="906"/>
      <c r="BN126" s="906"/>
      <c r="BO126" s="906"/>
      <c r="BP126" s="906"/>
      <c r="BQ126" s="906"/>
      <c r="BR126" s="906"/>
      <c r="BS126" s="906"/>
      <c r="BT126" s="906"/>
      <c r="BU126" s="906"/>
      <c r="BV126" s="906"/>
      <c r="BW126" s="906"/>
      <c r="BX126" s="906"/>
      <c r="BY126" s="906"/>
      <c r="BZ126" s="906"/>
      <c r="CA126" s="906"/>
      <c r="CB126" s="906"/>
      <c r="CC126" s="906"/>
      <c r="CD126" s="906"/>
      <c r="CE126" s="906"/>
      <c r="CF126" s="906"/>
      <c r="CG126" s="906"/>
      <c r="CH126" s="906"/>
      <c r="CI126" s="906"/>
      <c r="CJ126" s="906"/>
      <c r="CK126" s="906"/>
      <c r="CL126" s="906"/>
      <c r="CM126" s="906"/>
      <c r="CN126" s="906"/>
      <c r="CO126" s="906"/>
      <c r="CP126" s="906"/>
      <c r="CQ126" s="906"/>
      <c r="CR126" s="906"/>
      <c r="CS126" s="906"/>
      <c r="CT126" s="906"/>
      <c r="CU126" s="906"/>
      <c r="CV126" s="906"/>
      <c r="CW126" s="906"/>
      <c r="CX126" s="906"/>
      <c r="CY126" s="906"/>
      <c r="CZ126" s="906"/>
      <c r="DA126" s="906"/>
      <c r="DB126" s="906"/>
      <c r="DC126" s="906"/>
      <c r="DD126" s="906"/>
      <c r="DE126" s="906"/>
      <c r="DF126" s="906"/>
      <c r="DG126" s="906"/>
      <c r="DH126" s="906"/>
      <c r="DI126" s="906"/>
      <c r="DJ126" s="906"/>
      <c r="DK126" s="906"/>
      <c r="DL126" s="906"/>
      <c r="DM126" s="906"/>
      <c r="DN126" s="906"/>
      <c r="DO126" s="906"/>
      <c r="DP126" s="906"/>
      <c r="DQ126" s="906"/>
      <c r="DR126" s="906"/>
      <c r="DS126" s="906"/>
    </row>
    <row r="127" spans="1:123" s="854" customFormat="1" ht="16.5" customHeight="1">
      <c r="A127" s="891"/>
      <c r="B127" s="771"/>
      <c r="C127" s="769"/>
      <c r="D127" s="892"/>
      <c r="E127" s="893"/>
      <c r="F127" s="894"/>
      <c r="G127" s="771"/>
      <c r="H127" s="894"/>
      <c r="I127" s="895"/>
      <c r="J127" s="895"/>
      <c r="K127" s="893"/>
      <c r="L127" s="893"/>
      <c r="M127" s="893"/>
      <c r="N127" s="893"/>
      <c r="O127" s="893"/>
      <c r="P127" s="893"/>
      <c r="Q127" s="893"/>
      <c r="R127" s="906"/>
      <c r="S127" s="899"/>
      <c r="T127" s="906"/>
      <c r="U127" s="906"/>
      <c r="V127" s="906"/>
      <c r="W127" s="906"/>
      <c r="X127" s="906"/>
      <c r="Y127" s="906"/>
      <c r="Z127" s="906"/>
      <c r="AA127" s="906"/>
      <c r="AB127" s="906"/>
      <c r="AC127" s="906"/>
      <c r="AD127" s="906"/>
      <c r="AE127" s="906"/>
      <c r="AF127" s="906"/>
      <c r="AG127" s="906"/>
      <c r="AH127" s="906"/>
      <c r="AI127" s="906"/>
      <c r="AJ127" s="906"/>
      <c r="AK127" s="906"/>
      <c r="AL127" s="906"/>
      <c r="AM127" s="906"/>
      <c r="AN127" s="906"/>
      <c r="AO127" s="906"/>
      <c r="AP127" s="906"/>
      <c r="AQ127" s="906"/>
      <c r="AR127" s="906"/>
      <c r="AS127" s="906"/>
      <c r="AT127" s="906"/>
      <c r="AU127" s="906"/>
      <c r="AV127" s="906"/>
      <c r="AW127" s="906"/>
      <c r="AX127" s="906"/>
      <c r="AY127" s="906"/>
      <c r="AZ127" s="906"/>
      <c r="BA127" s="906"/>
      <c r="BB127" s="906"/>
      <c r="BC127" s="906"/>
      <c r="BD127" s="906"/>
      <c r="BE127" s="906"/>
      <c r="BF127" s="906"/>
      <c r="BG127" s="906"/>
      <c r="BH127" s="906"/>
      <c r="BI127" s="906"/>
      <c r="BJ127" s="906"/>
      <c r="BK127" s="906"/>
      <c r="BL127" s="906"/>
      <c r="BM127" s="906"/>
      <c r="BN127" s="906"/>
      <c r="BO127" s="906"/>
      <c r="BP127" s="906"/>
      <c r="BQ127" s="906"/>
      <c r="BR127" s="906"/>
      <c r="BS127" s="906"/>
      <c r="BT127" s="906"/>
      <c r="BU127" s="906"/>
      <c r="BV127" s="906"/>
      <c r="BW127" s="906"/>
      <c r="BX127" s="906"/>
      <c r="BY127" s="906"/>
      <c r="BZ127" s="906"/>
      <c r="CA127" s="906"/>
      <c r="CB127" s="906"/>
      <c r="CC127" s="906"/>
      <c r="CD127" s="906"/>
      <c r="CE127" s="906"/>
      <c r="CF127" s="906"/>
      <c r="CG127" s="906"/>
      <c r="CH127" s="906"/>
      <c r="CI127" s="906"/>
      <c r="CJ127" s="906"/>
      <c r="CK127" s="906"/>
      <c r="CL127" s="906"/>
      <c r="CM127" s="906"/>
      <c r="CN127" s="906"/>
      <c r="CO127" s="906"/>
      <c r="CP127" s="906"/>
      <c r="CQ127" s="906"/>
      <c r="CR127" s="906"/>
      <c r="CS127" s="906"/>
      <c r="CT127" s="906"/>
      <c r="CU127" s="906"/>
      <c r="CV127" s="906"/>
      <c r="CW127" s="906"/>
      <c r="CX127" s="906"/>
      <c r="CY127" s="906"/>
      <c r="CZ127" s="906"/>
      <c r="DA127" s="906"/>
      <c r="DB127" s="906"/>
      <c r="DC127" s="906"/>
      <c r="DD127" s="906"/>
      <c r="DE127" s="906"/>
      <c r="DF127" s="906"/>
      <c r="DG127" s="906"/>
      <c r="DH127" s="906"/>
      <c r="DI127" s="906"/>
      <c r="DJ127" s="906"/>
      <c r="DK127" s="906"/>
      <c r="DL127" s="906"/>
      <c r="DM127" s="906"/>
      <c r="DN127" s="906"/>
      <c r="DO127" s="906"/>
      <c r="DP127" s="906"/>
      <c r="DQ127" s="906"/>
      <c r="DR127" s="906"/>
      <c r="DS127" s="906"/>
    </row>
    <row r="128" spans="1:123" s="854" customFormat="1" ht="16.5" customHeight="1">
      <c r="A128" s="891"/>
      <c r="B128" s="771"/>
      <c r="C128" s="769"/>
      <c r="D128" s="892"/>
      <c r="E128" s="893"/>
      <c r="F128" s="894"/>
      <c r="G128" s="771"/>
      <c r="H128" s="894"/>
      <c r="I128" s="895"/>
      <c r="J128" s="895"/>
      <c r="K128" s="893"/>
      <c r="L128" s="893"/>
      <c r="M128" s="893"/>
      <c r="N128" s="893"/>
      <c r="O128" s="893"/>
      <c r="P128" s="893"/>
      <c r="Q128" s="893"/>
      <c r="R128" s="906"/>
      <c r="S128" s="899"/>
      <c r="T128" s="906"/>
      <c r="U128" s="906"/>
      <c r="V128" s="906"/>
      <c r="W128" s="906"/>
      <c r="X128" s="906"/>
      <c r="Y128" s="906"/>
      <c r="Z128" s="906"/>
      <c r="AA128" s="906"/>
      <c r="AB128" s="906"/>
      <c r="AC128" s="906"/>
      <c r="AD128" s="906"/>
      <c r="AE128" s="906"/>
      <c r="AF128" s="906"/>
      <c r="AG128" s="906"/>
      <c r="AH128" s="906"/>
      <c r="AI128" s="906"/>
      <c r="AJ128" s="906"/>
      <c r="AK128" s="906"/>
      <c r="AL128" s="906"/>
      <c r="AM128" s="906"/>
      <c r="AN128" s="906"/>
      <c r="AO128" s="906"/>
      <c r="AP128" s="906"/>
      <c r="AQ128" s="906"/>
      <c r="AR128" s="906"/>
      <c r="AS128" s="906"/>
      <c r="AT128" s="906"/>
      <c r="AU128" s="906"/>
      <c r="AV128" s="906"/>
      <c r="AW128" s="906"/>
      <c r="AX128" s="906"/>
      <c r="AY128" s="906"/>
      <c r="AZ128" s="906"/>
      <c r="BA128" s="906"/>
      <c r="BB128" s="906"/>
      <c r="BC128" s="906"/>
      <c r="BD128" s="906"/>
      <c r="BE128" s="906"/>
      <c r="BF128" s="906"/>
      <c r="BG128" s="906"/>
      <c r="BH128" s="906"/>
      <c r="BI128" s="906"/>
      <c r="BJ128" s="906"/>
      <c r="BK128" s="906"/>
      <c r="BL128" s="906"/>
      <c r="BM128" s="906"/>
      <c r="BN128" s="906"/>
      <c r="BO128" s="906"/>
      <c r="BP128" s="906"/>
      <c r="BQ128" s="906"/>
      <c r="BR128" s="906"/>
      <c r="BS128" s="906"/>
      <c r="BT128" s="906"/>
      <c r="BU128" s="906"/>
      <c r="BV128" s="906"/>
      <c r="BW128" s="906"/>
      <c r="BX128" s="906"/>
      <c r="BY128" s="906"/>
      <c r="BZ128" s="906"/>
      <c r="CA128" s="906"/>
      <c r="CB128" s="906"/>
      <c r="CC128" s="906"/>
      <c r="CD128" s="906"/>
      <c r="CE128" s="906"/>
      <c r="CF128" s="906"/>
      <c r="CG128" s="906"/>
      <c r="CH128" s="906"/>
      <c r="CI128" s="906"/>
      <c r="CJ128" s="906"/>
      <c r="CK128" s="906"/>
      <c r="CL128" s="906"/>
      <c r="CM128" s="906"/>
      <c r="CN128" s="906"/>
      <c r="CO128" s="906"/>
      <c r="CP128" s="906"/>
      <c r="CQ128" s="906"/>
      <c r="CR128" s="906"/>
      <c r="CS128" s="906"/>
      <c r="CT128" s="906"/>
      <c r="CU128" s="906"/>
      <c r="CV128" s="906"/>
      <c r="CW128" s="906"/>
      <c r="CX128" s="906"/>
      <c r="CY128" s="906"/>
      <c r="CZ128" s="906"/>
      <c r="DA128" s="906"/>
      <c r="DB128" s="906"/>
      <c r="DC128" s="906"/>
      <c r="DD128" s="906"/>
      <c r="DE128" s="906"/>
      <c r="DF128" s="906"/>
      <c r="DG128" s="906"/>
      <c r="DH128" s="906"/>
      <c r="DI128" s="906"/>
      <c r="DJ128" s="906"/>
      <c r="DK128" s="906"/>
      <c r="DL128" s="906"/>
      <c r="DM128" s="906"/>
      <c r="DN128" s="906"/>
      <c r="DO128" s="906"/>
      <c r="DP128" s="906"/>
      <c r="DQ128" s="906"/>
      <c r="DR128" s="906"/>
      <c r="DS128" s="906"/>
    </row>
    <row r="129" spans="1:123" s="854" customFormat="1" ht="16.5" customHeight="1">
      <c r="A129" s="891"/>
      <c r="B129" s="771"/>
      <c r="C129" s="769"/>
      <c r="D129" s="892"/>
      <c r="E129" s="893"/>
      <c r="F129" s="894"/>
      <c r="G129" s="771"/>
      <c r="H129" s="894"/>
      <c r="I129" s="895"/>
      <c r="J129" s="895"/>
      <c r="K129" s="893"/>
      <c r="L129" s="893"/>
      <c r="M129" s="893"/>
      <c r="N129" s="893"/>
      <c r="O129" s="893"/>
      <c r="P129" s="893"/>
      <c r="Q129" s="893"/>
      <c r="R129" s="906"/>
      <c r="S129" s="899"/>
      <c r="T129" s="906"/>
      <c r="U129" s="906"/>
      <c r="V129" s="906"/>
      <c r="W129" s="906"/>
      <c r="X129" s="906"/>
      <c r="Y129" s="906"/>
      <c r="Z129" s="906"/>
      <c r="AA129" s="906"/>
      <c r="AB129" s="906"/>
      <c r="AC129" s="906"/>
      <c r="AD129" s="906"/>
      <c r="AE129" s="906"/>
      <c r="AF129" s="906"/>
      <c r="AG129" s="906"/>
      <c r="AH129" s="906"/>
      <c r="AI129" s="906"/>
      <c r="AJ129" s="906"/>
      <c r="AK129" s="906"/>
      <c r="AL129" s="906"/>
      <c r="AM129" s="906"/>
      <c r="AN129" s="906"/>
      <c r="AO129" s="906"/>
      <c r="AP129" s="906"/>
      <c r="AQ129" s="906"/>
      <c r="AR129" s="906"/>
      <c r="AS129" s="906"/>
      <c r="AT129" s="906"/>
      <c r="AU129" s="906"/>
      <c r="AV129" s="906"/>
      <c r="AW129" s="906"/>
      <c r="AX129" s="906"/>
      <c r="AY129" s="906"/>
      <c r="AZ129" s="906"/>
      <c r="BA129" s="906"/>
      <c r="BB129" s="906"/>
      <c r="BC129" s="906"/>
      <c r="BD129" s="906"/>
      <c r="BE129" s="906"/>
      <c r="BF129" s="906"/>
      <c r="BG129" s="906"/>
      <c r="BH129" s="906"/>
      <c r="BI129" s="906"/>
      <c r="BJ129" s="906"/>
      <c r="BK129" s="906"/>
      <c r="BL129" s="906"/>
      <c r="BM129" s="906"/>
      <c r="BN129" s="906"/>
      <c r="BO129" s="906"/>
      <c r="BP129" s="906"/>
      <c r="BQ129" s="906"/>
      <c r="BR129" s="906"/>
      <c r="BS129" s="906"/>
      <c r="BT129" s="906"/>
      <c r="BU129" s="906"/>
      <c r="BV129" s="906"/>
      <c r="BW129" s="906"/>
      <c r="BX129" s="906"/>
      <c r="BY129" s="906"/>
      <c r="BZ129" s="906"/>
      <c r="CA129" s="906"/>
      <c r="CB129" s="906"/>
      <c r="CC129" s="906"/>
      <c r="CD129" s="906"/>
      <c r="CE129" s="906"/>
      <c r="CF129" s="906"/>
      <c r="CG129" s="906"/>
      <c r="CH129" s="906"/>
      <c r="CI129" s="906"/>
      <c r="CJ129" s="906"/>
      <c r="CK129" s="906"/>
      <c r="CL129" s="906"/>
      <c r="CM129" s="906"/>
      <c r="CN129" s="906"/>
      <c r="CO129" s="906"/>
      <c r="CP129" s="906"/>
      <c r="CQ129" s="906"/>
      <c r="CR129" s="906"/>
      <c r="CS129" s="906"/>
      <c r="CT129" s="906"/>
      <c r="CU129" s="906"/>
      <c r="CV129" s="906"/>
      <c r="CW129" s="906"/>
      <c r="CX129" s="906"/>
      <c r="CY129" s="906"/>
      <c r="CZ129" s="906"/>
      <c r="DA129" s="906"/>
      <c r="DB129" s="906"/>
      <c r="DC129" s="906"/>
      <c r="DD129" s="906"/>
      <c r="DE129" s="906"/>
      <c r="DF129" s="906"/>
      <c r="DG129" s="906"/>
      <c r="DH129" s="906"/>
      <c r="DI129" s="906"/>
      <c r="DJ129" s="906"/>
      <c r="DK129" s="906"/>
      <c r="DL129" s="906"/>
      <c r="DM129" s="906"/>
      <c r="DN129" s="906"/>
      <c r="DO129" s="906"/>
      <c r="DP129" s="906"/>
      <c r="DQ129" s="906"/>
      <c r="DR129" s="906"/>
      <c r="DS129" s="906"/>
    </row>
    <row r="130" spans="1:123" s="854" customFormat="1" ht="16.5" customHeight="1">
      <c r="A130" s="891"/>
      <c r="B130" s="771"/>
      <c r="C130" s="769"/>
      <c r="D130" s="892"/>
      <c r="E130" s="893"/>
      <c r="F130" s="894"/>
      <c r="G130" s="771"/>
      <c r="H130" s="894"/>
      <c r="I130" s="895"/>
      <c r="J130" s="895"/>
      <c r="K130" s="893"/>
      <c r="L130" s="893"/>
      <c r="M130" s="893"/>
      <c r="N130" s="893"/>
      <c r="O130" s="893"/>
      <c r="P130" s="893"/>
      <c r="Q130" s="893"/>
      <c r="R130" s="906"/>
      <c r="S130" s="899"/>
      <c r="T130" s="906"/>
      <c r="U130" s="906"/>
      <c r="V130" s="906"/>
      <c r="W130" s="906"/>
      <c r="X130" s="906"/>
      <c r="Y130" s="906"/>
      <c r="Z130" s="906"/>
      <c r="AA130" s="906"/>
      <c r="AB130" s="906"/>
      <c r="AC130" s="906"/>
      <c r="AD130" s="906"/>
      <c r="AE130" s="906"/>
      <c r="AF130" s="906"/>
      <c r="AG130" s="906"/>
      <c r="AH130" s="906"/>
      <c r="AI130" s="906"/>
      <c r="AJ130" s="906"/>
      <c r="AK130" s="906"/>
      <c r="AL130" s="906"/>
      <c r="AM130" s="906"/>
      <c r="AN130" s="906"/>
      <c r="AO130" s="906"/>
      <c r="AP130" s="906"/>
      <c r="AQ130" s="906"/>
      <c r="AR130" s="906"/>
      <c r="AS130" s="906"/>
      <c r="AT130" s="906"/>
      <c r="AU130" s="906"/>
      <c r="AV130" s="906"/>
      <c r="AW130" s="906"/>
      <c r="AX130" s="906"/>
      <c r="AY130" s="906"/>
      <c r="AZ130" s="906"/>
      <c r="BA130" s="906"/>
      <c r="BB130" s="906"/>
      <c r="BC130" s="906"/>
      <c r="BD130" s="906"/>
      <c r="BE130" s="906"/>
      <c r="BF130" s="906"/>
      <c r="BG130" s="906"/>
      <c r="BH130" s="906"/>
      <c r="BI130" s="906"/>
      <c r="BJ130" s="906"/>
      <c r="BK130" s="906"/>
      <c r="BL130" s="906"/>
      <c r="BM130" s="906"/>
      <c r="BN130" s="906"/>
      <c r="BO130" s="906"/>
      <c r="BP130" s="906"/>
      <c r="BQ130" s="906"/>
      <c r="BR130" s="906"/>
      <c r="BS130" s="906"/>
      <c r="BT130" s="906"/>
      <c r="BU130" s="906"/>
      <c r="BV130" s="906"/>
      <c r="BW130" s="906"/>
      <c r="BX130" s="906"/>
      <c r="BY130" s="906"/>
      <c r="BZ130" s="906"/>
      <c r="CA130" s="906"/>
      <c r="CB130" s="906"/>
      <c r="CC130" s="906"/>
      <c r="CD130" s="906"/>
      <c r="CE130" s="906"/>
      <c r="CF130" s="906"/>
      <c r="CG130" s="906"/>
      <c r="CH130" s="906"/>
      <c r="CI130" s="906"/>
      <c r="CJ130" s="906"/>
      <c r="CK130" s="906"/>
      <c r="CL130" s="906"/>
      <c r="CM130" s="906"/>
      <c r="CN130" s="906"/>
      <c r="CO130" s="906"/>
      <c r="CP130" s="906"/>
      <c r="CQ130" s="906"/>
      <c r="CR130" s="906"/>
      <c r="CS130" s="906"/>
      <c r="CT130" s="906"/>
      <c r="CU130" s="906"/>
      <c r="CV130" s="906"/>
      <c r="CW130" s="906"/>
      <c r="CX130" s="906"/>
      <c r="CY130" s="906"/>
      <c r="CZ130" s="906"/>
      <c r="DA130" s="906"/>
      <c r="DB130" s="906"/>
      <c r="DC130" s="906"/>
      <c r="DD130" s="906"/>
      <c r="DE130" s="906"/>
      <c r="DF130" s="906"/>
      <c r="DG130" s="906"/>
      <c r="DH130" s="906"/>
      <c r="DI130" s="906"/>
      <c r="DJ130" s="906"/>
      <c r="DK130" s="906"/>
      <c r="DL130" s="906"/>
      <c r="DM130" s="906"/>
      <c r="DN130" s="906"/>
      <c r="DO130" s="906"/>
      <c r="DP130" s="906"/>
      <c r="DQ130" s="906"/>
      <c r="DR130" s="906"/>
      <c r="DS130" s="906"/>
    </row>
    <row r="131" spans="1:123" s="854" customFormat="1" ht="16.5" customHeight="1">
      <c r="A131" s="891"/>
      <c r="B131" s="771"/>
      <c r="C131" s="769"/>
      <c r="D131" s="892"/>
      <c r="E131" s="893"/>
      <c r="F131" s="894"/>
      <c r="G131" s="771"/>
      <c r="H131" s="894"/>
      <c r="I131" s="895"/>
      <c r="J131" s="895"/>
      <c r="K131" s="893"/>
      <c r="L131" s="893"/>
      <c r="M131" s="893"/>
      <c r="N131" s="893"/>
      <c r="O131" s="893"/>
      <c r="P131" s="893"/>
      <c r="Q131" s="893"/>
      <c r="R131" s="906"/>
      <c r="S131" s="899"/>
      <c r="T131" s="906"/>
      <c r="U131" s="906"/>
      <c r="V131" s="906"/>
      <c r="W131" s="906"/>
      <c r="X131" s="906"/>
      <c r="Y131" s="906"/>
      <c r="Z131" s="906"/>
      <c r="AA131" s="906"/>
      <c r="AB131" s="906"/>
      <c r="AC131" s="906"/>
      <c r="AD131" s="906"/>
      <c r="AE131" s="906"/>
      <c r="AF131" s="906"/>
      <c r="AG131" s="906"/>
      <c r="AH131" s="906"/>
      <c r="AI131" s="906"/>
      <c r="AJ131" s="906"/>
      <c r="AK131" s="906"/>
      <c r="AL131" s="906"/>
      <c r="AM131" s="906"/>
      <c r="AN131" s="906"/>
      <c r="AO131" s="906"/>
      <c r="AP131" s="906"/>
      <c r="AQ131" s="906"/>
      <c r="AR131" s="906"/>
      <c r="AS131" s="906"/>
      <c r="AT131" s="906"/>
      <c r="AU131" s="906"/>
      <c r="AV131" s="906"/>
      <c r="AW131" s="906"/>
      <c r="AX131" s="906"/>
      <c r="AY131" s="906"/>
      <c r="AZ131" s="906"/>
      <c r="BA131" s="906"/>
      <c r="BB131" s="906"/>
      <c r="BC131" s="906"/>
      <c r="BD131" s="906"/>
      <c r="BE131" s="906"/>
      <c r="BF131" s="906"/>
      <c r="BG131" s="906"/>
      <c r="BH131" s="906"/>
      <c r="BI131" s="906"/>
      <c r="BJ131" s="906"/>
      <c r="BK131" s="906"/>
      <c r="BL131" s="906"/>
      <c r="BM131" s="906"/>
      <c r="BN131" s="906"/>
      <c r="BO131" s="906"/>
      <c r="BP131" s="906"/>
      <c r="BQ131" s="906"/>
      <c r="BR131" s="906"/>
      <c r="BS131" s="906"/>
      <c r="BT131" s="906"/>
      <c r="BU131" s="906"/>
      <c r="BV131" s="906"/>
      <c r="BW131" s="906"/>
      <c r="BX131" s="906"/>
      <c r="BY131" s="906"/>
      <c r="BZ131" s="906"/>
      <c r="CA131" s="906"/>
      <c r="CB131" s="906"/>
      <c r="CC131" s="906"/>
      <c r="CD131" s="906"/>
      <c r="CE131" s="906"/>
      <c r="CF131" s="906"/>
      <c r="CG131" s="906"/>
      <c r="CH131" s="906"/>
      <c r="CI131" s="906"/>
      <c r="CJ131" s="906"/>
      <c r="CK131" s="906"/>
      <c r="CL131" s="906"/>
      <c r="CM131" s="906"/>
      <c r="CN131" s="906"/>
      <c r="CO131" s="906"/>
      <c r="CP131" s="906"/>
      <c r="CQ131" s="906"/>
      <c r="CR131" s="906"/>
      <c r="CS131" s="906"/>
      <c r="CT131" s="906"/>
      <c r="CU131" s="906"/>
      <c r="CV131" s="906"/>
      <c r="CW131" s="906"/>
      <c r="CX131" s="906"/>
      <c r="CY131" s="906"/>
      <c r="CZ131" s="906"/>
      <c r="DA131" s="906"/>
      <c r="DB131" s="906"/>
      <c r="DC131" s="906"/>
      <c r="DD131" s="906"/>
      <c r="DE131" s="906"/>
      <c r="DF131" s="906"/>
      <c r="DG131" s="906"/>
      <c r="DH131" s="906"/>
      <c r="DI131" s="906"/>
      <c r="DJ131" s="906"/>
      <c r="DK131" s="906"/>
      <c r="DL131" s="906"/>
      <c r="DM131" s="906"/>
      <c r="DN131" s="906"/>
      <c r="DO131" s="906"/>
      <c r="DP131" s="906"/>
      <c r="DQ131" s="906"/>
      <c r="DR131" s="906"/>
      <c r="DS131" s="906"/>
    </row>
    <row r="132" spans="1:123" s="854" customFormat="1" ht="16.5" customHeight="1">
      <c r="A132" s="891"/>
      <c r="B132" s="771"/>
      <c r="C132" s="769"/>
      <c r="D132" s="892"/>
      <c r="E132" s="893"/>
      <c r="F132" s="894"/>
      <c r="G132" s="771"/>
      <c r="H132" s="894"/>
      <c r="I132" s="895"/>
      <c r="J132" s="895"/>
      <c r="K132" s="893"/>
      <c r="L132" s="893"/>
      <c r="M132" s="893"/>
      <c r="N132" s="893"/>
      <c r="O132" s="893"/>
      <c r="P132" s="893"/>
      <c r="Q132" s="893"/>
      <c r="R132" s="906"/>
      <c r="S132" s="899"/>
      <c r="T132" s="906"/>
      <c r="U132" s="906"/>
      <c r="V132" s="906"/>
      <c r="W132" s="906"/>
      <c r="X132" s="906"/>
      <c r="Y132" s="906"/>
      <c r="Z132" s="906"/>
      <c r="AA132" s="906"/>
      <c r="AB132" s="906"/>
      <c r="AC132" s="906"/>
      <c r="AD132" s="906"/>
      <c r="AE132" s="906"/>
      <c r="AF132" s="906"/>
      <c r="AG132" s="906"/>
      <c r="AH132" s="906"/>
      <c r="AI132" s="906"/>
      <c r="AJ132" s="906"/>
      <c r="AK132" s="906"/>
      <c r="AL132" s="906"/>
      <c r="AM132" s="906"/>
      <c r="AN132" s="906"/>
      <c r="AO132" s="906"/>
      <c r="AP132" s="906"/>
      <c r="AQ132" s="906"/>
      <c r="AR132" s="906"/>
      <c r="AS132" s="906"/>
      <c r="AT132" s="906"/>
      <c r="AU132" s="906"/>
      <c r="AV132" s="906"/>
      <c r="AW132" s="906"/>
      <c r="AX132" s="906"/>
      <c r="AY132" s="906"/>
      <c r="AZ132" s="906"/>
      <c r="BA132" s="906"/>
      <c r="BB132" s="906"/>
      <c r="BC132" s="906"/>
      <c r="BD132" s="906"/>
      <c r="BE132" s="906"/>
      <c r="BF132" s="906"/>
      <c r="BG132" s="906"/>
      <c r="BH132" s="906"/>
      <c r="BI132" s="906"/>
      <c r="BJ132" s="906"/>
      <c r="BK132" s="906"/>
      <c r="BL132" s="906"/>
      <c r="BM132" s="906"/>
      <c r="BN132" s="906"/>
      <c r="BO132" s="906"/>
      <c r="BP132" s="906"/>
      <c r="BQ132" s="906"/>
      <c r="BR132" s="906"/>
      <c r="BS132" s="906"/>
      <c r="BT132" s="906"/>
      <c r="BU132" s="906"/>
      <c r="BV132" s="906"/>
      <c r="BW132" s="906"/>
      <c r="BX132" s="906"/>
      <c r="BY132" s="906"/>
      <c r="BZ132" s="906"/>
      <c r="CA132" s="906"/>
      <c r="CB132" s="906"/>
      <c r="CC132" s="906"/>
      <c r="CD132" s="906"/>
      <c r="CE132" s="906"/>
      <c r="CF132" s="906"/>
      <c r="CG132" s="906"/>
      <c r="CH132" s="906"/>
      <c r="CI132" s="906"/>
      <c r="CJ132" s="906"/>
      <c r="CK132" s="906"/>
      <c r="CL132" s="906"/>
      <c r="CM132" s="906"/>
      <c r="CN132" s="906"/>
      <c r="CO132" s="906"/>
      <c r="CP132" s="906"/>
      <c r="CQ132" s="906"/>
      <c r="CR132" s="906"/>
      <c r="CS132" s="906"/>
      <c r="CT132" s="906"/>
      <c r="CU132" s="906"/>
      <c r="CV132" s="906"/>
      <c r="CW132" s="906"/>
      <c r="CX132" s="906"/>
      <c r="CY132" s="906"/>
      <c r="CZ132" s="906"/>
      <c r="DA132" s="906"/>
      <c r="DB132" s="906"/>
      <c r="DC132" s="906"/>
      <c r="DD132" s="906"/>
      <c r="DE132" s="906"/>
      <c r="DF132" s="906"/>
      <c r="DG132" s="906"/>
      <c r="DH132" s="906"/>
      <c r="DI132" s="906"/>
      <c r="DJ132" s="906"/>
      <c r="DK132" s="906"/>
      <c r="DL132" s="906"/>
      <c r="DM132" s="906"/>
      <c r="DN132" s="906"/>
      <c r="DO132" s="906"/>
      <c r="DP132" s="906"/>
      <c r="DQ132" s="906"/>
      <c r="DR132" s="906"/>
      <c r="DS132" s="906"/>
    </row>
    <row r="133" spans="1:123" s="854" customFormat="1" ht="16.5" customHeight="1">
      <c r="A133" s="891"/>
      <c r="B133" s="771"/>
      <c r="C133" s="769"/>
      <c r="D133" s="892"/>
      <c r="E133" s="893"/>
      <c r="F133" s="894"/>
      <c r="G133" s="771"/>
      <c r="H133" s="894"/>
      <c r="I133" s="895"/>
      <c r="J133" s="895"/>
      <c r="K133" s="893"/>
      <c r="L133" s="893"/>
      <c r="M133" s="893"/>
      <c r="N133" s="893"/>
      <c r="O133" s="893"/>
      <c r="P133" s="893"/>
      <c r="Q133" s="893"/>
      <c r="R133" s="906"/>
      <c r="S133" s="899"/>
      <c r="T133" s="906"/>
      <c r="U133" s="906"/>
      <c r="V133" s="906"/>
      <c r="W133" s="906"/>
      <c r="X133" s="906"/>
      <c r="Y133" s="906"/>
      <c r="Z133" s="906"/>
      <c r="AA133" s="906"/>
      <c r="AB133" s="906"/>
      <c r="AC133" s="906"/>
      <c r="AD133" s="906"/>
      <c r="AE133" s="906"/>
      <c r="AF133" s="906"/>
      <c r="AG133" s="906"/>
      <c r="AH133" s="906"/>
      <c r="AI133" s="906"/>
      <c r="AJ133" s="906"/>
      <c r="AK133" s="906"/>
      <c r="AL133" s="906"/>
      <c r="AM133" s="906"/>
      <c r="AN133" s="906"/>
      <c r="AO133" s="906"/>
      <c r="AP133" s="906"/>
      <c r="AQ133" s="906"/>
      <c r="AR133" s="906"/>
      <c r="AS133" s="906"/>
      <c r="AT133" s="906"/>
      <c r="AU133" s="906"/>
      <c r="AV133" s="906"/>
      <c r="AW133" s="906"/>
      <c r="AX133" s="906"/>
      <c r="AY133" s="906"/>
      <c r="AZ133" s="906"/>
      <c r="BA133" s="906"/>
      <c r="BB133" s="906"/>
      <c r="BC133" s="906"/>
      <c r="BD133" s="906"/>
      <c r="BE133" s="906"/>
      <c r="BF133" s="906"/>
      <c r="BG133" s="906"/>
      <c r="BH133" s="906"/>
      <c r="BI133" s="906"/>
      <c r="BJ133" s="906"/>
      <c r="BK133" s="906"/>
      <c r="BL133" s="906"/>
      <c r="BM133" s="906"/>
      <c r="BN133" s="906"/>
      <c r="BO133" s="906"/>
      <c r="BP133" s="906"/>
      <c r="BQ133" s="906"/>
      <c r="BR133" s="906"/>
      <c r="BS133" s="906"/>
      <c r="BT133" s="906"/>
      <c r="BU133" s="906"/>
      <c r="BV133" s="906"/>
      <c r="BW133" s="906"/>
      <c r="BX133" s="906"/>
      <c r="BY133" s="906"/>
      <c r="BZ133" s="906"/>
      <c r="CA133" s="906"/>
      <c r="CB133" s="906"/>
      <c r="CC133" s="906"/>
      <c r="CD133" s="906"/>
      <c r="CE133" s="906"/>
      <c r="CF133" s="906"/>
      <c r="CG133" s="906"/>
      <c r="CH133" s="906"/>
      <c r="CI133" s="906"/>
      <c r="CJ133" s="906"/>
      <c r="CK133" s="906"/>
      <c r="CL133" s="906"/>
      <c r="CM133" s="906"/>
      <c r="CN133" s="906"/>
      <c r="CO133" s="906"/>
      <c r="CP133" s="906"/>
      <c r="CQ133" s="906"/>
      <c r="CR133" s="906"/>
      <c r="CS133" s="906"/>
      <c r="CT133" s="906"/>
      <c r="CU133" s="906"/>
      <c r="CV133" s="906"/>
      <c r="CW133" s="906"/>
      <c r="CX133" s="906"/>
      <c r="CY133" s="906"/>
      <c r="CZ133" s="906"/>
      <c r="DA133" s="906"/>
      <c r="DB133" s="906"/>
      <c r="DC133" s="906"/>
      <c r="DD133" s="906"/>
      <c r="DE133" s="906"/>
      <c r="DF133" s="906"/>
      <c r="DG133" s="906"/>
      <c r="DH133" s="906"/>
      <c r="DI133" s="906"/>
      <c r="DJ133" s="906"/>
      <c r="DK133" s="906"/>
      <c r="DL133" s="906"/>
      <c r="DM133" s="906"/>
      <c r="DN133" s="906"/>
      <c r="DO133" s="906"/>
      <c r="DP133" s="906"/>
      <c r="DQ133" s="906"/>
      <c r="DR133" s="906"/>
      <c r="DS133" s="906"/>
    </row>
    <row r="134" spans="1:123" s="854" customFormat="1" ht="16.5" customHeight="1">
      <c r="A134" s="891"/>
      <c r="B134" s="771"/>
      <c r="C134" s="769"/>
      <c r="D134" s="892"/>
      <c r="E134" s="893"/>
      <c r="F134" s="894"/>
      <c r="G134" s="771"/>
      <c r="H134" s="894"/>
      <c r="I134" s="895"/>
      <c r="J134" s="895"/>
      <c r="K134" s="893"/>
      <c r="L134" s="893"/>
      <c r="M134" s="893"/>
      <c r="N134" s="893"/>
      <c r="O134" s="893"/>
      <c r="P134" s="893"/>
      <c r="Q134" s="893"/>
      <c r="R134" s="906"/>
      <c r="S134" s="899"/>
      <c r="T134" s="906"/>
      <c r="U134" s="906"/>
      <c r="V134" s="906"/>
      <c r="W134" s="906"/>
      <c r="X134" s="906"/>
      <c r="Y134" s="906"/>
      <c r="Z134" s="906"/>
      <c r="AA134" s="906"/>
      <c r="AB134" s="906"/>
      <c r="AC134" s="906"/>
      <c r="AD134" s="906"/>
      <c r="AE134" s="906"/>
      <c r="AF134" s="906"/>
      <c r="AG134" s="906"/>
      <c r="AH134" s="906"/>
      <c r="AI134" s="906"/>
      <c r="AJ134" s="906"/>
      <c r="AK134" s="906"/>
      <c r="AL134" s="906"/>
      <c r="AM134" s="906"/>
      <c r="AN134" s="906"/>
      <c r="AO134" s="906"/>
      <c r="AP134" s="906"/>
      <c r="AQ134" s="906"/>
      <c r="AR134" s="906"/>
      <c r="AS134" s="906"/>
      <c r="AT134" s="906"/>
      <c r="AU134" s="906"/>
      <c r="AV134" s="906"/>
      <c r="AW134" s="906"/>
      <c r="AX134" s="906"/>
      <c r="AY134" s="906"/>
      <c r="AZ134" s="906"/>
      <c r="BA134" s="906"/>
      <c r="BB134" s="906"/>
      <c r="BC134" s="906"/>
      <c r="BD134" s="906"/>
      <c r="BE134" s="906"/>
      <c r="BF134" s="906"/>
      <c r="BG134" s="906"/>
      <c r="BH134" s="906"/>
      <c r="BI134" s="906"/>
      <c r="BJ134" s="906"/>
      <c r="BK134" s="906"/>
      <c r="BL134" s="906"/>
      <c r="BM134" s="906"/>
      <c r="BN134" s="906"/>
      <c r="BO134" s="906"/>
      <c r="BP134" s="906"/>
      <c r="BQ134" s="906"/>
      <c r="BR134" s="906"/>
      <c r="BS134" s="906"/>
      <c r="BT134" s="906"/>
      <c r="BU134" s="906"/>
      <c r="BV134" s="906"/>
      <c r="BW134" s="906"/>
      <c r="BX134" s="906"/>
      <c r="BY134" s="906"/>
      <c r="BZ134" s="906"/>
      <c r="CA134" s="906"/>
      <c r="CB134" s="906"/>
      <c r="CC134" s="906"/>
      <c r="CD134" s="906"/>
      <c r="CE134" s="906"/>
      <c r="CF134" s="906"/>
      <c r="CG134" s="906"/>
      <c r="CH134" s="906"/>
      <c r="CI134" s="906"/>
      <c r="CJ134" s="906"/>
      <c r="CK134" s="906"/>
      <c r="CL134" s="906"/>
      <c r="CM134" s="906"/>
      <c r="CN134" s="906"/>
      <c r="CO134" s="906"/>
      <c r="CP134" s="906"/>
      <c r="CQ134" s="906"/>
      <c r="CR134" s="906"/>
      <c r="CS134" s="906"/>
      <c r="CT134" s="906"/>
      <c r="CU134" s="906"/>
      <c r="CV134" s="906"/>
      <c r="CW134" s="906"/>
      <c r="CX134" s="906"/>
      <c r="CY134" s="906"/>
      <c r="CZ134" s="906"/>
      <c r="DA134" s="906"/>
      <c r="DB134" s="906"/>
      <c r="DC134" s="906"/>
      <c r="DD134" s="906"/>
      <c r="DE134" s="906"/>
      <c r="DF134" s="906"/>
      <c r="DG134" s="906"/>
      <c r="DH134" s="906"/>
      <c r="DI134" s="906"/>
      <c r="DJ134" s="906"/>
      <c r="DK134" s="906"/>
      <c r="DL134" s="906"/>
      <c r="DM134" s="906"/>
      <c r="DN134" s="906"/>
      <c r="DO134" s="906"/>
      <c r="DP134" s="906"/>
      <c r="DQ134" s="906"/>
      <c r="DR134" s="906"/>
      <c r="DS134" s="906"/>
    </row>
    <row r="135" spans="1:123" s="854" customFormat="1" ht="16.5" customHeight="1">
      <c r="A135" s="891"/>
      <c r="B135" s="771"/>
      <c r="C135" s="769"/>
      <c r="D135" s="892"/>
      <c r="E135" s="893"/>
      <c r="F135" s="894"/>
      <c r="G135" s="771"/>
      <c r="H135" s="894"/>
      <c r="I135" s="895"/>
      <c r="J135" s="895"/>
      <c r="K135" s="893"/>
      <c r="L135" s="893"/>
      <c r="M135" s="893"/>
      <c r="N135" s="893"/>
      <c r="O135" s="893"/>
      <c r="P135" s="893"/>
      <c r="Q135" s="893"/>
      <c r="R135" s="906"/>
      <c r="S135" s="899"/>
      <c r="T135" s="906"/>
      <c r="U135" s="906"/>
      <c r="V135" s="906"/>
      <c r="W135" s="906"/>
      <c r="X135" s="906"/>
      <c r="Y135" s="906"/>
      <c r="Z135" s="906"/>
      <c r="AA135" s="906"/>
      <c r="AB135" s="906"/>
      <c r="AC135" s="906"/>
      <c r="AD135" s="906"/>
      <c r="AE135" s="906"/>
      <c r="AF135" s="906"/>
      <c r="AG135" s="906"/>
      <c r="AH135" s="906"/>
      <c r="AI135" s="906"/>
      <c r="AJ135" s="906"/>
      <c r="AK135" s="906"/>
      <c r="AL135" s="906"/>
      <c r="AM135" s="906"/>
      <c r="AN135" s="906"/>
      <c r="AO135" s="906"/>
      <c r="AP135" s="906"/>
      <c r="AQ135" s="906"/>
      <c r="AR135" s="906"/>
      <c r="AS135" s="906"/>
      <c r="AT135" s="906"/>
      <c r="AU135" s="906"/>
      <c r="AV135" s="906"/>
      <c r="AW135" s="906"/>
      <c r="AX135" s="906"/>
      <c r="AY135" s="906"/>
      <c r="AZ135" s="906"/>
      <c r="BA135" s="906"/>
      <c r="BB135" s="906"/>
      <c r="BC135" s="906"/>
      <c r="BD135" s="906"/>
      <c r="BE135" s="906"/>
      <c r="BF135" s="906"/>
      <c r="BG135" s="906"/>
      <c r="BH135" s="906"/>
      <c r="BI135" s="906"/>
      <c r="BJ135" s="906"/>
      <c r="BK135" s="906"/>
      <c r="BL135" s="906"/>
      <c r="BM135" s="906"/>
      <c r="BN135" s="906"/>
      <c r="BO135" s="906"/>
      <c r="BP135" s="906"/>
      <c r="BQ135" s="906"/>
      <c r="BR135" s="906"/>
      <c r="BS135" s="906"/>
      <c r="BT135" s="906"/>
      <c r="BU135" s="906"/>
      <c r="BV135" s="906"/>
      <c r="BW135" s="906"/>
      <c r="BX135" s="906"/>
      <c r="BY135" s="906"/>
      <c r="BZ135" s="906"/>
      <c r="CA135" s="906"/>
      <c r="CB135" s="906"/>
      <c r="CC135" s="906"/>
      <c r="CD135" s="906"/>
      <c r="CE135" s="906"/>
      <c r="CF135" s="906"/>
      <c r="CG135" s="906"/>
      <c r="CH135" s="906"/>
      <c r="CI135" s="906"/>
      <c r="CJ135" s="906"/>
      <c r="CK135" s="906"/>
      <c r="CL135" s="906"/>
      <c r="CM135" s="906"/>
      <c r="CN135" s="906"/>
      <c r="CO135" s="906"/>
      <c r="CP135" s="906"/>
      <c r="CQ135" s="906"/>
      <c r="CR135" s="906"/>
      <c r="CS135" s="906"/>
      <c r="CT135" s="906"/>
      <c r="CU135" s="906"/>
      <c r="CV135" s="906"/>
      <c r="CW135" s="906"/>
      <c r="CX135" s="906"/>
      <c r="CY135" s="906"/>
      <c r="CZ135" s="906"/>
      <c r="DA135" s="906"/>
      <c r="DB135" s="906"/>
      <c r="DC135" s="906"/>
      <c r="DD135" s="906"/>
      <c r="DE135" s="906"/>
      <c r="DF135" s="906"/>
      <c r="DG135" s="906"/>
      <c r="DH135" s="906"/>
      <c r="DI135" s="906"/>
      <c r="DJ135" s="906"/>
      <c r="DK135" s="906"/>
      <c r="DL135" s="906"/>
      <c r="DM135" s="906"/>
      <c r="DN135" s="906"/>
      <c r="DO135" s="906"/>
      <c r="DP135" s="906"/>
      <c r="DQ135" s="906"/>
      <c r="DR135" s="906"/>
      <c r="DS135" s="906"/>
    </row>
    <row r="136" spans="1:123" s="854" customFormat="1" ht="16.5" customHeight="1">
      <c r="A136" s="891"/>
      <c r="B136" s="771"/>
      <c r="C136" s="769"/>
      <c r="D136" s="892"/>
      <c r="E136" s="893"/>
      <c r="F136" s="894"/>
      <c r="G136" s="771"/>
      <c r="H136" s="894"/>
      <c r="I136" s="895"/>
      <c r="J136" s="895"/>
      <c r="K136" s="893"/>
      <c r="L136" s="893"/>
      <c r="M136" s="893"/>
      <c r="N136" s="893"/>
      <c r="O136" s="893"/>
      <c r="P136" s="893"/>
      <c r="Q136" s="893"/>
      <c r="R136" s="906"/>
      <c r="S136" s="899"/>
      <c r="T136" s="906"/>
      <c r="U136" s="906"/>
      <c r="V136" s="906"/>
      <c r="W136" s="906"/>
      <c r="X136" s="906"/>
      <c r="Y136" s="906"/>
      <c r="Z136" s="906"/>
      <c r="AA136" s="906"/>
      <c r="AB136" s="906"/>
      <c r="AC136" s="906"/>
      <c r="AD136" s="906"/>
      <c r="AE136" s="906"/>
      <c r="AF136" s="906"/>
      <c r="AG136" s="906"/>
      <c r="AH136" s="906"/>
      <c r="AI136" s="906"/>
      <c r="AJ136" s="906"/>
      <c r="AK136" s="906"/>
      <c r="AL136" s="906"/>
      <c r="AM136" s="906"/>
      <c r="AN136" s="906"/>
      <c r="AO136" s="906"/>
      <c r="AP136" s="906"/>
      <c r="AQ136" s="906"/>
      <c r="AR136" s="906"/>
      <c r="AS136" s="906"/>
      <c r="AT136" s="906"/>
      <c r="AU136" s="906"/>
      <c r="AV136" s="906"/>
      <c r="AW136" s="906"/>
      <c r="AX136" s="906"/>
      <c r="AY136" s="906"/>
      <c r="AZ136" s="906"/>
      <c r="BA136" s="906"/>
      <c r="BB136" s="906"/>
      <c r="BC136" s="906"/>
      <c r="BD136" s="906"/>
      <c r="BE136" s="906"/>
      <c r="BF136" s="906"/>
      <c r="BG136" s="906"/>
      <c r="BH136" s="906"/>
      <c r="BI136" s="906"/>
      <c r="BJ136" s="906"/>
      <c r="BK136" s="906"/>
      <c r="BL136" s="906"/>
      <c r="BM136" s="906"/>
      <c r="BN136" s="906"/>
      <c r="BO136" s="906"/>
      <c r="BP136" s="906"/>
      <c r="BQ136" s="906"/>
      <c r="BR136" s="906"/>
      <c r="BS136" s="906"/>
      <c r="BT136" s="906"/>
      <c r="BU136" s="906"/>
      <c r="BV136" s="906"/>
      <c r="BW136" s="906"/>
      <c r="BX136" s="906"/>
      <c r="BY136" s="906"/>
      <c r="BZ136" s="906"/>
      <c r="CA136" s="906"/>
      <c r="CB136" s="906"/>
      <c r="CC136" s="906"/>
      <c r="CD136" s="906"/>
      <c r="CE136" s="906"/>
      <c r="CF136" s="906"/>
      <c r="CG136" s="906"/>
      <c r="CH136" s="906"/>
      <c r="CI136" s="906"/>
      <c r="CJ136" s="906"/>
      <c r="CK136" s="906"/>
      <c r="CL136" s="906"/>
      <c r="CM136" s="906"/>
      <c r="CN136" s="906"/>
      <c r="CO136" s="906"/>
      <c r="CP136" s="906"/>
      <c r="CQ136" s="906"/>
      <c r="CR136" s="906"/>
      <c r="CS136" s="906"/>
      <c r="CT136" s="906"/>
      <c r="CU136" s="906"/>
      <c r="CV136" s="906"/>
      <c r="CW136" s="906"/>
      <c r="CX136" s="906"/>
      <c r="CY136" s="906"/>
      <c r="CZ136" s="906"/>
      <c r="DA136" s="906"/>
      <c r="DB136" s="906"/>
      <c r="DC136" s="906"/>
      <c r="DD136" s="906"/>
      <c r="DE136" s="906"/>
      <c r="DF136" s="906"/>
      <c r="DG136" s="906"/>
      <c r="DH136" s="906"/>
      <c r="DI136" s="906"/>
      <c r="DJ136" s="906"/>
      <c r="DK136" s="906"/>
      <c r="DL136" s="906"/>
      <c r="DM136" s="906"/>
      <c r="DN136" s="906"/>
      <c r="DO136" s="906"/>
      <c r="DP136" s="906"/>
      <c r="DQ136" s="906"/>
      <c r="DR136" s="906"/>
      <c r="DS136" s="906"/>
    </row>
    <row r="137" spans="1:123" s="854" customFormat="1" ht="16.5" customHeight="1">
      <c r="A137" s="891"/>
      <c r="B137" s="771"/>
      <c r="C137" s="769"/>
      <c r="D137" s="892"/>
      <c r="E137" s="893"/>
      <c r="F137" s="894"/>
      <c r="G137" s="771"/>
      <c r="H137" s="894"/>
      <c r="I137" s="895"/>
      <c r="J137" s="895"/>
      <c r="K137" s="893"/>
      <c r="L137" s="893"/>
      <c r="M137" s="893"/>
      <c r="N137" s="893"/>
      <c r="O137" s="893"/>
      <c r="P137" s="893"/>
      <c r="Q137" s="893"/>
      <c r="R137" s="906"/>
      <c r="S137" s="899"/>
      <c r="T137" s="906"/>
      <c r="U137" s="906"/>
      <c r="V137" s="906"/>
      <c r="W137" s="906"/>
      <c r="X137" s="906"/>
      <c r="Y137" s="906"/>
      <c r="Z137" s="906"/>
      <c r="AA137" s="906"/>
      <c r="AB137" s="906"/>
      <c r="AC137" s="906"/>
      <c r="AD137" s="906"/>
      <c r="AE137" s="906"/>
      <c r="AF137" s="906"/>
      <c r="AG137" s="906"/>
      <c r="AH137" s="906"/>
      <c r="AI137" s="906"/>
      <c r="AJ137" s="906"/>
      <c r="AK137" s="906"/>
      <c r="AL137" s="906"/>
      <c r="AM137" s="906"/>
      <c r="AN137" s="906"/>
      <c r="AO137" s="906"/>
      <c r="AP137" s="906"/>
      <c r="AQ137" s="906"/>
      <c r="AR137" s="906"/>
      <c r="AS137" s="906"/>
      <c r="AT137" s="906"/>
      <c r="AU137" s="906"/>
      <c r="AV137" s="906"/>
      <c r="AW137" s="906"/>
      <c r="AX137" s="906"/>
      <c r="AY137" s="906"/>
      <c r="AZ137" s="906"/>
      <c r="BA137" s="906"/>
      <c r="BB137" s="906"/>
      <c r="BC137" s="906"/>
      <c r="BD137" s="906"/>
      <c r="BE137" s="906"/>
      <c r="BF137" s="906"/>
      <c r="BG137" s="906"/>
      <c r="BH137" s="906"/>
      <c r="BI137" s="906"/>
      <c r="BJ137" s="906"/>
      <c r="BK137" s="906"/>
      <c r="BL137" s="906"/>
      <c r="BM137" s="906"/>
      <c r="BN137" s="906"/>
      <c r="BO137" s="906"/>
      <c r="BP137" s="906"/>
      <c r="BQ137" s="906"/>
      <c r="BR137" s="906"/>
      <c r="BS137" s="906"/>
      <c r="BT137" s="906"/>
      <c r="BU137" s="906"/>
      <c r="BV137" s="906"/>
      <c r="BW137" s="906"/>
      <c r="BX137" s="906"/>
      <c r="BY137" s="906"/>
      <c r="BZ137" s="906"/>
      <c r="CA137" s="906"/>
      <c r="CB137" s="906"/>
      <c r="CC137" s="906"/>
      <c r="CD137" s="906"/>
      <c r="CE137" s="906"/>
      <c r="CF137" s="906"/>
      <c r="CG137" s="906"/>
      <c r="CH137" s="906"/>
      <c r="CI137" s="906"/>
      <c r="CJ137" s="906"/>
      <c r="CK137" s="906"/>
      <c r="CL137" s="906"/>
      <c r="CM137" s="906"/>
      <c r="CN137" s="906"/>
      <c r="CO137" s="906"/>
      <c r="CP137" s="906"/>
      <c r="CQ137" s="906"/>
      <c r="CR137" s="906"/>
      <c r="CS137" s="906"/>
      <c r="CT137" s="906"/>
      <c r="CU137" s="906"/>
      <c r="CV137" s="906"/>
      <c r="CW137" s="906"/>
      <c r="CX137" s="906"/>
      <c r="CY137" s="906"/>
      <c r="CZ137" s="906"/>
      <c r="DA137" s="906"/>
      <c r="DB137" s="906"/>
      <c r="DC137" s="906"/>
      <c r="DD137" s="906"/>
      <c r="DE137" s="906"/>
      <c r="DF137" s="906"/>
      <c r="DG137" s="906"/>
      <c r="DH137" s="906"/>
      <c r="DI137" s="906"/>
      <c r="DJ137" s="906"/>
      <c r="DK137" s="906"/>
      <c r="DL137" s="906"/>
      <c r="DM137" s="906"/>
      <c r="DN137" s="906"/>
      <c r="DO137" s="906"/>
      <c r="DP137" s="906"/>
      <c r="DQ137" s="906"/>
      <c r="DR137" s="906"/>
      <c r="DS137" s="906"/>
    </row>
    <row r="138" spans="1:123" s="854" customFormat="1" ht="16.5" customHeight="1">
      <c r="A138" s="891"/>
      <c r="B138" s="771"/>
      <c r="C138" s="769"/>
      <c r="D138" s="892"/>
      <c r="E138" s="893"/>
      <c r="F138" s="894"/>
      <c r="G138" s="771"/>
      <c r="H138" s="894"/>
      <c r="I138" s="895"/>
      <c r="J138" s="895"/>
      <c r="K138" s="893"/>
      <c r="L138" s="893"/>
      <c r="M138" s="893"/>
      <c r="N138" s="893"/>
      <c r="O138" s="893"/>
      <c r="P138" s="893"/>
      <c r="Q138" s="893"/>
      <c r="R138" s="906"/>
      <c r="S138" s="899"/>
      <c r="T138" s="906"/>
      <c r="U138" s="906"/>
      <c r="V138" s="906"/>
      <c r="W138" s="906"/>
      <c r="X138" s="906"/>
      <c r="Y138" s="906"/>
      <c r="Z138" s="906"/>
      <c r="AA138" s="906"/>
      <c r="AB138" s="906"/>
      <c r="AC138" s="906"/>
      <c r="AD138" s="906"/>
      <c r="AE138" s="906"/>
      <c r="AF138" s="906"/>
      <c r="AG138" s="906"/>
      <c r="AH138" s="906"/>
      <c r="AI138" s="906"/>
      <c r="AJ138" s="906"/>
      <c r="AK138" s="906"/>
      <c r="AL138" s="906"/>
      <c r="AM138" s="906"/>
      <c r="AN138" s="906"/>
      <c r="AO138" s="906"/>
      <c r="AP138" s="906"/>
      <c r="AQ138" s="906"/>
      <c r="AR138" s="906"/>
      <c r="AS138" s="906"/>
      <c r="AT138" s="906"/>
      <c r="AU138" s="906"/>
      <c r="AV138" s="906"/>
      <c r="AW138" s="906"/>
      <c r="AX138" s="906"/>
      <c r="AY138" s="906"/>
      <c r="AZ138" s="906"/>
      <c r="BA138" s="906"/>
      <c r="BB138" s="906"/>
      <c r="BC138" s="906"/>
      <c r="BD138" s="906"/>
      <c r="BE138" s="906"/>
      <c r="BF138" s="906"/>
      <c r="BG138" s="906"/>
      <c r="BH138" s="906"/>
      <c r="BI138" s="906"/>
      <c r="BJ138" s="906"/>
      <c r="BK138" s="906"/>
      <c r="BL138" s="906"/>
      <c r="BM138" s="906"/>
      <c r="BN138" s="906"/>
      <c r="BO138" s="906"/>
      <c r="BP138" s="906"/>
      <c r="BQ138" s="906"/>
      <c r="BR138" s="906"/>
      <c r="BS138" s="906"/>
      <c r="BT138" s="906"/>
      <c r="BU138" s="906"/>
      <c r="BV138" s="906"/>
      <c r="BW138" s="906"/>
      <c r="BX138" s="906"/>
      <c r="BY138" s="906"/>
      <c r="BZ138" s="906"/>
      <c r="CA138" s="906"/>
      <c r="CB138" s="906"/>
      <c r="CC138" s="906"/>
      <c r="CD138" s="906"/>
      <c r="CE138" s="906"/>
      <c r="CF138" s="906"/>
      <c r="CG138" s="906"/>
      <c r="CH138" s="906"/>
      <c r="CI138" s="906"/>
      <c r="CJ138" s="906"/>
      <c r="CK138" s="906"/>
      <c r="CL138" s="906"/>
      <c r="CM138" s="906"/>
      <c r="CN138" s="906"/>
      <c r="CO138" s="906"/>
      <c r="CP138" s="906"/>
      <c r="CQ138" s="906"/>
      <c r="CR138" s="906"/>
      <c r="CS138" s="906"/>
      <c r="CT138" s="906"/>
      <c r="CU138" s="906"/>
      <c r="CV138" s="906"/>
      <c r="CW138" s="906"/>
      <c r="CX138" s="906"/>
      <c r="CY138" s="906"/>
      <c r="CZ138" s="906"/>
      <c r="DA138" s="906"/>
      <c r="DB138" s="906"/>
      <c r="DC138" s="906"/>
      <c r="DD138" s="906"/>
      <c r="DE138" s="906"/>
      <c r="DF138" s="906"/>
      <c r="DG138" s="906"/>
      <c r="DH138" s="906"/>
      <c r="DI138" s="906"/>
      <c r="DJ138" s="906"/>
      <c r="DK138" s="906"/>
      <c r="DL138" s="906"/>
      <c r="DM138" s="906"/>
      <c r="DN138" s="906"/>
      <c r="DO138" s="906"/>
      <c r="DP138" s="906"/>
      <c r="DQ138" s="906"/>
      <c r="DR138" s="906"/>
      <c r="DS138" s="906"/>
    </row>
    <row r="139" spans="1:123" s="854" customFormat="1" ht="16.5" customHeight="1">
      <c r="A139" s="891"/>
      <c r="B139" s="771"/>
      <c r="C139" s="769"/>
      <c r="D139" s="892"/>
      <c r="E139" s="893"/>
      <c r="F139" s="894"/>
      <c r="G139" s="771"/>
      <c r="H139" s="894"/>
      <c r="I139" s="895"/>
      <c r="J139" s="895"/>
      <c r="K139" s="893"/>
      <c r="L139" s="893"/>
      <c r="M139" s="893"/>
      <c r="N139" s="893"/>
      <c r="O139" s="893"/>
      <c r="P139" s="893"/>
      <c r="Q139" s="893"/>
      <c r="R139" s="906"/>
      <c r="S139" s="899"/>
      <c r="T139" s="906"/>
      <c r="U139" s="906"/>
      <c r="V139" s="906"/>
      <c r="W139" s="906"/>
      <c r="X139" s="906"/>
      <c r="Y139" s="906"/>
      <c r="Z139" s="906"/>
      <c r="AA139" s="906"/>
      <c r="AB139" s="906"/>
      <c r="AC139" s="906"/>
      <c r="AD139" s="906"/>
      <c r="AE139" s="906"/>
      <c r="AF139" s="906"/>
      <c r="AG139" s="906"/>
      <c r="AH139" s="906"/>
      <c r="AI139" s="906"/>
      <c r="AJ139" s="906"/>
      <c r="AK139" s="906"/>
      <c r="AL139" s="906"/>
      <c r="AM139" s="906"/>
      <c r="AN139" s="906"/>
      <c r="AO139" s="906"/>
      <c r="AP139" s="906"/>
      <c r="AQ139" s="906"/>
      <c r="AR139" s="906"/>
      <c r="AS139" s="906"/>
      <c r="AT139" s="906"/>
      <c r="AU139" s="906"/>
      <c r="AV139" s="906"/>
      <c r="AW139" s="906"/>
      <c r="AX139" s="906"/>
      <c r="AY139" s="906"/>
      <c r="AZ139" s="906"/>
      <c r="BA139" s="906"/>
      <c r="BB139" s="906"/>
      <c r="BC139" s="906"/>
      <c r="BD139" s="906"/>
      <c r="BE139" s="906"/>
      <c r="BF139" s="906"/>
      <c r="BG139" s="906"/>
      <c r="BH139" s="906"/>
      <c r="BI139" s="906"/>
      <c r="BJ139" s="906"/>
      <c r="BK139" s="906"/>
      <c r="BL139" s="906"/>
      <c r="BM139" s="906"/>
      <c r="BN139" s="906"/>
      <c r="BO139" s="906"/>
      <c r="BP139" s="906"/>
      <c r="BQ139" s="906"/>
      <c r="BR139" s="906"/>
      <c r="BS139" s="906"/>
      <c r="BT139" s="906"/>
      <c r="BU139" s="906"/>
      <c r="BV139" s="906"/>
      <c r="BW139" s="906"/>
      <c r="BX139" s="906"/>
      <c r="BY139" s="906"/>
      <c r="BZ139" s="906"/>
      <c r="CA139" s="906"/>
      <c r="CB139" s="906"/>
      <c r="CC139" s="906"/>
      <c r="CD139" s="906"/>
      <c r="CE139" s="906"/>
      <c r="CF139" s="906"/>
      <c r="CG139" s="906"/>
      <c r="CH139" s="906"/>
      <c r="CI139" s="906"/>
      <c r="CJ139" s="906"/>
      <c r="CK139" s="906"/>
      <c r="CL139" s="906"/>
      <c r="CM139" s="906"/>
      <c r="CN139" s="906"/>
      <c r="CO139" s="906"/>
      <c r="CP139" s="906"/>
      <c r="CQ139" s="906"/>
      <c r="CR139" s="906"/>
      <c r="CS139" s="906"/>
      <c r="CT139" s="906"/>
      <c r="CU139" s="906"/>
      <c r="CV139" s="906"/>
      <c r="CW139" s="906"/>
      <c r="CX139" s="906"/>
      <c r="CY139" s="906"/>
      <c r="CZ139" s="906"/>
      <c r="DA139" s="906"/>
      <c r="DB139" s="906"/>
      <c r="DC139" s="906"/>
      <c r="DD139" s="906"/>
      <c r="DE139" s="906"/>
      <c r="DF139" s="906"/>
      <c r="DG139" s="906"/>
      <c r="DH139" s="906"/>
      <c r="DI139" s="906"/>
      <c r="DJ139" s="906"/>
      <c r="DK139" s="906"/>
      <c r="DL139" s="906"/>
      <c r="DM139" s="906"/>
      <c r="DN139" s="906"/>
      <c r="DO139" s="906"/>
      <c r="DP139" s="906"/>
      <c r="DQ139" s="906"/>
      <c r="DR139" s="906"/>
      <c r="DS139" s="906"/>
    </row>
    <row r="140" spans="1:123" s="854" customFormat="1" ht="16.5" customHeight="1">
      <c r="A140" s="891"/>
      <c r="B140" s="771"/>
      <c r="C140" s="769"/>
      <c r="D140" s="892"/>
      <c r="E140" s="893"/>
      <c r="F140" s="894"/>
      <c r="G140" s="771"/>
      <c r="H140" s="894"/>
      <c r="I140" s="895"/>
      <c r="J140" s="895"/>
      <c r="K140" s="893"/>
      <c r="L140" s="893"/>
      <c r="M140" s="893"/>
      <c r="N140" s="893"/>
      <c r="O140" s="893"/>
      <c r="P140" s="893"/>
      <c r="Q140" s="893"/>
      <c r="R140" s="906"/>
      <c r="S140" s="899"/>
      <c r="T140" s="906"/>
      <c r="U140" s="906"/>
      <c r="V140" s="906"/>
      <c r="W140" s="906"/>
      <c r="X140" s="906"/>
      <c r="Y140" s="906"/>
      <c r="Z140" s="906"/>
      <c r="AA140" s="906"/>
      <c r="AB140" s="906"/>
      <c r="AC140" s="906"/>
      <c r="AD140" s="906"/>
      <c r="AE140" s="906"/>
      <c r="AF140" s="906"/>
      <c r="AG140" s="906"/>
      <c r="AH140" s="906"/>
      <c r="AI140" s="906"/>
      <c r="AJ140" s="906"/>
      <c r="AK140" s="906"/>
      <c r="AL140" s="906"/>
      <c r="AM140" s="906"/>
      <c r="AN140" s="906"/>
      <c r="AO140" s="906"/>
      <c r="AP140" s="906"/>
      <c r="AQ140" s="906"/>
      <c r="AR140" s="906"/>
      <c r="AS140" s="906"/>
      <c r="AT140" s="906"/>
      <c r="AU140" s="906"/>
      <c r="AV140" s="906"/>
      <c r="AW140" s="906"/>
      <c r="AX140" s="906"/>
      <c r="AY140" s="906"/>
      <c r="AZ140" s="906"/>
      <c r="BA140" s="906"/>
      <c r="BB140" s="906"/>
      <c r="BC140" s="906"/>
      <c r="BD140" s="906"/>
      <c r="BE140" s="906"/>
      <c r="BF140" s="906"/>
      <c r="BG140" s="906"/>
      <c r="BH140" s="906"/>
      <c r="BI140" s="906"/>
      <c r="BJ140" s="906"/>
      <c r="BK140" s="906"/>
      <c r="BL140" s="906"/>
      <c r="BM140" s="906"/>
      <c r="BN140" s="906"/>
      <c r="BO140" s="906"/>
      <c r="BP140" s="906"/>
      <c r="BQ140" s="906"/>
      <c r="BR140" s="906"/>
      <c r="BS140" s="906"/>
      <c r="BT140" s="906"/>
      <c r="BU140" s="906"/>
      <c r="BV140" s="906"/>
      <c r="BW140" s="906"/>
      <c r="BX140" s="906"/>
      <c r="BY140" s="906"/>
      <c r="BZ140" s="906"/>
      <c r="CA140" s="906"/>
      <c r="CB140" s="906"/>
      <c r="CC140" s="906"/>
      <c r="CD140" s="906"/>
      <c r="CE140" s="906"/>
      <c r="CF140" s="906"/>
      <c r="CG140" s="906"/>
      <c r="CH140" s="906"/>
      <c r="CI140" s="906"/>
      <c r="CJ140" s="906"/>
      <c r="CK140" s="906"/>
      <c r="CL140" s="906"/>
      <c r="CM140" s="906"/>
      <c r="CN140" s="906"/>
      <c r="CO140" s="906"/>
      <c r="CP140" s="906"/>
      <c r="CQ140" s="906"/>
      <c r="CR140" s="906"/>
      <c r="CS140" s="906"/>
      <c r="CT140" s="906"/>
      <c r="CU140" s="906"/>
      <c r="CV140" s="906"/>
      <c r="CW140" s="906"/>
      <c r="CX140" s="906"/>
      <c r="CY140" s="906"/>
      <c r="CZ140" s="906"/>
      <c r="DA140" s="906"/>
      <c r="DB140" s="906"/>
      <c r="DC140" s="906"/>
      <c r="DD140" s="906"/>
      <c r="DE140" s="906"/>
      <c r="DF140" s="906"/>
      <c r="DG140" s="906"/>
      <c r="DH140" s="906"/>
      <c r="DI140" s="906"/>
      <c r="DJ140" s="906"/>
      <c r="DK140" s="906"/>
      <c r="DL140" s="906"/>
      <c r="DM140" s="906"/>
      <c r="DN140" s="906"/>
      <c r="DO140" s="906"/>
      <c r="DP140" s="906"/>
      <c r="DQ140" s="906"/>
      <c r="DR140" s="906"/>
      <c r="DS140" s="906"/>
    </row>
    <row r="141" spans="1:123" s="854" customFormat="1" ht="16.5" customHeight="1">
      <c r="A141" s="891"/>
      <c r="B141" s="771"/>
      <c r="C141" s="769"/>
      <c r="D141" s="892"/>
      <c r="E141" s="893"/>
      <c r="F141" s="894"/>
      <c r="G141" s="771"/>
      <c r="H141" s="894"/>
      <c r="I141" s="895"/>
      <c r="J141" s="895"/>
      <c r="K141" s="893"/>
      <c r="L141" s="893"/>
      <c r="M141" s="893"/>
      <c r="N141" s="893"/>
      <c r="O141" s="893"/>
      <c r="P141" s="893"/>
      <c r="Q141" s="893"/>
      <c r="R141" s="906"/>
      <c r="S141" s="899"/>
      <c r="T141" s="906"/>
      <c r="U141" s="906"/>
      <c r="V141" s="906"/>
      <c r="W141" s="906"/>
      <c r="X141" s="906"/>
      <c r="Y141" s="906"/>
      <c r="Z141" s="906"/>
      <c r="AA141" s="906"/>
      <c r="AB141" s="906"/>
      <c r="AC141" s="906"/>
      <c r="AD141" s="906"/>
      <c r="AE141" s="906"/>
      <c r="AF141" s="906"/>
      <c r="AG141" s="906"/>
      <c r="AH141" s="906"/>
      <c r="AI141" s="906"/>
      <c r="AJ141" s="906"/>
      <c r="AK141" s="906"/>
      <c r="AL141" s="906"/>
      <c r="AM141" s="906"/>
      <c r="AN141" s="906"/>
      <c r="AO141" s="906"/>
      <c r="AP141" s="906"/>
      <c r="AQ141" s="906"/>
      <c r="AR141" s="906"/>
      <c r="AS141" s="906"/>
      <c r="AT141" s="906"/>
      <c r="AU141" s="906"/>
      <c r="AV141" s="906"/>
      <c r="AW141" s="906"/>
      <c r="AX141" s="906"/>
      <c r="AY141" s="906"/>
      <c r="AZ141" s="906"/>
      <c r="BA141" s="906"/>
      <c r="BB141" s="906"/>
      <c r="BC141" s="906"/>
      <c r="BD141" s="906"/>
      <c r="BE141" s="906"/>
      <c r="BF141" s="906"/>
      <c r="BG141" s="906"/>
      <c r="BH141" s="906"/>
      <c r="BI141" s="906"/>
      <c r="BJ141" s="906"/>
      <c r="BK141" s="906"/>
      <c r="BL141" s="906"/>
      <c r="BM141" s="906"/>
      <c r="BN141" s="906"/>
      <c r="BO141" s="906"/>
      <c r="BP141" s="906"/>
      <c r="BQ141" s="906"/>
      <c r="BR141" s="906"/>
      <c r="BS141" s="906"/>
      <c r="BT141" s="906"/>
      <c r="BU141" s="906"/>
      <c r="BV141" s="906"/>
      <c r="BW141" s="906"/>
      <c r="BX141" s="906"/>
      <c r="BY141" s="906"/>
      <c r="BZ141" s="906"/>
      <c r="CA141" s="906"/>
      <c r="CB141" s="906"/>
      <c r="CC141" s="906"/>
      <c r="CD141" s="906"/>
      <c r="CE141" s="906"/>
      <c r="CF141" s="906"/>
      <c r="CG141" s="906"/>
      <c r="CH141" s="906"/>
      <c r="CI141" s="906"/>
      <c r="CJ141" s="906"/>
      <c r="CK141" s="906"/>
      <c r="CL141" s="906"/>
      <c r="CM141" s="906"/>
      <c r="CN141" s="906"/>
      <c r="CO141" s="906"/>
      <c r="CP141" s="906"/>
      <c r="CQ141" s="906"/>
      <c r="CR141" s="906"/>
      <c r="CS141" s="906"/>
      <c r="CT141" s="906"/>
      <c r="CU141" s="906"/>
      <c r="CV141" s="906"/>
      <c r="CW141" s="906"/>
      <c r="CX141" s="906"/>
      <c r="CY141" s="906"/>
      <c r="CZ141" s="906"/>
      <c r="DA141" s="906"/>
      <c r="DB141" s="906"/>
      <c r="DC141" s="906"/>
      <c r="DD141" s="906"/>
      <c r="DE141" s="906"/>
      <c r="DF141" s="906"/>
      <c r="DG141" s="906"/>
      <c r="DH141" s="906"/>
      <c r="DI141" s="906"/>
      <c r="DJ141" s="906"/>
      <c r="DK141" s="906"/>
      <c r="DL141" s="906"/>
      <c r="DM141" s="906"/>
      <c r="DN141" s="906"/>
      <c r="DO141" s="906"/>
      <c r="DP141" s="906"/>
      <c r="DQ141" s="906"/>
      <c r="DR141" s="906"/>
      <c r="DS141" s="906"/>
    </row>
    <row r="142" spans="1:123" s="854" customFormat="1" ht="16.5" customHeight="1">
      <c r="A142" s="891"/>
      <c r="B142" s="771"/>
      <c r="C142" s="769"/>
      <c r="D142" s="892"/>
      <c r="E142" s="893"/>
      <c r="F142" s="894"/>
      <c r="G142" s="771"/>
      <c r="H142" s="894"/>
      <c r="I142" s="895"/>
      <c r="J142" s="895"/>
      <c r="K142" s="893"/>
      <c r="L142" s="893"/>
      <c r="M142" s="893"/>
      <c r="N142" s="893"/>
      <c r="O142" s="893"/>
      <c r="P142" s="893"/>
      <c r="Q142" s="893"/>
      <c r="R142" s="906"/>
      <c r="S142" s="899"/>
      <c r="T142" s="906"/>
      <c r="U142" s="906"/>
      <c r="V142" s="906"/>
      <c r="W142" s="906"/>
      <c r="X142" s="906"/>
      <c r="Y142" s="906"/>
      <c r="Z142" s="906"/>
      <c r="AA142" s="906"/>
      <c r="AB142" s="906"/>
      <c r="AC142" s="906"/>
      <c r="AD142" s="906"/>
      <c r="AE142" s="906"/>
      <c r="AF142" s="906"/>
      <c r="AG142" s="906"/>
      <c r="AH142" s="906"/>
      <c r="AI142" s="906"/>
      <c r="AJ142" s="906"/>
      <c r="AK142" s="906"/>
      <c r="AL142" s="906"/>
      <c r="AM142" s="906"/>
      <c r="AN142" s="906"/>
      <c r="AO142" s="906"/>
      <c r="AP142" s="906"/>
      <c r="AQ142" s="906"/>
      <c r="AR142" s="906"/>
      <c r="AS142" s="906"/>
      <c r="AT142" s="906"/>
      <c r="AU142" s="906"/>
      <c r="AV142" s="906"/>
      <c r="AW142" s="906"/>
      <c r="AX142" s="906"/>
      <c r="AY142" s="906"/>
      <c r="AZ142" s="906"/>
      <c r="BA142" s="906"/>
      <c r="BB142" s="906"/>
      <c r="BC142" s="906"/>
      <c r="BD142" s="906"/>
      <c r="BE142" s="906"/>
      <c r="BF142" s="906"/>
      <c r="BG142" s="906"/>
      <c r="BH142" s="906"/>
      <c r="BI142" s="906"/>
      <c r="BJ142" s="906"/>
      <c r="BK142" s="906"/>
      <c r="BL142" s="906"/>
      <c r="BM142" s="906"/>
      <c r="BN142" s="906"/>
      <c r="BO142" s="906"/>
      <c r="BP142" s="906"/>
      <c r="BQ142" s="906"/>
      <c r="BR142" s="906"/>
      <c r="BS142" s="906"/>
      <c r="BT142" s="906"/>
      <c r="BU142" s="906"/>
      <c r="BV142" s="906"/>
      <c r="BW142" s="906"/>
      <c r="BX142" s="906"/>
      <c r="BY142" s="906"/>
      <c r="BZ142" s="906"/>
      <c r="CA142" s="906"/>
      <c r="CB142" s="906"/>
      <c r="CC142" s="906"/>
      <c r="CD142" s="906"/>
      <c r="CE142" s="906"/>
      <c r="CF142" s="906"/>
      <c r="CG142" s="906"/>
      <c r="CH142" s="906"/>
      <c r="CI142" s="906"/>
      <c r="CJ142" s="906"/>
      <c r="CK142" s="906"/>
      <c r="CL142" s="906"/>
      <c r="CM142" s="906"/>
      <c r="CN142" s="906"/>
      <c r="CO142" s="906"/>
      <c r="CP142" s="906"/>
      <c r="CQ142" s="906"/>
      <c r="CR142" s="906"/>
      <c r="CS142" s="906"/>
      <c r="CT142" s="906"/>
      <c r="CU142" s="906"/>
      <c r="CV142" s="906"/>
      <c r="CW142" s="906"/>
      <c r="CX142" s="906"/>
      <c r="CY142" s="906"/>
      <c r="CZ142" s="906"/>
      <c r="DA142" s="906"/>
      <c r="DB142" s="906"/>
      <c r="DC142" s="906"/>
      <c r="DD142" s="906"/>
      <c r="DE142" s="906"/>
      <c r="DF142" s="906"/>
      <c r="DG142" s="906"/>
      <c r="DH142" s="906"/>
      <c r="DI142" s="906"/>
      <c r="DJ142" s="906"/>
      <c r="DK142" s="906"/>
      <c r="DL142" s="906"/>
      <c r="DM142" s="906"/>
      <c r="DN142" s="906"/>
      <c r="DO142" s="906"/>
      <c r="DP142" s="906"/>
      <c r="DQ142" s="906"/>
      <c r="DR142" s="906"/>
      <c r="DS142" s="906"/>
    </row>
    <row r="143" spans="1:123" s="854" customFormat="1" ht="16.5" customHeight="1">
      <c r="A143" s="891"/>
      <c r="B143" s="771"/>
      <c r="C143" s="769"/>
      <c r="D143" s="892"/>
      <c r="E143" s="893"/>
      <c r="F143" s="894"/>
      <c r="G143" s="771"/>
      <c r="H143" s="894"/>
      <c r="I143" s="895"/>
      <c r="J143" s="895"/>
      <c r="K143" s="893"/>
      <c r="L143" s="893"/>
      <c r="M143" s="893"/>
      <c r="N143" s="893"/>
      <c r="O143" s="893"/>
      <c r="P143" s="893"/>
      <c r="Q143" s="893"/>
      <c r="R143" s="906"/>
      <c r="S143" s="899"/>
      <c r="T143" s="906"/>
      <c r="U143" s="906"/>
      <c r="V143" s="906"/>
      <c r="W143" s="906"/>
      <c r="X143" s="906"/>
      <c r="Y143" s="906"/>
      <c r="Z143" s="906"/>
      <c r="AA143" s="906"/>
      <c r="AB143" s="906"/>
      <c r="AC143" s="906"/>
      <c r="AD143" s="906"/>
      <c r="AE143" s="906"/>
      <c r="AF143" s="906"/>
      <c r="AG143" s="906"/>
      <c r="AH143" s="906"/>
      <c r="AI143" s="906"/>
      <c r="AJ143" s="906"/>
      <c r="AK143" s="906"/>
      <c r="AL143" s="906"/>
      <c r="AM143" s="906"/>
      <c r="AN143" s="906"/>
      <c r="AO143" s="906"/>
      <c r="AP143" s="906"/>
      <c r="AQ143" s="906"/>
      <c r="AR143" s="906"/>
      <c r="AS143" s="906"/>
      <c r="AT143" s="906"/>
      <c r="AU143" s="906"/>
      <c r="AV143" s="906"/>
      <c r="AW143" s="906"/>
      <c r="AX143" s="906"/>
      <c r="AY143" s="906"/>
      <c r="AZ143" s="906"/>
      <c r="BA143" s="906"/>
      <c r="BB143" s="906"/>
      <c r="BC143" s="906"/>
      <c r="BD143" s="906"/>
      <c r="BE143" s="906"/>
      <c r="BF143" s="906"/>
      <c r="BG143" s="906"/>
      <c r="BH143" s="906"/>
      <c r="BI143" s="906"/>
      <c r="BJ143" s="906"/>
      <c r="BK143" s="906"/>
      <c r="BL143" s="906"/>
      <c r="BM143" s="906"/>
      <c r="BN143" s="906"/>
      <c r="BO143" s="906"/>
      <c r="BP143" s="906"/>
      <c r="BQ143" s="906"/>
      <c r="BR143" s="906"/>
      <c r="BS143" s="906"/>
      <c r="BT143" s="906"/>
      <c r="BU143" s="906"/>
      <c r="BV143" s="906"/>
      <c r="BW143" s="906"/>
      <c r="BX143" s="906"/>
      <c r="BY143" s="906"/>
      <c r="BZ143" s="906"/>
      <c r="CA143" s="906"/>
      <c r="CB143" s="906"/>
      <c r="CC143" s="906"/>
      <c r="CD143" s="906"/>
      <c r="CE143" s="906"/>
      <c r="CF143" s="906"/>
      <c r="CG143" s="906"/>
      <c r="CH143" s="906"/>
      <c r="CI143" s="906"/>
      <c r="CJ143" s="906"/>
      <c r="CK143" s="906"/>
      <c r="CL143" s="906"/>
      <c r="CM143" s="906"/>
      <c r="CN143" s="906"/>
      <c r="CO143" s="906"/>
      <c r="CP143" s="906"/>
      <c r="CQ143" s="906"/>
      <c r="CR143" s="906"/>
      <c r="CS143" s="906"/>
      <c r="CT143" s="906"/>
      <c r="CU143" s="906"/>
      <c r="CV143" s="906"/>
      <c r="CW143" s="906"/>
      <c r="CX143" s="906"/>
      <c r="CY143" s="906"/>
      <c r="CZ143" s="906"/>
      <c r="DA143" s="906"/>
      <c r="DB143" s="906"/>
      <c r="DC143" s="906"/>
      <c r="DD143" s="906"/>
      <c r="DE143" s="906"/>
      <c r="DF143" s="906"/>
      <c r="DG143" s="906"/>
      <c r="DH143" s="906"/>
      <c r="DI143" s="906"/>
      <c r="DJ143" s="906"/>
      <c r="DK143" s="906"/>
      <c r="DL143" s="906"/>
      <c r="DM143" s="906"/>
      <c r="DN143" s="906"/>
      <c r="DO143" s="906"/>
      <c r="DP143" s="906"/>
      <c r="DQ143" s="906"/>
      <c r="DR143" s="906"/>
      <c r="DS143" s="906"/>
    </row>
    <row r="144" spans="1:123" s="854" customFormat="1" ht="16.5" customHeight="1">
      <c r="A144" s="891"/>
      <c r="B144" s="771"/>
      <c r="C144" s="769"/>
      <c r="D144" s="892"/>
      <c r="E144" s="893"/>
      <c r="F144" s="894"/>
      <c r="G144" s="771"/>
      <c r="H144" s="894"/>
      <c r="I144" s="895"/>
      <c r="J144" s="895"/>
      <c r="K144" s="893"/>
      <c r="L144" s="893"/>
      <c r="M144" s="893"/>
      <c r="N144" s="893"/>
      <c r="O144" s="893"/>
      <c r="P144" s="893"/>
      <c r="Q144" s="893"/>
      <c r="R144" s="906"/>
      <c r="S144" s="899"/>
      <c r="T144" s="906"/>
      <c r="U144" s="906"/>
      <c r="V144" s="906"/>
      <c r="W144" s="906"/>
      <c r="X144" s="906"/>
      <c r="Y144" s="906"/>
      <c r="Z144" s="906"/>
      <c r="AA144" s="906"/>
      <c r="AB144" s="906"/>
      <c r="AC144" s="906"/>
      <c r="AD144" s="906"/>
      <c r="AE144" s="906"/>
      <c r="AF144" s="906"/>
      <c r="AG144" s="906"/>
      <c r="AH144" s="906"/>
      <c r="AI144" s="906"/>
      <c r="AJ144" s="906"/>
      <c r="AK144" s="906"/>
      <c r="AL144" s="906"/>
      <c r="AM144" s="906"/>
      <c r="AN144" s="906"/>
      <c r="AO144" s="906"/>
      <c r="AP144" s="906"/>
      <c r="AQ144" s="906"/>
      <c r="AR144" s="906"/>
      <c r="AS144" s="906"/>
      <c r="AT144" s="906"/>
      <c r="AU144" s="906"/>
      <c r="AV144" s="906"/>
      <c r="AW144" s="906"/>
      <c r="AX144" s="906"/>
      <c r="AY144" s="906"/>
      <c r="AZ144" s="906"/>
      <c r="BA144" s="906"/>
      <c r="BB144" s="906"/>
      <c r="BC144" s="906"/>
      <c r="BD144" s="906"/>
      <c r="BE144" s="906"/>
      <c r="BF144" s="906"/>
      <c r="BG144" s="906"/>
      <c r="BH144" s="906"/>
      <c r="BI144" s="906"/>
      <c r="BJ144" s="906"/>
      <c r="BK144" s="906"/>
      <c r="BL144" s="906"/>
      <c r="BM144" s="906"/>
      <c r="BN144" s="906"/>
      <c r="BO144" s="906"/>
      <c r="BP144" s="906"/>
      <c r="BQ144" s="906"/>
      <c r="BR144" s="906"/>
      <c r="BS144" s="906"/>
      <c r="BT144" s="906"/>
      <c r="BU144" s="906"/>
      <c r="BV144" s="906"/>
      <c r="BW144" s="906"/>
      <c r="BX144" s="906"/>
      <c r="BY144" s="906"/>
      <c r="BZ144" s="906"/>
      <c r="CA144" s="906"/>
      <c r="CB144" s="906"/>
      <c r="CC144" s="906"/>
      <c r="CD144" s="906"/>
      <c r="CE144" s="906"/>
      <c r="CF144" s="906"/>
      <c r="CG144" s="906"/>
      <c r="CH144" s="906"/>
      <c r="CI144" s="906"/>
      <c r="CJ144" s="906"/>
      <c r="CK144" s="906"/>
      <c r="CL144" s="906"/>
      <c r="CM144" s="906"/>
      <c r="CN144" s="906"/>
      <c r="CO144" s="906"/>
      <c r="CP144" s="906"/>
      <c r="CQ144" s="906"/>
      <c r="CR144" s="906"/>
      <c r="CS144" s="906"/>
      <c r="CT144" s="906"/>
      <c r="CU144" s="906"/>
      <c r="CV144" s="906"/>
      <c r="CW144" s="906"/>
      <c r="CX144" s="906"/>
      <c r="CY144" s="906"/>
      <c r="CZ144" s="906"/>
      <c r="DA144" s="906"/>
      <c r="DB144" s="906"/>
      <c r="DC144" s="906"/>
      <c r="DD144" s="906"/>
      <c r="DE144" s="906"/>
      <c r="DF144" s="906"/>
      <c r="DG144" s="906"/>
      <c r="DH144" s="906"/>
      <c r="DI144" s="906"/>
      <c r="DJ144" s="906"/>
      <c r="DK144" s="906"/>
      <c r="DL144" s="906"/>
      <c r="DM144" s="906"/>
      <c r="DN144" s="906"/>
      <c r="DO144" s="906"/>
      <c r="DP144" s="906"/>
      <c r="DQ144" s="906"/>
      <c r="DR144" s="906"/>
      <c r="DS144" s="906"/>
    </row>
    <row r="145" spans="1:123" s="854" customFormat="1" ht="16.5" customHeight="1">
      <c r="A145" s="891"/>
      <c r="B145" s="771"/>
      <c r="C145" s="769"/>
      <c r="D145" s="892"/>
      <c r="E145" s="893"/>
      <c r="F145" s="894"/>
      <c r="G145" s="771"/>
      <c r="H145" s="894"/>
      <c r="I145" s="895"/>
      <c r="J145" s="895"/>
      <c r="K145" s="893"/>
      <c r="L145" s="893"/>
      <c r="M145" s="893"/>
      <c r="N145" s="893"/>
      <c r="O145" s="893"/>
      <c r="P145" s="893"/>
      <c r="Q145" s="893"/>
      <c r="R145" s="906"/>
      <c r="S145" s="899"/>
      <c r="T145" s="906"/>
      <c r="U145" s="906"/>
      <c r="V145" s="906"/>
      <c r="W145" s="906"/>
      <c r="X145" s="906"/>
      <c r="Y145" s="906"/>
      <c r="Z145" s="906"/>
      <c r="AA145" s="906"/>
      <c r="AB145" s="906"/>
      <c r="AC145" s="906"/>
      <c r="AD145" s="906"/>
      <c r="AE145" s="906"/>
      <c r="AF145" s="906"/>
      <c r="AG145" s="906"/>
      <c r="AH145" s="906"/>
      <c r="AI145" s="906"/>
      <c r="AJ145" s="906"/>
      <c r="AK145" s="906"/>
      <c r="AL145" s="906"/>
      <c r="AM145" s="906"/>
      <c r="AN145" s="906"/>
      <c r="AO145" s="906"/>
      <c r="AP145" s="906"/>
      <c r="AQ145" s="906"/>
      <c r="AR145" s="906"/>
      <c r="AS145" s="906"/>
      <c r="AT145" s="906"/>
      <c r="AU145" s="906"/>
      <c r="AV145" s="906"/>
      <c r="AW145" s="906"/>
      <c r="AX145" s="906"/>
      <c r="AY145" s="906"/>
      <c r="AZ145" s="906"/>
      <c r="BA145" s="906"/>
      <c r="BB145" s="906"/>
      <c r="BC145" s="906"/>
      <c r="BD145" s="906"/>
      <c r="BE145" s="906"/>
      <c r="BF145" s="906"/>
      <c r="BG145" s="906"/>
      <c r="BH145" s="906"/>
      <c r="BI145" s="906"/>
      <c r="BJ145" s="906"/>
      <c r="BK145" s="906"/>
      <c r="BL145" s="906"/>
      <c r="BM145" s="906"/>
      <c r="BN145" s="906"/>
      <c r="BO145" s="906"/>
      <c r="BP145" s="906"/>
      <c r="BQ145" s="906"/>
      <c r="BR145" s="906"/>
      <c r="BS145" s="906"/>
      <c r="BT145" s="906"/>
      <c r="BU145" s="906"/>
      <c r="BV145" s="906"/>
      <c r="BW145" s="906"/>
      <c r="BX145" s="906"/>
      <c r="BY145" s="906"/>
      <c r="BZ145" s="906"/>
      <c r="CA145" s="906"/>
      <c r="CB145" s="906"/>
      <c r="CC145" s="906"/>
      <c r="CD145" s="906"/>
      <c r="CE145" s="906"/>
      <c r="CF145" s="906"/>
      <c r="CG145" s="906"/>
      <c r="CH145" s="906"/>
      <c r="CI145" s="906"/>
      <c r="CJ145" s="906"/>
      <c r="CK145" s="906"/>
      <c r="CL145" s="906"/>
      <c r="CM145" s="906"/>
      <c r="CN145" s="906"/>
      <c r="CO145" s="906"/>
      <c r="CP145" s="906"/>
      <c r="CQ145" s="906"/>
      <c r="CR145" s="906"/>
      <c r="CS145" s="906"/>
      <c r="CT145" s="906"/>
      <c r="CU145" s="906"/>
      <c r="CV145" s="906"/>
      <c r="CW145" s="906"/>
      <c r="CX145" s="906"/>
      <c r="CY145" s="906"/>
      <c r="CZ145" s="906"/>
      <c r="DA145" s="906"/>
      <c r="DB145" s="906"/>
      <c r="DC145" s="906"/>
      <c r="DD145" s="906"/>
      <c r="DE145" s="906"/>
      <c r="DF145" s="906"/>
      <c r="DG145" s="906"/>
      <c r="DH145" s="906"/>
      <c r="DI145" s="906"/>
      <c r="DJ145" s="906"/>
      <c r="DK145" s="906"/>
      <c r="DL145" s="906"/>
      <c r="DM145" s="906"/>
      <c r="DN145" s="906"/>
      <c r="DO145" s="906"/>
      <c r="DP145" s="906"/>
      <c r="DQ145" s="906"/>
      <c r="DR145" s="906"/>
      <c r="DS145" s="906"/>
    </row>
    <row r="146" spans="1:123" s="854" customFormat="1" ht="16.5" customHeight="1">
      <c r="A146" s="891"/>
      <c r="B146" s="771"/>
      <c r="C146" s="769"/>
      <c r="D146" s="892"/>
      <c r="E146" s="893"/>
      <c r="F146" s="894"/>
      <c r="G146" s="771"/>
      <c r="H146" s="894"/>
      <c r="I146" s="895"/>
      <c r="J146" s="895"/>
      <c r="K146" s="893"/>
      <c r="L146" s="893"/>
      <c r="M146" s="893"/>
      <c r="N146" s="893"/>
      <c r="O146" s="893"/>
      <c r="P146" s="893"/>
      <c r="Q146" s="893"/>
      <c r="R146" s="906"/>
      <c r="S146" s="899"/>
      <c r="T146" s="906"/>
      <c r="U146" s="906"/>
      <c r="V146" s="906"/>
      <c r="W146" s="906"/>
      <c r="X146" s="906"/>
      <c r="Y146" s="906"/>
      <c r="Z146" s="906"/>
      <c r="AA146" s="906"/>
      <c r="AB146" s="906"/>
      <c r="AC146" s="906"/>
      <c r="AD146" s="906"/>
      <c r="AE146" s="906"/>
      <c r="AF146" s="906"/>
      <c r="AG146" s="906"/>
      <c r="AH146" s="906"/>
      <c r="AI146" s="906"/>
      <c r="AJ146" s="906"/>
      <c r="AK146" s="906"/>
      <c r="AL146" s="906"/>
      <c r="AM146" s="906"/>
      <c r="AN146" s="906"/>
      <c r="AO146" s="906"/>
      <c r="AP146" s="906"/>
      <c r="AQ146" s="906"/>
      <c r="AR146" s="906"/>
      <c r="AS146" s="906"/>
      <c r="AT146" s="906"/>
      <c r="AU146" s="906"/>
      <c r="AV146" s="906"/>
      <c r="AW146" s="906"/>
      <c r="AX146" s="906"/>
      <c r="AY146" s="906"/>
      <c r="AZ146" s="906"/>
      <c r="BA146" s="906"/>
      <c r="BB146" s="906"/>
      <c r="BC146" s="906"/>
      <c r="BD146" s="906"/>
      <c r="BE146" s="906"/>
      <c r="BF146" s="906"/>
      <c r="BG146" s="906"/>
      <c r="BH146" s="906"/>
      <c r="BI146" s="906"/>
      <c r="BJ146" s="906"/>
      <c r="BK146" s="906"/>
      <c r="BL146" s="906"/>
      <c r="BM146" s="906"/>
      <c r="BN146" s="906"/>
      <c r="BO146" s="906"/>
      <c r="BP146" s="906"/>
      <c r="BQ146" s="906"/>
      <c r="BR146" s="906"/>
      <c r="BS146" s="906"/>
      <c r="BT146" s="906"/>
      <c r="BU146" s="906"/>
      <c r="BV146" s="906"/>
      <c r="BW146" s="906"/>
      <c r="BX146" s="906"/>
      <c r="BY146" s="906"/>
      <c r="BZ146" s="906"/>
      <c r="CA146" s="906"/>
      <c r="CB146" s="906"/>
      <c r="CC146" s="906"/>
      <c r="CD146" s="906"/>
      <c r="CE146" s="906"/>
      <c r="CF146" s="906"/>
      <c r="CG146" s="906"/>
      <c r="CH146" s="906"/>
      <c r="CI146" s="906"/>
      <c r="CJ146" s="906"/>
      <c r="CK146" s="906"/>
      <c r="CL146" s="906"/>
      <c r="CM146" s="906"/>
      <c r="CN146" s="906"/>
      <c r="CO146" s="906"/>
      <c r="CP146" s="906"/>
      <c r="CQ146" s="906"/>
      <c r="CR146" s="906"/>
      <c r="CS146" s="906"/>
      <c r="CT146" s="906"/>
      <c r="CU146" s="906"/>
      <c r="CV146" s="906"/>
      <c r="CW146" s="906"/>
      <c r="CX146" s="906"/>
      <c r="CY146" s="906"/>
      <c r="CZ146" s="906"/>
      <c r="DA146" s="906"/>
      <c r="DB146" s="906"/>
      <c r="DC146" s="906"/>
      <c r="DD146" s="906"/>
      <c r="DE146" s="906"/>
      <c r="DF146" s="906"/>
      <c r="DG146" s="906"/>
      <c r="DH146" s="906"/>
      <c r="DI146" s="906"/>
      <c r="DJ146" s="906"/>
      <c r="DK146" s="906"/>
      <c r="DL146" s="906"/>
      <c r="DM146" s="906"/>
      <c r="DN146" s="906"/>
      <c r="DO146" s="906"/>
      <c r="DP146" s="906"/>
      <c r="DQ146" s="906"/>
      <c r="DR146" s="906"/>
      <c r="DS146" s="906"/>
    </row>
    <row r="147" spans="1:123" s="854" customFormat="1" ht="16.5" customHeight="1">
      <c r="A147" s="891"/>
      <c r="B147" s="771"/>
      <c r="C147" s="769"/>
      <c r="D147" s="892"/>
      <c r="E147" s="893"/>
      <c r="F147" s="894"/>
      <c r="G147" s="771"/>
      <c r="H147" s="894"/>
      <c r="I147" s="895"/>
      <c r="J147" s="895"/>
      <c r="K147" s="893"/>
      <c r="L147" s="893"/>
      <c r="M147" s="893"/>
      <c r="N147" s="893"/>
      <c r="O147" s="893"/>
      <c r="P147" s="893"/>
      <c r="Q147" s="893"/>
      <c r="R147" s="906"/>
      <c r="S147" s="899"/>
      <c r="T147" s="906"/>
      <c r="U147" s="906"/>
      <c r="V147" s="906"/>
      <c r="W147" s="906"/>
      <c r="X147" s="906"/>
      <c r="Y147" s="906"/>
      <c r="Z147" s="906"/>
      <c r="AA147" s="906"/>
      <c r="AB147" s="906"/>
      <c r="AC147" s="906"/>
      <c r="AD147" s="906"/>
      <c r="AE147" s="906"/>
      <c r="AF147" s="906"/>
      <c r="AG147" s="906"/>
      <c r="AH147" s="906"/>
      <c r="AI147" s="906"/>
      <c r="AJ147" s="906"/>
      <c r="AK147" s="906"/>
      <c r="AL147" s="906"/>
      <c r="AM147" s="906"/>
      <c r="AN147" s="906"/>
      <c r="AO147" s="906"/>
      <c r="AP147" s="906"/>
      <c r="AQ147" s="906"/>
      <c r="AR147" s="906"/>
      <c r="AS147" s="906"/>
      <c r="AT147" s="906"/>
      <c r="AU147" s="906"/>
      <c r="AV147" s="906"/>
      <c r="AW147" s="906"/>
      <c r="AX147" s="906"/>
      <c r="AY147" s="906"/>
      <c r="AZ147" s="906"/>
      <c r="BA147" s="906"/>
      <c r="BB147" s="906"/>
      <c r="BC147" s="906"/>
      <c r="BD147" s="906"/>
      <c r="BE147" s="906"/>
      <c r="BF147" s="906"/>
      <c r="BG147" s="906"/>
      <c r="BH147" s="906"/>
      <c r="BI147" s="906"/>
      <c r="BJ147" s="906"/>
      <c r="BK147" s="906"/>
      <c r="BL147" s="906"/>
      <c r="BM147" s="906"/>
      <c r="BN147" s="906"/>
      <c r="BO147" s="906"/>
      <c r="BP147" s="906"/>
      <c r="BQ147" s="906"/>
      <c r="BR147" s="906"/>
      <c r="BS147" s="906"/>
      <c r="BT147" s="906"/>
      <c r="BU147" s="906"/>
      <c r="BV147" s="906"/>
      <c r="BW147" s="906"/>
      <c r="BX147" s="906"/>
      <c r="BY147" s="906"/>
      <c r="BZ147" s="906"/>
      <c r="CA147" s="906"/>
      <c r="CB147" s="906"/>
      <c r="CC147" s="906"/>
      <c r="CD147" s="906"/>
      <c r="CE147" s="906"/>
      <c r="CF147" s="906"/>
      <c r="CG147" s="906"/>
      <c r="CH147" s="906"/>
      <c r="CI147" s="906"/>
      <c r="CJ147" s="906"/>
      <c r="CK147" s="906"/>
      <c r="CL147" s="906"/>
      <c r="CM147" s="906"/>
      <c r="CN147" s="906"/>
      <c r="CO147" s="906"/>
      <c r="CP147" s="906"/>
      <c r="CQ147" s="906"/>
      <c r="CR147" s="906"/>
      <c r="CS147" s="906"/>
      <c r="CT147" s="906"/>
      <c r="CU147" s="906"/>
      <c r="CV147" s="906"/>
      <c r="CW147" s="906"/>
      <c r="CX147" s="906"/>
      <c r="CY147" s="906"/>
      <c r="CZ147" s="906"/>
      <c r="DA147" s="906"/>
      <c r="DB147" s="906"/>
      <c r="DC147" s="906"/>
      <c r="DD147" s="906"/>
      <c r="DE147" s="906"/>
      <c r="DF147" s="906"/>
      <c r="DG147" s="906"/>
      <c r="DH147" s="906"/>
      <c r="DI147" s="906"/>
      <c r="DJ147" s="906"/>
      <c r="DK147" s="906"/>
      <c r="DL147" s="906"/>
      <c r="DM147" s="906"/>
      <c r="DN147" s="906"/>
      <c r="DO147" s="906"/>
      <c r="DP147" s="906"/>
      <c r="DQ147" s="906"/>
      <c r="DR147" s="906"/>
      <c r="DS147" s="906"/>
    </row>
    <row r="148" spans="1:123" s="854" customFormat="1" ht="16.5" customHeight="1">
      <c r="A148" s="891"/>
      <c r="B148" s="771"/>
      <c r="C148" s="769"/>
      <c r="D148" s="892"/>
      <c r="E148" s="893"/>
      <c r="F148" s="894"/>
      <c r="G148" s="771"/>
      <c r="H148" s="894"/>
      <c r="I148" s="895"/>
      <c r="J148" s="895"/>
      <c r="K148" s="893"/>
      <c r="L148" s="893"/>
      <c r="M148" s="893"/>
      <c r="N148" s="893"/>
      <c r="O148" s="893"/>
      <c r="P148" s="893"/>
      <c r="Q148" s="893"/>
      <c r="R148" s="906"/>
      <c r="S148" s="899"/>
      <c r="T148" s="906"/>
      <c r="U148" s="906"/>
      <c r="V148" s="906"/>
      <c r="W148" s="906"/>
      <c r="X148" s="906"/>
      <c r="Y148" s="906"/>
      <c r="Z148" s="906"/>
      <c r="AA148" s="906"/>
      <c r="AB148" s="906"/>
      <c r="AC148" s="906"/>
      <c r="AD148" s="906"/>
      <c r="AE148" s="906"/>
      <c r="AF148" s="906"/>
      <c r="AG148" s="906"/>
      <c r="AH148" s="906"/>
      <c r="AI148" s="906"/>
      <c r="AJ148" s="906"/>
      <c r="AK148" s="906"/>
      <c r="AL148" s="906"/>
      <c r="AM148" s="906"/>
      <c r="AN148" s="906"/>
      <c r="AO148" s="906"/>
      <c r="AP148" s="906"/>
      <c r="AQ148" s="906"/>
      <c r="AR148" s="906"/>
      <c r="AS148" s="906"/>
      <c r="AT148" s="906"/>
      <c r="AU148" s="906"/>
      <c r="AV148" s="906"/>
      <c r="AW148" s="906"/>
      <c r="AX148" s="906"/>
      <c r="AY148" s="906"/>
      <c r="AZ148" s="906"/>
      <c r="BA148" s="906"/>
      <c r="BB148" s="906"/>
      <c r="BC148" s="906"/>
      <c r="BD148" s="906"/>
      <c r="BE148" s="906"/>
      <c r="BF148" s="906"/>
      <c r="BG148" s="906"/>
      <c r="BH148" s="906"/>
      <c r="BI148" s="906"/>
      <c r="BJ148" s="906"/>
      <c r="BK148" s="906"/>
      <c r="BL148" s="906"/>
      <c r="BM148" s="906"/>
      <c r="BN148" s="906"/>
      <c r="BO148" s="906"/>
      <c r="BP148" s="906"/>
      <c r="BQ148" s="906"/>
      <c r="BR148" s="906"/>
      <c r="BS148" s="906"/>
      <c r="BT148" s="906"/>
      <c r="BU148" s="906"/>
      <c r="BV148" s="906"/>
      <c r="BW148" s="906"/>
      <c r="BX148" s="906"/>
      <c r="BY148" s="906"/>
      <c r="BZ148" s="906"/>
      <c r="CA148" s="906"/>
      <c r="CB148" s="906"/>
      <c r="CC148" s="906"/>
      <c r="CD148" s="906"/>
      <c r="CE148" s="906"/>
      <c r="CF148" s="906"/>
      <c r="CG148" s="906"/>
      <c r="CH148" s="906"/>
      <c r="CI148" s="906"/>
      <c r="CJ148" s="906"/>
      <c r="CK148" s="906"/>
      <c r="CL148" s="906"/>
      <c r="CM148" s="906"/>
      <c r="CN148" s="906"/>
      <c r="CO148" s="906"/>
      <c r="CP148" s="906"/>
      <c r="CQ148" s="906"/>
      <c r="CR148" s="906"/>
      <c r="CS148" s="906"/>
      <c r="CT148" s="906"/>
      <c r="CU148" s="906"/>
      <c r="CV148" s="906"/>
      <c r="CW148" s="906"/>
      <c r="CX148" s="906"/>
      <c r="CY148" s="906"/>
      <c r="CZ148" s="906"/>
      <c r="DA148" s="906"/>
      <c r="DB148" s="906"/>
      <c r="DC148" s="906"/>
      <c r="DD148" s="906"/>
      <c r="DE148" s="906"/>
      <c r="DF148" s="906"/>
      <c r="DG148" s="906"/>
      <c r="DH148" s="906"/>
      <c r="DI148" s="906"/>
      <c r="DJ148" s="906"/>
      <c r="DK148" s="906"/>
      <c r="DL148" s="906"/>
      <c r="DM148" s="906"/>
      <c r="DN148" s="906"/>
      <c r="DO148" s="906"/>
      <c r="DP148" s="906"/>
      <c r="DQ148" s="906"/>
      <c r="DR148" s="906"/>
      <c r="DS148" s="906"/>
    </row>
    <row r="149" spans="1:123" s="854" customFormat="1" ht="16.5" customHeight="1">
      <c r="A149" s="891"/>
      <c r="B149" s="771"/>
      <c r="C149" s="769"/>
      <c r="D149" s="892"/>
      <c r="E149" s="893"/>
      <c r="F149" s="894"/>
      <c r="G149" s="771"/>
      <c r="H149" s="894"/>
      <c r="I149" s="895"/>
      <c r="J149" s="895"/>
      <c r="K149" s="893"/>
      <c r="L149" s="893"/>
      <c r="M149" s="893"/>
      <c r="N149" s="893"/>
      <c r="O149" s="893"/>
      <c r="P149" s="893"/>
      <c r="Q149" s="893"/>
      <c r="R149" s="906"/>
      <c r="S149" s="899"/>
      <c r="T149" s="906"/>
      <c r="U149" s="906"/>
      <c r="V149" s="906"/>
      <c r="W149" s="906"/>
      <c r="X149" s="906"/>
      <c r="Y149" s="906"/>
      <c r="Z149" s="906"/>
      <c r="AA149" s="906"/>
      <c r="AB149" s="906"/>
      <c r="AC149" s="906"/>
      <c r="AD149" s="906"/>
      <c r="AE149" s="906"/>
      <c r="AF149" s="906"/>
      <c r="AG149" s="906"/>
      <c r="AH149" s="906"/>
      <c r="AI149" s="906"/>
      <c r="AJ149" s="906"/>
      <c r="AK149" s="906"/>
      <c r="AL149" s="906"/>
      <c r="AM149" s="906"/>
      <c r="AN149" s="906"/>
      <c r="AO149" s="906"/>
      <c r="AP149" s="906"/>
      <c r="AQ149" s="906"/>
      <c r="AR149" s="906"/>
      <c r="AS149" s="906"/>
      <c r="AT149" s="906"/>
      <c r="AU149" s="906"/>
      <c r="AV149" s="906"/>
      <c r="AW149" s="906"/>
      <c r="AX149" s="906"/>
      <c r="AY149" s="906"/>
      <c r="AZ149" s="906"/>
      <c r="BA149" s="906"/>
      <c r="BB149" s="906"/>
      <c r="BC149" s="906"/>
      <c r="BD149" s="906"/>
      <c r="BE149" s="906"/>
      <c r="BF149" s="906"/>
      <c r="BG149" s="906"/>
      <c r="BH149" s="906"/>
      <c r="BI149" s="906"/>
      <c r="BJ149" s="906"/>
      <c r="BK149" s="906"/>
      <c r="BL149" s="906"/>
      <c r="BM149" s="906"/>
      <c r="BN149" s="906"/>
      <c r="BO149" s="906"/>
      <c r="BP149" s="906"/>
      <c r="BQ149" s="906"/>
      <c r="BR149" s="906"/>
      <c r="BS149" s="906"/>
      <c r="BT149" s="906"/>
      <c r="BU149" s="906"/>
      <c r="BV149" s="906"/>
      <c r="BW149" s="906"/>
      <c r="BX149" s="906"/>
      <c r="BY149" s="906"/>
      <c r="BZ149" s="906"/>
      <c r="CA149" s="906"/>
      <c r="CB149" s="906"/>
      <c r="CC149" s="906"/>
      <c r="CD149" s="906"/>
      <c r="CE149" s="906"/>
      <c r="CF149" s="906"/>
      <c r="CG149" s="906"/>
      <c r="CH149" s="906"/>
      <c r="CI149" s="906"/>
      <c r="CJ149" s="906"/>
      <c r="CK149" s="906"/>
      <c r="CL149" s="906"/>
      <c r="CM149" s="906"/>
      <c r="CN149" s="906"/>
      <c r="CO149" s="906"/>
      <c r="CP149" s="906"/>
      <c r="CQ149" s="906"/>
      <c r="CR149" s="906"/>
      <c r="CS149" s="906"/>
      <c r="CT149" s="906"/>
      <c r="CU149" s="906"/>
      <c r="CV149" s="906"/>
      <c r="CW149" s="906"/>
      <c r="CX149" s="906"/>
      <c r="CY149" s="906"/>
      <c r="CZ149" s="906"/>
      <c r="DA149" s="906"/>
      <c r="DB149" s="906"/>
      <c r="DC149" s="906"/>
      <c r="DD149" s="906"/>
      <c r="DE149" s="906"/>
      <c r="DF149" s="906"/>
      <c r="DG149" s="906"/>
      <c r="DH149" s="906"/>
      <c r="DI149" s="906"/>
      <c r="DJ149" s="906"/>
      <c r="DK149" s="906"/>
      <c r="DL149" s="906"/>
      <c r="DM149" s="906"/>
      <c r="DN149" s="906"/>
      <c r="DO149" s="906"/>
      <c r="DP149" s="906"/>
      <c r="DQ149" s="906"/>
      <c r="DR149" s="906"/>
      <c r="DS149" s="906"/>
    </row>
    <row r="150" spans="1:123" s="854" customFormat="1" ht="16.5" customHeight="1">
      <c r="A150" s="891"/>
      <c r="B150" s="771"/>
      <c r="C150" s="769"/>
      <c r="D150" s="892"/>
      <c r="E150" s="893"/>
      <c r="F150" s="894"/>
      <c r="G150" s="771"/>
      <c r="H150" s="894"/>
      <c r="I150" s="895"/>
      <c r="J150" s="895"/>
      <c r="K150" s="893"/>
      <c r="L150" s="893"/>
      <c r="M150" s="893"/>
      <c r="N150" s="893"/>
      <c r="O150" s="893"/>
      <c r="P150" s="893"/>
      <c r="Q150" s="893"/>
      <c r="R150" s="906"/>
      <c r="S150" s="899"/>
      <c r="T150" s="906"/>
      <c r="U150" s="906"/>
      <c r="V150" s="906"/>
      <c r="W150" s="906"/>
      <c r="X150" s="906"/>
      <c r="Y150" s="906"/>
      <c r="Z150" s="906"/>
      <c r="AA150" s="906"/>
      <c r="AB150" s="906"/>
      <c r="AC150" s="906"/>
      <c r="AD150" s="906"/>
      <c r="AE150" s="906"/>
      <c r="AF150" s="906"/>
      <c r="AG150" s="906"/>
      <c r="AH150" s="906"/>
      <c r="AI150" s="906"/>
      <c r="AJ150" s="906"/>
      <c r="AK150" s="906"/>
      <c r="AL150" s="906"/>
      <c r="AM150" s="906"/>
      <c r="AN150" s="906"/>
      <c r="AO150" s="906"/>
      <c r="AP150" s="906"/>
      <c r="AQ150" s="906"/>
      <c r="AR150" s="906"/>
      <c r="AS150" s="906"/>
      <c r="AT150" s="906"/>
      <c r="AU150" s="906"/>
      <c r="AV150" s="906"/>
      <c r="AW150" s="906"/>
      <c r="AX150" s="906"/>
      <c r="AY150" s="906"/>
      <c r="AZ150" s="906"/>
      <c r="BA150" s="906"/>
      <c r="BB150" s="906"/>
      <c r="BC150" s="906"/>
      <c r="BD150" s="906"/>
      <c r="BE150" s="906"/>
      <c r="BF150" s="906"/>
      <c r="BG150" s="906"/>
      <c r="BH150" s="906"/>
      <c r="BI150" s="906"/>
      <c r="BJ150" s="906"/>
      <c r="BK150" s="906"/>
      <c r="BL150" s="906"/>
      <c r="BM150" s="906"/>
      <c r="BN150" s="906"/>
      <c r="BO150" s="906"/>
      <c r="BP150" s="906"/>
      <c r="BQ150" s="906"/>
      <c r="BR150" s="906"/>
      <c r="BS150" s="906"/>
      <c r="BT150" s="906"/>
      <c r="BU150" s="906"/>
      <c r="BV150" s="906"/>
      <c r="BW150" s="906"/>
      <c r="BX150" s="906"/>
      <c r="BY150" s="906"/>
      <c r="BZ150" s="906"/>
      <c r="CA150" s="906"/>
      <c r="CB150" s="906"/>
      <c r="CC150" s="906"/>
      <c r="CD150" s="906"/>
      <c r="CE150" s="906"/>
      <c r="CF150" s="906"/>
      <c r="CG150" s="906"/>
      <c r="CH150" s="906"/>
      <c r="CI150" s="906"/>
      <c r="CJ150" s="906"/>
      <c r="CK150" s="906"/>
      <c r="CL150" s="906"/>
      <c r="CM150" s="906"/>
      <c r="CN150" s="906"/>
      <c r="CO150" s="906"/>
      <c r="CP150" s="906"/>
      <c r="CQ150" s="906"/>
      <c r="CR150" s="906"/>
      <c r="CS150" s="906"/>
      <c r="CT150" s="906"/>
      <c r="CU150" s="906"/>
      <c r="CV150" s="906"/>
      <c r="CW150" s="906"/>
      <c r="CX150" s="906"/>
      <c r="CY150" s="906"/>
      <c r="CZ150" s="906"/>
      <c r="DA150" s="906"/>
      <c r="DB150" s="906"/>
      <c r="DC150" s="906"/>
      <c r="DD150" s="906"/>
      <c r="DE150" s="906"/>
      <c r="DF150" s="906"/>
      <c r="DG150" s="906"/>
      <c r="DH150" s="906"/>
      <c r="DI150" s="906"/>
      <c r="DJ150" s="906"/>
      <c r="DK150" s="906"/>
      <c r="DL150" s="906"/>
      <c r="DM150" s="906"/>
      <c r="DN150" s="906"/>
      <c r="DO150" s="906"/>
      <c r="DP150" s="906"/>
      <c r="DQ150" s="906"/>
      <c r="DR150" s="906"/>
      <c r="DS150" s="906"/>
    </row>
    <row r="151" spans="1:123" s="854" customFormat="1" ht="16.5" customHeight="1">
      <c r="A151" s="891"/>
      <c r="B151" s="771"/>
      <c r="C151" s="769"/>
      <c r="D151" s="892"/>
      <c r="E151" s="893"/>
      <c r="F151" s="894"/>
      <c r="G151" s="771"/>
      <c r="H151" s="894"/>
      <c r="I151" s="895"/>
      <c r="J151" s="895"/>
      <c r="K151" s="893"/>
      <c r="L151" s="893"/>
      <c r="M151" s="893"/>
      <c r="N151" s="893"/>
      <c r="O151" s="893"/>
      <c r="P151" s="893"/>
      <c r="Q151" s="893"/>
      <c r="R151" s="906"/>
      <c r="S151" s="899"/>
      <c r="T151" s="906"/>
      <c r="U151" s="906"/>
      <c r="V151" s="906"/>
      <c r="W151" s="906"/>
      <c r="X151" s="906"/>
      <c r="Y151" s="906"/>
      <c r="Z151" s="906"/>
      <c r="AA151" s="906"/>
      <c r="AB151" s="906"/>
      <c r="AC151" s="906"/>
      <c r="AD151" s="906"/>
      <c r="AE151" s="906"/>
      <c r="AF151" s="906"/>
      <c r="AG151" s="906"/>
      <c r="AH151" s="906"/>
      <c r="AI151" s="906"/>
      <c r="AJ151" s="906"/>
      <c r="AK151" s="906"/>
      <c r="AL151" s="906"/>
      <c r="AM151" s="906"/>
      <c r="AN151" s="906"/>
      <c r="AO151" s="906"/>
      <c r="AP151" s="906"/>
      <c r="AQ151" s="906"/>
      <c r="AR151" s="906"/>
      <c r="AS151" s="906"/>
      <c r="AT151" s="906"/>
      <c r="AU151" s="906"/>
      <c r="AV151" s="906"/>
      <c r="AW151" s="906"/>
      <c r="AX151" s="906"/>
      <c r="AY151" s="906"/>
      <c r="AZ151" s="906"/>
      <c r="BA151" s="906"/>
      <c r="BB151" s="906"/>
      <c r="BC151" s="906"/>
      <c r="BD151" s="906"/>
      <c r="BE151" s="906"/>
      <c r="BF151" s="906"/>
      <c r="BG151" s="906"/>
      <c r="BH151" s="906"/>
      <c r="BI151" s="906"/>
      <c r="BJ151" s="906"/>
      <c r="BK151" s="906"/>
      <c r="BL151" s="906"/>
      <c r="BM151" s="906"/>
      <c r="BN151" s="906"/>
      <c r="BO151" s="906"/>
      <c r="BP151" s="906"/>
      <c r="BQ151" s="906"/>
      <c r="BR151" s="906"/>
      <c r="BS151" s="906"/>
      <c r="BT151" s="906"/>
      <c r="BU151" s="906"/>
      <c r="BV151" s="906"/>
      <c r="BW151" s="906"/>
      <c r="BX151" s="906"/>
      <c r="BY151" s="906"/>
      <c r="BZ151" s="906"/>
      <c r="CA151" s="906"/>
      <c r="CB151" s="906"/>
      <c r="CC151" s="906"/>
      <c r="CD151" s="906"/>
      <c r="CE151" s="906"/>
      <c r="CF151" s="906"/>
      <c r="CG151" s="906"/>
      <c r="CH151" s="906"/>
      <c r="CI151" s="906"/>
      <c r="CJ151" s="906"/>
      <c r="CK151" s="906"/>
      <c r="CL151" s="906"/>
      <c r="CM151" s="906"/>
      <c r="CN151" s="906"/>
      <c r="CO151" s="906"/>
      <c r="CP151" s="906"/>
      <c r="CQ151" s="906"/>
      <c r="CR151" s="906"/>
      <c r="CS151" s="906"/>
      <c r="CT151" s="906"/>
      <c r="CU151" s="906"/>
      <c r="CV151" s="906"/>
      <c r="CW151" s="906"/>
      <c r="CX151" s="906"/>
      <c r="CY151" s="906"/>
      <c r="CZ151" s="906"/>
      <c r="DA151" s="906"/>
      <c r="DB151" s="906"/>
      <c r="DC151" s="906"/>
      <c r="DD151" s="906"/>
      <c r="DE151" s="906"/>
      <c r="DF151" s="906"/>
      <c r="DG151" s="906"/>
      <c r="DH151" s="906"/>
      <c r="DI151" s="906"/>
      <c r="DJ151" s="906"/>
      <c r="DK151" s="906"/>
      <c r="DL151" s="906"/>
      <c r="DM151" s="906"/>
      <c r="DN151" s="906"/>
      <c r="DO151" s="906"/>
      <c r="DP151" s="906"/>
      <c r="DQ151" s="906"/>
      <c r="DR151" s="906"/>
      <c r="DS151" s="906"/>
    </row>
    <row r="152" spans="1:123" s="854" customFormat="1" ht="16.5" customHeight="1">
      <c r="A152" s="891"/>
      <c r="B152" s="771"/>
      <c r="C152" s="769"/>
      <c r="D152" s="892"/>
      <c r="E152" s="893"/>
      <c r="F152" s="894"/>
      <c r="G152" s="771"/>
      <c r="H152" s="894"/>
      <c r="I152" s="895"/>
      <c r="J152" s="895"/>
      <c r="K152" s="893"/>
      <c r="L152" s="893"/>
      <c r="M152" s="893"/>
      <c r="N152" s="893"/>
      <c r="O152" s="893"/>
      <c r="P152" s="893"/>
      <c r="Q152" s="893"/>
      <c r="R152" s="906"/>
      <c r="S152" s="899"/>
      <c r="T152" s="906"/>
      <c r="U152" s="906"/>
      <c r="V152" s="906"/>
      <c r="W152" s="906"/>
      <c r="X152" s="906"/>
      <c r="Y152" s="906"/>
      <c r="Z152" s="906"/>
      <c r="AA152" s="906"/>
      <c r="AB152" s="906"/>
      <c r="AC152" s="906"/>
      <c r="AD152" s="906"/>
      <c r="AE152" s="906"/>
      <c r="AF152" s="906"/>
      <c r="AG152" s="906"/>
      <c r="AH152" s="906"/>
      <c r="AI152" s="906"/>
      <c r="AJ152" s="906"/>
      <c r="AK152" s="906"/>
      <c r="AL152" s="906"/>
      <c r="AM152" s="906"/>
      <c r="AN152" s="906"/>
      <c r="AO152" s="906"/>
      <c r="AP152" s="906"/>
      <c r="AQ152" s="906"/>
      <c r="AR152" s="906"/>
      <c r="AS152" s="906"/>
      <c r="AT152" s="906"/>
      <c r="AU152" s="906"/>
      <c r="AV152" s="906"/>
      <c r="AW152" s="906"/>
      <c r="AX152" s="906"/>
      <c r="AY152" s="906"/>
      <c r="AZ152" s="906"/>
      <c r="BA152" s="906"/>
      <c r="BB152" s="906"/>
      <c r="BC152" s="906"/>
      <c r="BD152" s="906"/>
      <c r="BE152" s="906"/>
      <c r="BF152" s="906"/>
      <c r="BG152" s="906"/>
      <c r="BH152" s="906"/>
      <c r="BI152" s="906"/>
      <c r="BJ152" s="906"/>
      <c r="BK152" s="906"/>
      <c r="BL152" s="906"/>
      <c r="BM152" s="906"/>
      <c r="BN152" s="906"/>
      <c r="BO152" s="906"/>
      <c r="BP152" s="906"/>
      <c r="BQ152" s="906"/>
      <c r="BR152" s="906"/>
      <c r="BS152" s="906"/>
      <c r="BT152" s="906"/>
      <c r="BU152" s="906"/>
      <c r="BV152" s="906"/>
      <c r="BW152" s="906"/>
      <c r="BX152" s="906"/>
      <c r="BY152" s="906"/>
      <c r="BZ152" s="906"/>
      <c r="CA152" s="906"/>
      <c r="CB152" s="906"/>
      <c r="CC152" s="906"/>
      <c r="CD152" s="906"/>
      <c r="CE152" s="906"/>
      <c r="CF152" s="906"/>
      <c r="CG152" s="906"/>
      <c r="CH152" s="906"/>
      <c r="CI152" s="906"/>
      <c r="CJ152" s="906"/>
      <c r="CK152" s="906"/>
      <c r="CL152" s="906"/>
      <c r="CM152" s="906"/>
      <c r="CN152" s="906"/>
      <c r="CO152" s="906"/>
      <c r="CP152" s="906"/>
      <c r="CQ152" s="906"/>
      <c r="CR152" s="906"/>
      <c r="CS152" s="906"/>
      <c r="CT152" s="906"/>
      <c r="CU152" s="906"/>
      <c r="CV152" s="906"/>
      <c r="CW152" s="906"/>
      <c r="CX152" s="906"/>
      <c r="CY152" s="906"/>
      <c r="CZ152" s="906"/>
      <c r="DA152" s="906"/>
      <c r="DB152" s="906"/>
      <c r="DC152" s="906"/>
      <c r="DD152" s="906"/>
      <c r="DE152" s="906"/>
      <c r="DF152" s="906"/>
      <c r="DG152" s="906"/>
      <c r="DH152" s="906"/>
      <c r="DI152" s="906"/>
      <c r="DJ152" s="906"/>
      <c r="DK152" s="906"/>
      <c r="DL152" s="906"/>
      <c r="DM152" s="906"/>
      <c r="DN152" s="906"/>
      <c r="DO152" s="906"/>
      <c r="DP152" s="906"/>
      <c r="DQ152" s="906"/>
      <c r="DR152" s="906"/>
      <c r="DS152" s="906"/>
    </row>
    <row r="153" spans="1:123" s="854" customFormat="1" ht="16.5" customHeight="1">
      <c r="A153" s="891"/>
      <c r="B153" s="771"/>
      <c r="C153" s="769"/>
      <c r="D153" s="892"/>
      <c r="E153" s="893"/>
      <c r="F153" s="894"/>
      <c r="G153" s="771"/>
      <c r="H153" s="894"/>
      <c r="I153" s="895"/>
      <c r="J153" s="895"/>
      <c r="K153" s="893"/>
      <c r="L153" s="893"/>
      <c r="M153" s="893"/>
      <c r="N153" s="893"/>
      <c r="O153" s="893"/>
      <c r="P153" s="893"/>
      <c r="Q153" s="893"/>
      <c r="R153" s="906"/>
      <c r="S153" s="899"/>
      <c r="T153" s="906"/>
      <c r="U153" s="906"/>
      <c r="V153" s="906"/>
      <c r="W153" s="906"/>
      <c r="X153" s="906"/>
      <c r="Y153" s="906"/>
      <c r="Z153" s="906"/>
      <c r="AA153" s="906"/>
      <c r="AB153" s="906"/>
      <c r="AC153" s="906"/>
      <c r="AD153" s="906"/>
      <c r="AE153" s="906"/>
      <c r="AF153" s="906"/>
      <c r="AG153" s="906"/>
      <c r="AH153" s="906"/>
      <c r="AI153" s="906"/>
      <c r="AJ153" s="906"/>
      <c r="AK153" s="906"/>
      <c r="AL153" s="906"/>
      <c r="AM153" s="906"/>
      <c r="AN153" s="906"/>
      <c r="AO153" s="906"/>
      <c r="AP153" s="906"/>
      <c r="AQ153" s="906"/>
      <c r="AR153" s="906"/>
      <c r="AS153" s="906"/>
      <c r="AT153" s="906"/>
      <c r="AU153" s="906"/>
      <c r="AV153" s="906"/>
      <c r="AW153" s="906"/>
      <c r="AX153" s="906"/>
      <c r="AY153" s="906"/>
      <c r="AZ153" s="906"/>
      <c r="BA153" s="906"/>
      <c r="BB153" s="906"/>
      <c r="BC153" s="906"/>
      <c r="BD153" s="906"/>
      <c r="BE153" s="906"/>
      <c r="BF153" s="906"/>
      <c r="BG153" s="906"/>
      <c r="BH153" s="906"/>
      <c r="BI153" s="906"/>
      <c r="BJ153" s="906"/>
      <c r="BK153" s="906"/>
      <c r="BL153" s="906"/>
      <c r="BM153" s="906"/>
      <c r="BN153" s="906"/>
      <c r="BO153" s="906"/>
      <c r="BP153" s="906"/>
      <c r="BQ153" s="906"/>
      <c r="BR153" s="906"/>
      <c r="BS153" s="906"/>
      <c r="BT153" s="906"/>
      <c r="BU153" s="906"/>
      <c r="BV153" s="906"/>
      <c r="BW153" s="906"/>
      <c r="BX153" s="906"/>
      <c r="BY153" s="906"/>
      <c r="BZ153" s="906"/>
      <c r="CA153" s="906"/>
      <c r="CB153" s="906"/>
      <c r="CC153" s="906"/>
      <c r="CD153" s="906"/>
      <c r="CE153" s="906"/>
      <c r="CF153" s="906"/>
      <c r="CG153" s="906"/>
      <c r="CH153" s="906"/>
      <c r="CI153" s="906"/>
      <c r="CJ153" s="906"/>
      <c r="CK153" s="906"/>
      <c r="CL153" s="906"/>
      <c r="CM153" s="906"/>
      <c r="CN153" s="906"/>
      <c r="CO153" s="906"/>
      <c r="CP153" s="906"/>
      <c r="CQ153" s="906"/>
      <c r="CR153" s="906"/>
      <c r="CS153" s="906"/>
      <c r="CT153" s="906"/>
      <c r="CU153" s="906"/>
      <c r="CV153" s="906"/>
      <c r="CW153" s="906"/>
      <c r="CX153" s="906"/>
      <c r="CY153" s="906"/>
      <c r="CZ153" s="906"/>
      <c r="DA153" s="906"/>
      <c r="DB153" s="906"/>
      <c r="DC153" s="906"/>
      <c r="DD153" s="906"/>
      <c r="DE153" s="906"/>
      <c r="DF153" s="906"/>
      <c r="DG153" s="906"/>
      <c r="DH153" s="906"/>
      <c r="DI153" s="906"/>
      <c r="DJ153" s="906"/>
      <c r="DK153" s="906"/>
      <c r="DL153" s="906"/>
      <c r="DM153" s="906"/>
      <c r="DN153" s="906"/>
      <c r="DO153" s="906"/>
      <c r="DP153" s="906"/>
      <c r="DQ153" s="906"/>
      <c r="DR153" s="906"/>
      <c r="DS153" s="906"/>
    </row>
    <row r="154" spans="1:123" s="854" customFormat="1" ht="16.5" customHeight="1">
      <c r="A154" s="891"/>
      <c r="B154" s="771"/>
      <c r="C154" s="769"/>
      <c r="D154" s="892"/>
      <c r="E154" s="893"/>
      <c r="F154" s="894"/>
      <c r="G154" s="771"/>
      <c r="H154" s="894"/>
      <c r="I154" s="895"/>
      <c r="J154" s="895"/>
      <c r="K154" s="893"/>
      <c r="L154" s="893"/>
      <c r="M154" s="893"/>
      <c r="N154" s="893"/>
      <c r="O154" s="893"/>
      <c r="P154" s="893"/>
      <c r="Q154" s="893"/>
      <c r="R154" s="906"/>
      <c r="S154" s="899"/>
      <c r="T154" s="906"/>
      <c r="U154" s="906"/>
      <c r="V154" s="906"/>
      <c r="W154" s="906"/>
      <c r="X154" s="906"/>
      <c r="Y154" s="906"/>
      <c r="Z154" s="906"/>
      <c r="AA154" s="906"/>
      <c r="AB154" s="906"/>
      <c r="AC154" s="906"/>
      <c r="AD154" s="906"/>
      <c r="AE154" s="906"/>
      <c r="AF154" s="906"/>
      <c r="AG154" s="906"/>
      <c r="AH154" s="906"/>
      <c r="AI154" s="906"/>
      <c r="AJ154" s="906"/>
      <c r="AK154" s="906"/>
      <c r="AL154" s="906"/>
      <c r="AM154" s="906"/>
      <c r="AN154" s="906"/>
      <c r="AO154" s="906"/>
      <c r="AP154" s="906"/>
      <c r="AQ154" s="906"/>
      <c r="AR154" s="906"/>
      <c r="AS154" s="906"/>
      <c r="AT154" s="906"/>
      <c r="AU154" s="906"/>
      <c r="AV154" s="906"/>
      <c r="AW154" s="906"/>
      <c r="AX154" s="906"/>
      <c r="AY154" s="906"/>
      <c r="AZ154" s="906"/>
      <c r="BA154" s="906"/>
      <c r="BB154" s="906"/>
      <c r="BC154" s="906"/>
      <c r="BD154" s="906"/>
      <c r="BE154" s="906"/>
      <c r="BF154" s="906"/>
      <c r="BG154" s="906"/>
      <c r="BH154" s="906"/>
      <c r="BI154" s="906"/>
      <c r="BJ154" s="906"/>
      <c r="BK154" s="906"/>
      <c r="BL154" s="906"/>
      <c r="BM154" s="906"/>
      <c r="BN154" s="906"/>
      <c r="BO154" s="906"/>
      <c r="BP154" s="906"/>
      <c r="BQ154" s="906"/>
      <c r="BR154" s="906"/>
      <c r="BS154" s="906"/>
      <c r="BT154" s="906"/>
      <c r="BU154" s="906"/>
      <c r="BV154" s="906"/>
      <c r="BW154" s="906"/>
      <c r="BX154" s="906"/>
      <c r="BY154" s="906"/>
      <c r="BZ154" s="906"/>
      <c r="CA154" s="906"/>
      <c r="CB154" s="906"/>
      <c r="CC154" s="906"/>
      <c r="CD154" s="906"/>
      <c r="CE154" s="906"/>
      <c r="CF154" s="906"/>
      <c r="CG154" s="906"/>
      <c r="CH154" s="906"/>
      <c r="CI154" s="906"/>
      <c r="CJ154" s="906"/>
      <c r="CK154" s="906"/>
      <c r="CL154" s="906"/>
      <c r="CM154" s="906"/>
      <c r="CN154" s="906"/>
      <c r="CO154" s="906"/>
      <c r="CP154" s="906"/>
      <c r="CQ154" s="906"/>
      <c r="CR154" s="906"/>
      <c r="CS154" s="906"/>
      <c r="CT154" s="906"/>
      <c r="CU154" s="906"/>
      <c r="CV154" s="906"/>
      <c r="CW154" s="906"/>
      <c r="CX154" s="906"/>
      <c r="CY154" s="906"/>
      <c r="CZ154" s="906"/>
      <c r="DA154" s="906"/>
      <c r="DB154" s="906"/>
      <c r="DC154" s="906"/>
      <c r="DD154" s="906"/>
      <c r="DE154" s="906"/>
      <c r="DF154" s="906"/>
      <c r="DG154" s="906"/>
      <c r="DH154" s="906"/>
      <c r="DI154" s="906"/>
      <c r="DJ154" s="906"/>
      <c r="DK154" s="906"/>
      <c r="DL154" s="906"/>
      <c r="DM154" s="906"/>
      <c r="DN154" s="906"/>
      <c r="DO154" s="906"/>
      <c r="DP154" s="906"/>
      <c r="DQ154" s="906"/>
      <c r="DR154" s="906"/>
      <c r="DS154" s="906"/>
    </row>
    <row r="155" spans="1:123" s="854" customFormat="1" ht="16.5" customHeight="1">
      <c r="A155" s="891"/>
      <c r="B155" s="771"/>
      <c r="C155" s="769"/>
      <c r="D155" s="892"/>
      <c r="E155" s="893"/>
      <c r="F155" s="894"/>
      <c r="G155" s="771"/>
      <c r="H155" s="894"/>
      <c r="I155" s="895"/>
      <c r="J155" s="895"/>
      <c r="K155" s="893"/>
      <c r="L155" s="893"/>
      <c r="M155" s="893"/>
      <c r="N155" s="893"/>
      <c r="O155" s="893"/>
      <c r="P155" s="893"/>
      <c r="Q155" s="893"/>
      <c r="R155" s="906"/>
      <c r="S155" s="899"/>
      <c r="T155" s="906"/>
      <c r="U155" s="906"/>
      <c r="V155" s="906"/>
      <c r="W155" s="906"/>
      <c r="X155" s="906"/>
      <c r="Y155" s="906"/>
      <c r="Z155" s="906"/>
      <c r="AA155" s="906"/>
      <c r="AB155" s="906"/>
      <c r="AC155" s="906"/>
      <c r="AD155" s="906"/>
      <c r="AE155" s="906"/>
      <c r="AF155" s="906"/>
      <c r="AG155" s="906"/>
      <c r="AH155" s="906"/>
      <c r="AI155" s="906"/>
      <c r="AJ155" s="906"/>
      <c r="AK155" s="906"/>
      <c r="AL155" s="906"/>
      <c r="AM155" s="906"/>
      <c r="AN155" s="906"/>
      <c r="AO155" s="906"/>
      <c r="AP155" s="906"/>
      <c r="AQ155" s="906"/>
      <c r="AR155" s="906"/>
      <c r="AS155" s="906"/>
      <c r="AT155" s="906"/>
      <c r="AU155" s="906"/>
      <c r="AV155" s="906"/>
      <c r="AW155" s="906"/>
      <c r="AX155" s="906"/>
      <c r="AY155" s="906"/>
      <c r="AZ155" s="906"/>
      <c r="BA155" s="906"/>
      <c r="BB155" s="906"/>
      <c r="BC155" s="906"/>
      <c r="BD155" s="906"/>
      <c r="BE155" s="906"/>
      <c r="BF155" s="906"/>
      <c r="BG155" s="906"/>
      <c r="BH155" s="906"/>
      <c r="BI155" s="906"/>
      <c r="BJ155" s="906"/>
      <c r="BK155" s="906"/>
      <c r="BL155" s="906"/>
      <c r="BM155" s="906"/>
      <c r="BN155" s="906"/>
      <c r="BO155" s="906"/>
      <c r="BP155" s="906"/>
      <c r="BQ155" s="906"/>
      <c r="BR155" s="906"/>
      <c r="BS155" s="906"/>
      <c r="BT155" s="906"/>
      <c r="BU155" s="906"/>
      <c r="BV155" s="906"/>
      <c r="BW155" s="906"/>
      <c r="BX155" s="906"/>
      <c r="BY155" s="906"/>
      <c r="BZ155" s="906"/>
      <c r="CA155" s="906"/>
      <c r="CB155" s="906"/>
      <c r="CC155" s="906"/>
      <c r="CD155" s="906"/>
      <c r="CE155" s="906"/>
      <c r="CF155" s="906"/>
      <c r="CG155" s="906"/>
      <c r="CH155" s="906"/>
      <c r="CI155" s="906"/>
      <c r="CJ155" s="906"/>
      <c r="CK155" s="906"/>
      <c r="CL155" s="906"/>
      <c r="CM155" s="906"/>
      <c r="CN155" s="906"/>
      <c r="CO155" s="906"/>
      <c r="CP155" s="906"/>
      <c r="CQ155" s="906"/>
      <c r="CR155" s="906"/>
      <c r="CS155" s="906"/>
      <c r="CT155" s="906"/>
      <c r="CU155" s="906"/>
      <c r="CV155" s="906"/>
      <c r="CW155" s="906"/>
      <c r="CX155" s="906"/>
      <c r="CY155" s="906"/>
      <c r="CZ155" s="906"/>
      <c r="DA155" s="906"/>
      <c r="DB155" s="906"/>
      <c r="DC155" s="906"/>
      <c r="DD155" s="906"/>
      <c r="DE155" s="906"/>
      <c r="DF155" s="906"/>
      <c r="DG155" s="906"/>
      <c r="DH155" s="906"/>
      <c r="DI155" s="906"/>
      <c r="DJ155" s="906"/>
      <c r="DK155" s="906"/>
      <c r="DL155" s="906"/>
      <c r="DM155" s="906"/>
      <c r="DN155" s="906"/>
      <c r="DO155" s="906"/>
      <c r="DP155" s="906"/>
      <c r="DQ155" s="906"/>
      <c r="DR155" s="906"/>
      <c r="DS155" s="906"/>
    </row>
    <row r="156" spans="1:123" s="854" customFormat="1" ht="16.5" customHeight="1">
      <c r="A156" s="891"/>
      <c r="B156" s="771"/>
      <c r="C156" s="769"/>
      <c r="D156" s="892"/>
      <c r="E156" s="893"/>
      <c r="F156" s="894"/>
      <c r="G156" s="771"/>
      <c r="H156" s="894"/>
      <c r="I156" s="895"/>
      <c r="J156" s="895"/>
      <c r="K156" s="893"/>
      <c r="L156" s="893"/>
      <c r="M156" s="893"/>
      <c r="N156" s="893"/>
      <c r="O156" s="893"/>
      <c r="P156" s="893"/>
      <c r="Q156" s="893"/>
      <c r="R156" s="906"/>
      <c r="S156" s="899"/>
      <c r="T156" s="906"/>
      <c r="U156" s="906"/>
      <c r="V156" s="906"/>
      <c r="W156" s="906"/>
      <c r="X156" s="906"/>
      <c r="Y156" s="906"/>
      <c r="Z156" s="906"/>
      <c r="AA156" s="906"/>
      <c r="AB156" s="906"/>
      <c r="AC156" s="906"/>
      <c r="AD156" s="906"/>
      <c r="AE156" s="906"/>
      <c r="AF156" s="906"/>
      <c r="AG156" s="906"/>
      <c r="AH156" s="906"/>
      <c r="AI156" s="906"/>
      <c r="AJ156" s="906"/>
      <c r="AK156" s="906"/>
      <c r="AL156" s="906"/>
      <c r="AM156" s="906"/>
      <c r="AN156" s="906"/>
      <c r="AO156" s="906"/>
      <c r="AP156" s="906"/>
      <c r="AQ156" s="906"/>
      <c r="AR156" s="906"/>
      <c r="AS156" s="906"/>
      <c r="AT156" s="906"/>
      <c r="AU156" s="906"/>
      <c r="AV156" s="906"/>
      <c r="AW156" s="906"/>
      <c r="AX156" s="906"/>
      <c r="AY156" s="906"/>
      <c r="AZ156" s="906"/>
      <c r="BA156" s="906"/>
      <c r="BB156" s="906"/>
      <c r="BC156" s="906"/>
      <c r="BD156" s="906"/>
      <c r="BE156" s="906"/>
      <c r="BF156" s="906"/>
      <c r="BG156" s="906"/>
      <c r="BH156" s="906"/>
      <c r="BI156" s="906"/>
      <c r="BJ156" s="906"/>
      <c r="BK156" s="906"/>
      <c r="BL156" s="906"/>
      <c r="BM156" s="906"/>
      <c r="BN156" s="906"/>
      <c r="BO156" s="906"/>
      <c r="BP156" s="906"/>
      <c r="BQ156" s="906"/>
      <c r="BR156" s="906"/>
      <c r="BS156" s="906"/>
      <c r="BT156" s="906"/>
      <c r="BU156" s="906"/>
      <c r="BV156" s="906"/>
      <c r="BW156" s="906"/>
      <c r="BX156" s="906"/>
      <c r="BY156" s="906"/>
      <c r="BZ156" s="906"/>
      <c r="CA156" s="906"/>
      <c r="CB156" s="906"/>
      <c r="CC156" s="906"/>
      <c r="CD156" s="906"/>
      <c r="CE156" s="906"/>
      <c r="CF156" s="906"/>
      <c r="CG156" s="906"/>
      <c r="CH156" s="906"/>
      <c r="CI156" s="906"/>
      <c r="CJ156" s="906"/>
      <c r="CK156" s="906"/>
      <c r="CL156" s="906"/>
      <c r="CM156" s="906"/>
      <c r="CN156" s="906"/>
      <c r="CO156" s="906"/>
      <c r="CP156" s="906"/>
      <c r="CQ156" s="906"/>
      <c r="CR156" s="906"/>
      <c r="CS156" s="906"/>
      <c r="CT156" s="906"/>
      <c r="CU156" s="906"/>
      <c r="CV156" s="906"/>
      <c r="CW156" s="906"/>
      <c r="CX156" s="906"/>
      <c r="CY156" s="906"/>
      <c r="CZ156" s="906"/>
      <c r="DA156" s="906"/>
      <c r="DB156" s="906"/>
      <c r="DC156" s="906"/>
      <c r="DD156" s="906"/>
      <c r="DE156" s="906"/>
      <c r="DF156" s="906"/>
      <c r="DG156" s="906"/>
      <c r="DH156" s="906"/>
      <c r="DI156" s="906"/>
      <c r="DJ156" s="906"/>
      <c r="DK156" s="906"/>
      <c r="DL156" s="906"/>
      <c r="DM156" s="906"/>
      <c r="DN156" s="906"/>
      <c r="DO156" s="906"/>
      <c r="DP156" s="906"/>
      <c r="DQ156" s="906"/>
      <c r="DR156" s="906"/>
      <c r="DS156" s="906"/>
    </row>
    <row r="157" spans="1:123" s="854" customFormat="1" ht="16.5" customHeight="1">
      <c r="A157" s="891"/>
      <c r="B157" s="771"/>
      <c r="C157" s="769"/>
      <c r="D157" s="892"/>
      <c r="E157" s="893"/>
      <c r="F157" s="894"/>
      <c r="G157" s="771"/>
      <c r="H157" s="894"/>
      <c r="I157" s="895"/>
      <c r="J157" s="895"/>
      <c r="K157" s="893"/>
      <c r="L157" s="893"/>
      <c r="M157" s="893"/>
      <c r="N157" s="893"/>
      <c r="O157" s="893"/>
      <c r="P157" s="893"/>
      <c r="Q157" s="893"/>
      <c r="R157" s="906"/>
      <c r="S157" s="899"/>
      <c r="T157" s="906"/>
      <c r="U157" s="906"/>
      <c r="V157" s="906"/>
      <c r="W157" s="906"/>
      <c r="X157" s="906"/>
      <c r="Y157" s="906"/>
      <c r="Z157" s="906"/>
      <c r="AA157" s="906"/>
      <c r="AB157" s="906"/>
      <c r="AC157" s="906"/>
      <c r="AD157" s="906"/>
      <c r="AE157" s="906"/>
      <c r="AF157" s="906"/>
      <c r="AG157" s="906"/>
      <c r="AH157" s="906"/>
      <c r="AI157" s="906"/>
      <c r="AJ157" s="906"/>
      <c r="AK157" s="906"/>
      <c r="AL157" s="906"/>
      <c r="AM157" s="906"/>
      <c r="AN157" s="906"/>
      <c r="AO157" s="906"/>
      <c r="AP157" s="906"/>
      <c r="AQ157" s="906"/>
      <c r="AR157" s="906"/>
      <c r="AS157" s="906"/>
      <c r="AT157" s="906"/>
      <c r="AU157" s="906"/>
      <c r="AV157" s="906"/>
      <c r="AW157" s="906"/>
      <c r="AX157" s="906"/>
      <c r="AY157" s="906"/>
      <c r="AZ157" s="906"/>
      <c r="BA157" s="906"/>
      <c r="BB157" s="906"/>
      <c r="BC157" s="906"/>
      <c r="BD157" s="906"/>
      <c r="BE157" s="906"/>
      <c r="BF157" s="906"/>
      <c r="BG157" s="906"/>
      <c r="BH157" s="906"/>
      <c r="BI157" s="906"/>
      <c r="BJ157" s="906"/>
      <c r="BK157" s="906"/>
      <c r="BL157" s="906"/>
      <c r="BM157" s="906"/>
      <c r="BN157" s="906"/>
      <c r="BO157" s="906"/>
      <c r="BP157" s="906"/>
      <c r="BQ157" s="906"/>
      <c r="BR157" s="906"/>
      <c r="BS157" s="906"/>
      <c r="BT157" s="906"/>
      <c r="BU157" s="906"/>
      <c r="BV157" s="906"/>
      <c r="BW157" s="906"/>
      <c r="BX157" s="906"/>
      <c r="BY157" s="906"/>
      <c r="BZ157" s="906"/>
      <c r="CA157" s="906"/>
      <c r="CB157" s="906"/>
      <c r="CC157" s="906"/>
      <c r="CD157" s="906"/>
      <c r="CE157" s="906"/>
      <c r="CF157" s="906"/>
      <c r="CG157" s="906"/>
      <c r="CH157" s="906"/>
      <c r="CI157" s="906"/>
      <c r="CJ157" s="906"/>
      <c r="CK157" s="906"/>
      <c r="CL157" s="906"/>
      <c r="CM157" s="906"/>
      <c r="CN157" s="906"/>
      <c r="CO157" s="906"/>
      <c r="CP157" s="906"/>
      <c r="CQ157" s="906"/>
      <c r="CR157" s="906"/>
      <c r="CS157" s="906"/>
      <c r="CT157" s="906"/>
      <c r="CU157" s="906"/>
      <c r="CV157" s="906"/>
      <c r="CW157" s="906"/>
      <c r="CX157" s="906"/>
      <c r="CY157" s="906"/>
      <c r="CZ157" s="906"/>
      <c r="DA157" s="906"/>
      <c r="DB157" s="906"/>
      <c r="DC157" s="906"/>
      <c r="DD157" s="906"/>
      <c r="DE157" s="906"/>
      <c r="DF157" s="906"/>
      <c r="DG157" s="906"/>
      <c r="DH157" s="906"/>
      <c r="DI157" s="906"/>
      <c r="DJ157" s="906"/>
      <c r="DK157" s="906"/>
      <c r="DL157" s="906"/>
      <c r="DM157" s="906"/>
      <c r="DN157" s="906"/>
      <c r="DO157" s="906"/>
      <c r="DP157" s="906"/>
      <c r="DQ157" s="906"/>
      <c r="DR157" s="906"/>
      <c r="DS157" s="906"/>
    </row>
    <row r="158" spans="1:123" s="854" customFormat="1" ht="16.5" customHeight="1">
      <c r="A158" s="891"/>
      <c r="B158" s="771"/>
      <c r="C158" s="769"/>
      <c r="D158" s="892"/>
      <c r="E158" s="893"/>
      <c r="F158" s="894"/>
      <c r="G158" s="771"/>
      <c r="H158" s="894"/>
      <c r="I158" s="895"/>
      <c r="J158" s="895"/>
      <c r="K158" s="893"/>
      <c r="L158" s="893"/>
      <c r="M158" s="893"/>
      <c r="N158" s="893"/>
      <c r="O158" s="893"/>
      <c r="P158" s="893"/>
      <c r="Q158" s="893"/>
      <c r="R158" s="906"/>
      <c r="S158" s="899"/>
      <c r="T158" s="906"/>
      <c r="U158" s="906"/>
      <c r="V158" s="906"/>
      <c r="W158" s="906"/>
      <c r="X158" s="906"/>
      <c r="Y158" s="906"/>
      <c r="Z158" s="906"/>
      <c r="AA158" s="906"/>
      <c r="AB158" s="906"/>
      <c r="AC158" s="906"/>
      <c r="AD158" s="906"/>
      <c r="AE158" s="906"/>
      <c r="AF158" s="906"/>
      <c r="AG158" s="906"/>
      <c r="AH158" s="906"/>
      <c r="AI158" s="906"/>
      <c r="AJ158" s="906"/>
      <c r="AK158" s="906"/>
      <c r="AL158" s="906"/>
      <c r="AM158" s="906"/>
      <c r="AN158" s="906"/>
      <c r="AO158" s="906"/>
      <c r="AP158" s="906"/>
      <c r="AQ158" s="906"/>
      <c r="AR158" s="906"/>
      <c r="AS158" s="906"/>
      <c r="AT158" s="906"/>
      <c r="AU158" s="906"/>
      <c r="AV158" s="906"/>
      <c r="AW158" s="906"/>
      <c r="AX158" s="906"/>
      <c r="AY158" s="906"/>
      <c r="AZ158" s="906"/>
      <c r="BA158" s="906"/>
      <c r="BB158" s="906"/>
      <c r="BC158" s="906"/>
      <c r="BD158" s="906"/>
      <c r="BE158" s="906"/>
      <c r="BF158" s="906"/>
      <c r="BG158" s="906"/>
      <c r="BH158" s="906"/>
      <c r="BI158" s="906"/>
      <c r="BJ158" s="906"/>
      <c r="BK158" s="906"/>
      <c r="BL158" s="906"/>
      <c r="BM158" s="906"/>
      <c r="BN158" s="906"/>
      <c r="BO158" s="906"/>
      <c r="BP158" s="906"/>
      <c r="BQ158" s="906"/>
      <c r="BR158" s="906"/>
      <c r="BS158" s="906"/>
      <c r="BT158" s="906"/>
      <c r="BU158" s="906"/>
      <c r="BV158" s="906"/>
      <c r="BW158" s="906"/>
      <c r="BX158" s="906"/>
      <c r="BY158" s="906"/>
      <c r="BZ158" s="906"/>
      <c r="CA158" s="906"/>
      <c r="CB158" s="906"/>
      <c r="CC158" s="906"/>
      <c r="CD158" s="906"/>
      <c r="CE158" s="906"/>
      <c r="CF158" s="906"/>
      <c r="CG158" s="906"/>
      <c r="CH158" s="906"/>
      <c r="CI158" s="906"/>
      <c r="CJ158" s="906"/>
      <c r="CK158" s="906"/>
      <c r="CL158" s="906"/>
      <c r="CM158" s="906"/>
      <c r="CN158" s="906"/>
      <c r="CO158" s="906"/>
      <c r="CP158" s="906"/>
      <c r="CQ158" s="906"/>
      <c r="CR158" s="906"/>
      <c r="CS158" s="906"/>
      <c r="CT158" s="906"/>
      <c r="CU158" s="906"/>
      <c r="CV158" s="906"/>
      <c r="CW158" s="906"/>
      <c r="CX158" s="906"/>
      <c r="CY158" s="906"/>
      <c r="CZ158" s="906"/>
      <c r="DA158" s="906"/>
      <c r="DB158" s="906"/>
      <c r="DC158" s="906"/>
      <c r="DD158" s="906"/>
      <c r="DE158" s="906"/>
      <c r="DF158" s="906"/>
      <c r="DG158" s="906"/>
      <c r="DH158" s="906"/>
      <c r="DI158" s="906"/>
      <c r="DJ158" s="906"/>
      <c r="DK158" s="906"/>
      <c r="DL158" s="906"/>
      <c r="DM158" s="906"/>
      <c r="DN158" s="906"/>
      <c r="DO158" s="906"/>
      <c r="DP158" s="906"/>
      <c r="DQ158" s="906"/>
      <c r="DR158" s="906"/>
      <c r="DS158" s="906"/>
    </row>
    <row r="159" spans="1:123" s="854" customFormat="1" ht="16.5" customHeight="1">
      <c r="A159" s="891"/>
      <c r="B159" s="771"/>
      <c r="C159" s="769"/>
      <c r="D159" s="892"/>
      <c r="E159" s="893"/>
      <c r="F159" s="894"/>
      <c r="G159" s="771"/>
      <c r="H159" s="894"/>
      <c r="I159" s="895"/>
      <c r="J159" s="895"/>
      <c r="K159" s="893"/>
      <c r="L159" s="893"/>
      <c r="M159" s="893"/>
      <c r="N159" s="893"/>
      <c r="O159" s="893"/>
      <c r="P159" s="893"/>
      <c r="Q159" s="893"/>
      <c r="R159" s="906"/>
      <c r="S159" s="899"/>
      <c r="T159" s="906"/>
      <c r="U159" s="906"/>
      <c r="V159" s="906"/>
      <c r="W159" s="906"/>
      <c r="X159" s="906"/>
      <c r="Y159" s="906"/>
      <c r="Z159" s="906"/>
      <c r="AA159" s="906"/>
      <c r="AB159" s="906"/>
      <c r="AC159" s="906"/>
      <c r="AD159" s="906"/>
      <c r="AE159" s="906"/>
      <c r="AF159" s="906"/>
      <c r="AG159" s="906"/>
      <c r="AH159" s="906"/>
      <c r="AI159" s="906"/>
      <c r="AJ159" s="906"/>
      <c r="AK159" s="906"/>
      <c r="AL159" s="906"/>
      <c r="AM159" s="906"/>
      <c r="AN159" s="906"/>
      <c r="AO159" s="906"/>
      <c r="AP159" s="906"/>
      <c r="AQ159" s="906"/>
      <c r="AR159" s="906"/>
      <c r="AS159" s="906"/>
      <c r="AT159" s="906"/>
      <c r="AU159" s="906"/>
      <c r="AV159" s="906"/>
      <c r="AW159" s="906"/>
      <c r="AX159" s="906"/>
      <c r="AY159" s="906"/>
      <c r="AZ159" s="906"/>
      <c r="BA159" s="906"/>
      <c r="BB159" s="906"/>
      <c r="BC159" s="906"/>
      <c r="BD159" s="906"/>
      <c r="BE159" s="906"/>
      <c r="BF159" s="906"/>
      <c r="BG159" s="906"/>
      <c r="BH159" s="906"/>
      <c r="BI159" s="906"/>
      <c r="BJ159" s="906"/>
      <c r="BK159" s="906"/>
      <c r="BL159" s="906"/>
      <c r="BM159" s="906"/>
      <c r="BN159" s="906"/>
      <c r="BO159" s="906"/>
      <c r="BP159" s="906"/>
      <c r="BQ159" s="906"/>
      <c r="BR159" s="906"/>
      <c r="BS159" s="906"/>
      <c r="BT159" s="906"/>
      <c r="BU159" s="906"/>
      <c r="BV159" s="906"/>
      <c r="BW159" s="906"/>
      <c r="BX159" s="906"/>
      <c r="BY159" s="906"/>
      <c r="BZ159" s="906"/>
      <c r="CA159" s="906"/>
      <c r="CB159" s="906"/>
      <c r="CC159" s="906"/>
      <c r="CD159" s="906"/>
      <c r="CE159" s="906"/>
      <c r="CF159" s="906"/>
      <c r="CG159" s="906"/>
      <c r="CH159" s="906"/>
      <c r="CI159" s="906"/>
      <c r="CJ159" s="906"/>
      <c r="CK159" s="906"/>
      <c r="CL159" s="906"/>
      <c r="CM159" s="906"/>
      <c r="CN159" s="906"/>
      <c r="CO159" s="906"/>
      <c r="CP159" s="906"/>
      <c r="CQ159" s="906"/>
      <c r="CR159" s="906"/>
      <c r="CS159" s="906"/>
      <c r="CT159" s="906"/>
      <c r="CU159" s="906"/>
      <c r="CV159" s="906"/>
      <c r="CW159" s="906"/>
      <c r="CX159" s="906"/>
      <c r="CY159" s="906"/>
      <c r="CZ159" s="906"/>
      <c r="DA159" s="906"/>
      <c r="DB159" s="906"/>
      <c r="DC159" s="906"/>
      <c r="DD159" s="906"/>
      <c r="DE159" s="906"/>
      <c r="DF159" s="906"/>
      <c r="DG159" s="906"/>
      <c r="DH159" s="906"/>
      <c r="DI159" s="906"/>
      <c r="DJ159" s="906"/>
      <c r="DK159" s="906"/>
      <c r="DL159" s="906"/>
      <c r="DM159" s="906"/>
      <c r="DN159" s="906"/>
      <c r="DO159" s="906"/>
      <c r="DP159" s="906"/>
      <c r="DQ159" s="906"/>
      <c r="DR159" s="906"/>
      <c r="DS159" s="906"/>
    </row>
    <row r="160" spans="1:123" s="854" customFormat="1" ht="16.5" customHeight="1">
      <c r="A160" s="891"/>
      <c r="B160" s="771"/>
      <c r="C160" s="769"/>
      <c r="D160" s="892"/>
      <c r="E160" s="893"/>
      <c r="F160" s="894"/>
      <c r="G160" s="771"/>
      <c r="H160" s="894"/>
      <c r="I160" s="895"/>
      <c r="J160" s="895"/>
      <c r="K160" s="893"/>
      <c r="L160" s="893"/>
      <c r="M160" s="893"/>
      <c r="N160" s="893"/>
      <c r="O160" s="893"/>
      <c r="P160" s="893"/>
      <c r="Q160" s="893"/>
      <c r="R160" s="906"/>
      <c r="S160" s="899"/>
      <c r="T160" s="906"/>
      <c r="U160" s="906"/>
      <c r="V160" s="906"/>
      <c r="W160" s="906"/>
      <c r="X160" s="906"/>
      <c r="Y160" s="906"/>
      <c r="Z160" s="906"/>
      <c r="AA160" s="906"/>
      <c r="AB160" s="906"/>
      <c r="AC160" s="906"/>
      <c r="AD160" s="906"/>
      <c r="AE160" s="906"/>
      <c r="AF160" s="906"/>
      <c r="AG160" s="906"/>
      <c r="AH160" s="906"/>
      <c r="AI160" s="906"/>
      <c r="AJ160" s="906"/>
      <c r="AK160" s="906"/>
      <c r="AL160" s="906"/>
      <c r="AM160" s="906"/>
      <c r="AN160" s="906"/>
      <c r="AO160" s="906"/>
      <c r="AP160" s="906"/>
      <c r="AQ160" s="906"/>
      <c r="AR160" s="906"/>
      <c r="AS160" s="906"/>
      <c r="AT160" s="906"/>
      <c r="AU160" s="906"/>
      <c r="AV160" s="906"/>
      <c r="AW160" s="906"/>
      <c r="AX160" s="906"/>
      <c r="AY160" s="906"/>
      <c r="AZ160" s="906"/>
      <c r="BA160" s="906"/>
      <c r="BB160" s="906"/>
      <c r="BC160" s="906"/>
      <c r="BD160" s="906"/>
      <c r="BE160" s="906"/>
      <c r="BF160" s="906"/>
      <c r="BG160" s="906"/>
      <c r="BH160" s="906"/>
      <c r="BI160" s="906"/>
      <c r="BJ160" s="906"/>
      <c r="BK160" s="906"/>
      <c r="BL160" s="906"/>
      <c r="BM160" s="906"/>
      <c r="BN160" s="906"/>
      <c r="BO160" s="906"/>
      <c r="BP160" s="906"/>
      <c r="BQ160" s="906"/>
      <c r="BR160" s="906"/>
      <c r="BS160" s="906"/>
      <c r="BT160" s="906"/>
      <c r="BU160" s="906"/>
      <c r="BV160" s="906"/>
      <c r="BW160" s="906"/>
      <c r="BX160" s="906"/>
      <c r="BY160" s="906"/>
      <c r="BZ160" s="906"/>
      <c r="CA160" s="906"/>
      <c r="CB160" s="906"/>
      <c r="CC160" s="906"/>
      <c r="CD160" s="906"/>
      <c r="CE160" s="906"/>
      <c r="CF160" s="906"/>
      <c r="CG160" s="906"/>
      <c r="CH160" s="906"/>
      <c r="CI160" s="906"/>
      <c r="CJ160" s="906"/>
      <c r="CK160" s="906"/>
      <c r="CL160" s="906"/>
      <c r="CM160" s="906"/>
      <c r="CN160" s="906"/>
      <c r="CO160" s="906"/>
      <c r="CP160" s="906"/>
      <c r="CQ160" s="906"/>
      <c r="CR160" s="906"/>
      <c r="CS160" s="906"/>
      <c r="CT160" s="906"/>
      <c r="CU160" s="906"/>
      <c r="CV160" s="906"/>
      <c r="CW160" s="906"/>
      <c r="CX160" s="906"/>
      <c r="CY160" s="906"/>
      <c r="CZ160" s="906"/>
      <c r="DA160" s="906"/>
      <c r="DB160" s="906"/>
      <c r="DC160" s="906"/>
      <c r="DD160" s="906"/>
      <c r="DE160" s="906"/>
      <c r="DF160" s="906"/>
      <c r="DG160" s="906"/>
      <c r="DH160" s="906"/>
      <c r="DI160" s="906"/>
      <c r="DJ160" s="906"/>
      <c r="DK160" s="906"/>
      <c r="DL160" s="906"/>
      <c r="DM160" s="906"/>
      <c r="DN160" s="906"/>
      <c r="DO160" s="906"/>
      <c r="DP160" s="906"/>
      <c r="DQ160" s="906"/>
      <c r="DR160" s="906"/>
      <c r="DS160" s="906"/>
    </row>
    <row r="161" spans="1:123" s="854" customFormat="1" ht="16.5" customHeight="1">
      <c r="A161" s="891"/>
      <c r="B161" s="771"/>
      <c r="C161" s="769"/>
      <c r="D161" s="892"/>
      <c r="E161" s="893"/>
      <c r="F161" s="894"/>
      <c r="G161" s="771"/>
      <c r="H161" s="894"/>
      <c r="I161" s="895"/>
      <c r="J161" s="895"/>
      <c r="K161" s="893"/>
      <c r="L161" s="893"/>
      <c r="M161" s="893"/>
      <c r="N161" s="893"/>
      <c r="O161" s="893"/>
      <c r="P161" s="893"/>
      <c r="Q161" s="893"/>
      <c r="R161" s="906"/>
      <c r="S161" s="899"/>
      <c r="T161" s="906"/>
      <c r="U161" s="906"/>
      <c r="V161" s="906"/>
      <c r="W161" s="906"/>
      <c r="X161" s="906"/>
      <c r="Y161" s="906"/>
      <c r="Z161" s="906"/>
      <c r="AA161" s="906"/>
      <c r="AB161" s="906"/>
      <c r="AC161" s="906"/>
      <c r="AD161" s="906"/>
      <c r="AE161" s="906"/>
      <c r="AF161" s="906"/>
      <c r="AG161" s="906"/>
      <c r="AH161" s="906"/>
      <c r="AI161" s="906"/>
      <c r="AJ161" s="906"/>
      <c r="AK161" s="906"/>
      <c r="AL161" s="906"/>
      <c r="AM161" s="906"/>
      <c r="AN161" s="906"/>
      <c r="AO161" s="906"/>
      <c r="AP161" s="906"/>
      <c r="AQ161" s="906"/>
      <c r="AR161" s="906"/>
      <c r="AS161" s="906"/>
      <c r="AT161" s="906"/>
      <c r="AU161" s="906"/>
      <c r="AV161" s="906"/>
      <c r="AW161" s="906"/>
      <c r="AX161" s="906"/>
      <c r="AY161" s="906"/>
      <c r="AZ161" s="906"/>
      <c r="BA161" s="906"/>
      <c r="BB161" s="906"/>
      <c r="BC161" s="906"/>
      <c r="BD161" s="906"/>
      <c r="BE161" s="906"/>
      <c r="BF161" s="906"/>
      <c r="BG161" s="906"/>
      <c r="BH161" s="906"/>
      <c r="BI161" s="906"/>
      <c r="BJ161" s="906"/>
      <c r="BK161" s="906"/>
      <c r="BL161" s="906"/>
      <c r="BM161" s="906"/>
      <c r="BN161" s="906"/>
      <c r="BO161" s="906"/>
      <c r="BP161" s="906"/>
      <c r="BQ161" s="906"/>
      <c r="BR161" s="906"/>
      <c r="BS161" s="906"/>
      <c r="BT161" s="906"/>
      <c r="BU161" s="906"/>
      <c r="BV161" s="906"/>
      <c r="BW161" s="906"/>
      <c r="BX161" s="906"/>
      <c r="BY161" s="906"/>
      <c r="BZ161" s="906"/>
      <c r="CA161" s="906"/>
      <c r="CB161" s="906"/>
      <c r="CC161" s="906"/>
      <c r="CD161" s="906"/>
      <c r="CE161" s="906"/>
      <c r="CF161" s="906"/>
      <c r="CG161" s="906"/>
      <c r="CH161" s="906"/>
      <c r="CI161" s="906"/>
      <c r="CJ161" s="906"/>
      <c r="CK161" s="906"/>
      <c r="CL161" s="906"/>
      <c r="CM161" s="906"/>
      <c r="CN161" s="906"/>
      <c r="CO161" s="906"/>
      <c r="CP161" s="906"/>
      <c r="CQ161" s="906"/>
      <c r="CR161" s="906"/>
      <c r="CS161" s="906"/>
      <c r="CT161" s="906"/>
      <c r="CU161" s="906"/>
      <c r="CV161" s="906"/>
      <c r="CW161" s="906"/>
      <c r="CX161" s="906"/>
      <c r="CY161" s="906"/>
      <c r="CZ161" s="906"/>
      <c r="DA161" s="906"/>
      <c r="DB161" s="906"/>
      <c r="DC161" s="906"/>
      <c r="DD161" s="906"/>
      <c r="DE161" s="906"/>
      <c r="DF161" s="906"/>
      <c r="DG161" s="906"/>
      <c r="DH161" s="906"/>
      <c r="DI161" s="906"/>
      <c r="DJ161" s="906"/>
      <c r="DK161" s="906"/>
      <c r="DL161" s="906"/>
      <c r="DM161" s="906"/>
      <c r="DN161" s="906"/>
      <c r="DO161" s="906"/>
      <c r="DP161" s="906"/>
      <c r="DQ161" s="906"/>
      <c r="DR161" s="906"/>
      <c r="DS161" s="906"/>
    </row>
    <row r="162" spans="1:123" s="854" customFormat="1" ht="16.5" customHeight="1">
      <c r="A162" s="891"/>
      <c r="B162" s="771"/>
      <c r="C162" s="769"/>
      <c r="D162" s="892"/>
      <c r="E162" s="893"/>
      <c r="F162" s="894"/>
      <c r="G162" s="771"/>
      <c r="H162" s="894"/>
      <c r="I162" s="895"/>
      <c r="J162" s="895"/>
      <c r="K162" s="893"/>
      <c r="L162" s="893"/>
      <c r="M162" s="893"/>
      <c r="N162" s="893"/>
      <c r="O162" s="893"/>
      <c r="P162" s="893"/>
      <c r="Q162" s="893"/>
      <c r="R162" s="906"/>
      <c r="S162" s="899"/>
      <c r="T162" s="906"/>
      <c r="U162" s="906"/>
      <c r="V162" s="906"/>
      <c r="W162" s="906"/>
      <c r="X162" s="906"/>
      <c r="Y162" s="906"/>
      <c r="Z162" s="906"/>
      <c r="AA162" s="906"/>
      <c r="AB162" s="906"/>
      <c r="AC162" s="906"/>
      <c r="AD162" s="906"/>
      <c r="AE162" s="906"/>
      <c r="AF162" s="906"/>
      <c r="AG162" s="906"/>
      <c r="AH162" s="906"/>
      <c r="AI162" s="906"/>
      <c r="AJ162" s="906"/>
      <c r="AK162" s="906"/>
      <c r="AL162" s="906"/>
      <c r="AM162" s="906"/>
      <c r="AN162" s="906"/>
      <c r="AO162" s="906"/>
      <c r="AP162" s="906"/>
      <c r="AQ162" s="906"/>
      <c r="AR162" s="906"/>
      <c r="AS162" s="906"/>
      <c r="AT162" s="906"/>
      <c r="AU162" s="906"/>
      <c r="AV162" s="906"/>
      <c r="AW162" s="906"/>
      <c r="AX162" s="906"/>
      <c r="AY162" s="906"/>
      <c r="AZ162" s="906"/>
      <c r="BA162" s="906"/>
      <c r="BB162" s="906"/>
      <c r="BC162" s="906"/>
      <c r="BD162" s="906"/>
      <c r="BE162" s="906"/>
      <c r="BF162" s="906"/>
      <c r="BG162" s="906"/>
      <c r="BH162" s="906"/>
      <c r="BI162" s="906"/>
      <c r="BJ162" s="906"/>
      <c r="BK162" s="906"/>
      <c r="BL162" s="906"/>
      <c r="BM162" s="906"/>
      <c r="BN162" s="906"/>
      <c r="BO162" s="906"/>
      <c r="BP162" s="906"/>
      <c r="BQ162" s="906"/>
      <c r="BR162" s="906"/>
      <c r="BS162" s="906"/>
      <c r="BT162" s="906"/>
      <c r="BU162" s="906"/>
      <c r="BV162" s="906"/>
      <c r="BW162" s="906"/>
      <c r="BX162" s="906"/>
      <c r="BY162" s="906"/>
      <c r="BZ162" s="906"/>
      <c r="CA162" s="906"/>
      <c r="CB162" s="906"/>
      <c r="CC162" s="906"/>
      <c r="CD162" s="906"/>
      <c r="CE162" s="906"/>
      <c r="CF162" s="906"/>
      <c r="CG162" s="906"/>
      <c r="CH162" s="906"/>
      <c r="CI162" s="906"/>
      <c r="CJ162" s="906"/>
      <c r="CK162" s="906"/>
      <c r="CL162" s="906"/>
      <c r="CM162" s="906"/>
      <c r="CN162" s="906"/>
      <c r="CO162" s="906"/>
      <c r="CP162" s="906"/>
      <c r="CQ162" s="906"/>
      <c r="CR162" s="906"/>
      <c r="CS162" s="906"/>
      <c r="CT162" s="906"/>
      <c r="CU162" s="906"/>
      <c r="CV162" s="906"/>
      <c r="CW162" s="906"/>
      <c r="CX162" s="906"/>
      <c r="CY162" s="906"/>
      <c r="CZ162" s="906"/>
      <c r="DA162" s="906"/>
      <c r="DB162" s="906"/>
      <c r="DC162" s="906"/>
      <c r="DD162" s="906"/>
      <c r="DE162" s="906"/>
      <c r="DF162" s="906"/>
      <c r="DG162" s="906"/>
      <c r="DH162" s="906"/>
      <c r="DI162" s="906"/>
      <c r="DJ162" s="906"/>
      <c r="DK162" s="906"/>
      <c r="DL162" s="906"/>
      <c r="DM162" s="906"/>
      <c r="DN162" s="906"/>
      <c r="DO162" s="906"/>
      <c r="DP162" s="906"/>
      <c r="DQ162" s="906"/>
      <c r="DR162" s="906"/>
      <c r="DS162" s="906"/>
    </row>
    <row r="163" spans="1:123" s="854" customFormat="1" ht="16.5" customHeight="1">
      <c r="A163" s="891"/>
      <c r="B163" s="771"/>
      <c r="C163" s="769"/>
      <c r="D163" s="892"/>
      <c r="E163" s="893"/>
      <c r="F163" s="894"/>
      <c r="G163" s="771"/>
      <c r="H163" s="894"/>
      <c r="I163" s="895"/>
      <c r="J163" s="895"/>
      <c r="K163" s="893"/>
      <c r="L163" s="893"/>
      <c r="M163" s="893"/>
      <c r="N163" s="893"/>
      <c r="O163" s="893"/>
      <c r="P163" s="893"/>
      <c r="Q163" s="893"/>
      <c r="R163" s="906"/>
      <c r="S163" s="899"/>
      <c r="T163" s="906"/>
      <c r="U163" s="906"/>
      <c r="V163" s="906"/>
      <c r="W163" s="906"/>
      <c r="X163" s="906"/>
      <c r="Y163" s="906"/>
      <c r="Z163" s="906"/>
      <c r="AA163" s="906"/>
      <c r="AB163" s="906"/>
      <c r="AC163" s="906"/>
      <c r="AD163" s="906"/>
      <c r="AE163" s="906"/>
      <c r="AF163" s="906"/>
      <c r="AG163" s="906"/>
      <c r="AH163" s="906"/>
      <c r="AI163" s="906"/>
      <c r="AJ163" s="906"/>
      <c r="AK163" s="906"/>
      <c r="AL163" s="906"/>
      <c r="AM163" s="906"/>
      <c r="AN163" s="906"/>
      <c r="AO163" s="906"/>
      <c r="AP163" s="906"/>
      <c r="AQ163" s="906"/>
      <c r="AR163" s="906"/>
      <c r="AS163" s="906"/>
      <c r="AT163" s="906"/>
      <c r="AU163" s="906"/>
      <c r="AV163" s="906"/>
      <c r="AW163" s="906"/>
      <c r="AX163" s="906"/>
      <c r="AY163" s="906"/>
      <c r="AZ163" s="906"/>
      <c r="BA163" s="906"/>
      <c r="BB163" s="906"/>
      <c r="BC163" s="906"/>
      <c r="BD163" s="906"/>
      <c r="BE163" s="906"/>
      <c r="BF163" s="906"/>
      <c r="BG163" s="906"/>
      <c r="BH163" s="906"/>
      <c r="BI163" s="906"/>
      <c r="BJ163" s="906"/>
      <c r="BK163" s="906"/>
      <c r="BL163" s="906"/>
      <c r="BM163" s="906"/>
      <c r="BN163" s="906"/>
      <c r="BO163" s="906"/>
      <c r="BP163" s="906"/>
      <c r="BQ163" s="906"/>
      <c r="BR163" s="906"/>
      <c r="BS163" s="906"/>
      <c r="BT163" s="906"/>
      <c r="BU163" s="906"/>
      <c r="BV163" s="906"/>
      <c r="BW163" s="906"/>
      <c r="BX163" s="906"/>
      <c r="BY163" s="906"/>
      <c r="BZ163" s="906"/>
      <c r="CA163" s="906"/>
      <c r="CB163" s="906"/>
      <c r="CC163" s="906"/>
      <c r="CD163" s="906"/>
      <c r="CE163" s="906"/>
      <c r="CF163" s="906"/>
      <c r="CG163" s="906"/>
      <c r="CH163" s="906"/>
      <c r="CI163" s="906"/>
      <c r="CJ163" s="906"/>
      <c r="CK163" s="906"/>
      <c r="CL163" s="906"/>
      <c r="CM163" s="906"/>
      <c r="CN163" s="906"/>
      <c r="CO163" s="906"/>
      <c r="CP163" s="906"/>
      <c r="CQ163" s="906"/>
      <c r="CR163" s="906"/>
      <c r="CS163" s="906"/>
      <c r="CT163" s="906"/>
      <c r="CU163" s="906"/>
      <c r="CV163" s="906"/>
      <c r="CW163" s="906"/>
      <c r="CX163" s="906"/>
      <c r="CY163" s="906"/>
      <c r="CZ163" s="906"/>
      <c r="DA163" s="906"/>
      <c r="DB163" s="906"/>
      <c r="DC163" s="906"/>
      <c r="DD163" s="906"/>
      <c r="DE163" s="906"/>
      <c r="DF163" s="906"/>
      <c r="DG163" s="906"/>
      <c r="DH163" s="906"/>
      <c r="DI163" s="906"/>
      <c r="DJ163" s="906"/>
      <c r="DK163" s="906"/>
      <c r="DL163" s="906"/>
      <c r="DM163" s="906"/>
      <c r="DN163" s="906"/>
      <c r="DO163" s="906"/>
      <c r="DP163" s="906"/>
      <c r="DQ163" s="906"/>
      <c r="DR163" s="906"/>
      <c r="DS163" s="906"/>
    </row>
    <row r="164" spans="1:123" s="854" customFormat="1" ht="16.5" customHeight="1">
      <c r="A164" s="891"/>
      <c r="B164" s="771"/>
      <c r="C164" s="769"/>
      <c r="D164" s="892"/>
      <c r="E164" s="893"/>
      <c r="F164" s="894"/>
      <c r="G164" s="771"/>
      <c r="H164" s="894"/>
      <c r="I164" s="895"/>
      <c r="J164" s="895"/>
      <c r="K164" s="893"/>
      <c r="L164" s="893"/>
      <c r="M164" s="893"/>
      <c r="N164" s="893"/>
      <c r="O164" s="893"/>
      <c r="P164" s="893"/>
      <c r="Q164" s="893"/>
      <c r="R164" s="906"/>
      <c r="S164" s="899"/>
      <c r="T164" s="906"/>
      <c r="U164" s="906"/>
      <c r="V164" s="906"/>
      <c r="W164" s="906"/>
      <c r="X164" s="906"/>
      <c r="Y164" s="906"/>
      <c r="Z164" s="906"/>
      <c r="AA164" s="906"/>
      <c r="AB164" s="906"/>
      <c r="AC164" s="906"/>
      <c r="AD164" s="906"/>
      <c r="AE164" s="906"/>
      <c r="AF164" s="906"/>
      <c r="AG164" s="906"/>
      <c r="AH164" s="906"/>
      <c r="AI164" s="906"/>
      <c r="AJ164" s="906"/>
      <c r="AK164" s="906"/>
      <c r="AL164" s="906"/>
      <c r="AM164" s="906"/>
      <c r="AN164" s="906"/>
      <c r="AO164" s="906"/>
      <c r="AP164" s="906"/>
      <c r="AQ164" s="906"/>
      <c r="AR164" s="906"/>
      <c r="AS164" s="906"/>
      <c r="AT164" s="906"/>
      <c r="AU164" s="906"/>
      <c r="AV164" s="906"/>
      <c r="AW164" s="906"/>
      <c r="AX164" s="906"/>
      <c r="AY164" s="906"/>
      <c r="AZ164" s="906"/>
      <c r="BA164" s="906"/>
      <c r="BB164" s="906"/>
      <c r="BC164" s="906"/>
      <c r="BD164" s="906"/>
      <c r="BE164" s="906"/>
      <c r="BF164" s="906"/>
      <c r="BG164" s="906"/>
      <c r="BH164" s="906"/>
      <c r="BI164" s="906"/>
      <c r="BJ164" s="906"/>
      <c r="BK164" s="906"/>
      <c r="BL164" s="906"/>
      <c r="BM164" s="906"/>
      <c r="BN164" s="906"/>
      <c r="BO164" s="906"/>
      <c r="BP164" s="906"/>
      <c r="BQ164" s="906"/>
      <c r="BR164" s="906"/>
      <c r="BS164" s="906"/>
      <c r="BT164" s="906"/>
      <c r="BU164" s="906"/>
      <c r="BV164" s="906"/>
      <c r="BW164" s="906"/>
      <c r="BX164" s="906"/>
      <c r="BY164" s="906"/>
      <c r="BZ164" s="906"/>
      <c r="CA164" s="906"/>
      <c r="CB164" s="906"/>
      <c r="CC164" s="906"/>
      <c r="CD164" s="906"/>
      <c r="CE164" s="906"/>
      <c r="CF164" s="906"/>
      <c r="CG164" s="906"/>
      <c r="CH164" s="906"/>
      <c r="CI164" s="906"/>
      <c r="CJ164" s="906"/>
      <c r="CK164" s="906"/>
      <c r="CL164" s="906"/>
      <c r="CM164" s="906"/>
      <c r="CN164" s="906"/>
      <c r="CO164" s="906"/>
      <c r="CP164" s="906"/>
      <c r="CQ164" s="906"/>
      <c r="CR164" s="906"/>
      <c r="CS164" s="906"/>
      <c r="CT164" s="906"/>
      <c r="CU164" s="906"/>
      <c r="CV164" s="906"/>
      <c r="CW164" s="906"/>
      <c r="CX164" s="906"/>
      <c r="CY164" s="906"/>
      <c r="CZ164" s="906"/>
      <c r="DA164" s="906"/>
      <c r="DB164" s="906"/>
      <c r="DC164" s="906"/>
      <c r="DD164" s="906"/>
      <c r="DE164" s="906"/>
      <c r="DF164" s="906"/>
      <c r="DG164" s="906"/>
      <c r="DH164" s="906"/>
      <c r="DI164" s="906"/>
      <c r="DJ164" s="906"/>
      <c r="DK164" s="906"/>
      <c r="DL164" s="906"/>
      <c r="DM164" s="906"/>
      <c r="DN164" s="906"/>
      <c r="DO164" s="906"/>
      <c r="DP164" s="906"/>
      <c r="DQ164" s="906"/>
      <c r="DR164" s="906"/>
      <c r="DS164" s="906"/>
    </row>
    <row r="165" spans="1:123" s="854" customFormat="1" ht="16.5" customHeight="1">
      <c r="A165" s="891"/>
      <c r="B165" s="771"/>
      <c r="C165" s="769"/>
      <c r="D165" s="892"/>
      <c r="E165" s="893"/>
      <c r="F165" s="894"/>
      <c r="G165" s="771"/>
      <c r="H165" s="894"/>
      <c r="I165" s="895"/>
      <c r="J165" s="895"/>
      <c r="K165" s="893"/>
      <c r="L165" s="893"/>
      <c r="M165" s="893"/>
      <c r="N165" s="893"/>
      <c r="O165" s="893"/>
      <c r="P165" s="893"/>
      <c r="Q165" s="893"/>
      <c r="R165" s="906"/>
      <c r="S165" s="899"/>
      <c r="T165" s="906"/>
      <c r="U165" s="906"/>
      <c r="V165" s="906"/>
      <c r="W165" s="906"/>
      <c r="X165" s="906"/>
      <c r="Y165" s="906"/>
      <c r="Z165" s="906"/>
      <c r="AA165" s="906"/>
      <c r="AB165" s="906"/>
      <c r="AC165" s="906"/>
      <c r="AD165" s="906"/>
      <c r="AE165" s="906"/>
      <c r="AF165" s="906"/>
      <c r="AG165" s="906"/>
      <c r="AH165" s="906"/>
      <c r="AI165" s="906"/>
      <c r="AJ165" s="906"/>
      <c r="AK165" s="906"/>
      <c r="AL165" s="906"/>
      <c r="AM165" s="906"/>
      <c r="AN165" s="906"/>
      <c r="AO165" s="906"/>
      <c r="AP165" s="906"/>
      <c r="AQ165" s="906"/>
      <c r="AR165" s="906"/>
      <c r="AS165" s="906"/>
      <c r="AT165" s="906"/>
      <c r="AU165" s="906"/>
      <c r="AV165" s="906"/>
      <c r="AW165" s="906"/>
      <c r="AX165" s="906"/>
      <c r="AY165" s="906"/>
      <c r="AZ165" s="906"/>
      <c r="BA165" s="906"/>
      <c r="BB165" s="906"/>
      <c r="BC165" s="906"/>
      <c r="BD165" s="906"/>
      <c r="BE165" s="906"/>
      <c r="BF165" s="906"/>
      <c r="BG165" s="906"/>
      <c r="BH165" s="906"/>
      <c r="BI165" s="906"/>
      <c r="BJ165" s="906"/>
      <c r="BK165" s="906"/>
      <c r="BL165" s="906"/>
      <c r="BM165" s="906"/>
      <c r="BN165" s="906"/>
      <c r="BO165" s="906"/>
      <c r="BP165" s="906"/>
      <c r="BQ165" s="906"/>
      <c r="BR165" s="906"/>
      <c r="BS165" s="906"/>
      <c r="BT165" s="906"/>
      <c r="BU165" s="906"/>
      <c r="BV165" s="906"/>
      <c r="BW165" s="906"/>
      <c r="BX165" s="906"/>
      <c r="BY165" s="906"/>
      <c r="BZ165" s="906"/>
      <c r="CA165" s="906"/>
      <c r="CB165" s="906"/>
      <c r="CC165" s="906"/>
      <c r="CD165" s="906"/>
      <c r="CE165" s="906"/>
      <c r="CF165" s="906"/>
      <c r="CG165" s="906"/>
      <c r="CH165" s="906"/>
      <c r="CI165" s="906"/>
      <c r="CJ165" s="906"/>
      <c r="CK165" s="906"/>
      <c r="CL165" s="906"/>
      <c r="CM165" s="906"/>
      <c r="CN165" s="906"/>
      <c r="CO165" s="906"/>
      <c r="CP165" s="906"/>
      <c r="CQ165" s="906"/>
      <c r="CR165" s="906"/>
      <c r="CS165" s="906"/>
      <c r="CT165" s="906"/>
      <c r="CU165" s="906"/>
      <c r="CV165" s="906"/>
      <c r="CW165" s="906"/>
      <c r="CX165" s="906"/>
      <c r="CY165" s="906"/>
      <c r="CZ165" s="906"/>
      <c r="DA165" s="906"/>
      <c r="DB165" s="906"/>
      <c r="DC165" s="906"/>
      <c r="DD165" s="906"/>
      <c r="DE165" s="906"/>
      <c r="DF165" s="906"/>
      <c r="DG165" s="906"/>
      <c r="DH165" s="906"/>
      <c r="DI165" s="906"/>
      <c r="DJ165" s="906"/>
      <c r="DK165" s="906"/>
      <c r="DL165" s="906"/>
      <c r="DM165" s="906"/>
      <c r="DN165" s="906"/>
      <c r="DO165" s="906"/>
      <c r="DP165" s="906"/>
      <c r="DQ165" s="906"/>
      <c r="DR165" s="906"/>
      <c r="DS165" s="906"/>
    </row>
    <row r="166" spans="1:123" s="854" customFormat="1" ht="16.5" customHeight="1">
      <c r="A166" s="891"/>
      <c r="B166" s="771"/>
      <c r="C166" s="769"/>
      <c r="D166" s="892"/>
      <c r="E166" s="893"/>
      <c r="F166" s="894"/>
      <c r="G166" s="771"/>
      <c r="H166" s="894"/>
      <c r="I166" s="895"/>
      <c r="J166" s="895"/>
      <c r="K166" s="893"/>
      <c r="L166" s="893"/>
      <c r="M166" s="893"/>
      <c r="N166" s="893"/>
      <c r="O166" s="893"/>
      <c r="P166" s="893"/>
      <c r="Q166" s="893"/>
      <c r="R166" s="906"/>
      <c r="S166" s="899"/>
      <c r="T166" s="906"/>
      <c r="U166" s="906"/>
      <c r="V166" s="906"/>
      <c r="W166" s="906"/>
      <c r="X166" s="906"/>
      <c r="Y166" s="906"/>
      <c r="Z166" s="906"/>
      <c r="AA166" s="906"/>
      <c r="AB166" s="906"/>
      <c r="AC166" s="906"/>
      <c r="AD166" s="906"/>
      <c r="AE166" s="906"/>
      <c r="AF166" s="906"/>
      <c r="AG166" s="906"/>
      <c r="AH166" s="906"/>
      <c r="AI166" s="906"/>
      <c r="AJ166" s="906"/>
      <c r="AK166" s="906"/>
      <c r="AL166" s="906"/>
      <c r="AM166" s="906"/>
      <c r="AN166" s="906"/>
      <c r="AO166" s="906"/>
      <c r="AP166" s="906"/>
      <c r="AQ166" s="906"/>
      <c r="AR166" s="906"/>
      <c r="AS166" s="906"/>
      <c r="AT166" s="906"/>
      <c r="AU166" s="906"/>
      <c r="AV166" s="906"/>
      <c r="AW166" s="906"/>
      <c r="AX166" s="906"/>
      <c r="AY166" s="906"/>
      <c r="AZ166" s="906"/>
      <c r="BA166" s="906"/>
      <c r="BB166" s="906"/>
      <c r="BC166" s="906"/>
      <c r="BD166" s="906"/>
      <c r="BE166" s="906"/>
      <c r="BF166" s="906"/>
      <c r="BG166" s="906"/>
      <c r="BH166" s="906"/>
      <c r="BI166" s="906"/>
      <c r="BJ166" s="906"/>
      <c r="BK166" s="906"/>
      <c r="BL166" s="906"/>
      <c r="BM166" s="906"/>
      <c r="BN166" s="906"/>
      <c r="BO166" s="906"/>
      <c r="BP166" s="906"/>
      <c r="BQ166" s="906"/>
      <c r="BR166" s="906"/>
      <c r="BS166" s="906"/>
      <c r="BT166" s="906"/>
      <c r="BU166" s="906"/>
      <c r="BV166" s="906"/>
      <c r="BW166" s="906"/>
      <c r="BX166" s="906"/>
      <c r="BY166" s="906"/>
      <c r="BZ166" s="906"/>
      <c r="CA166" s="906"/>
      <c r="CB166" s="906"/>
      <c r="CC166" s="906"/>
      <c r="CD166" s="906"/>
      <c r="CE166" s="906"/>
      <c r="CF166" s="906"/>
      <c r="CG166" s="906"/>
      <c r="CH166" s="906"/>
      <c r="CI166" s="906"/>
      <c r="CJ166" s="906"/>
      <c r="CK166" s="906"/>
      <c r="CL166" s="906"/>
      <c r="CM166" s="906"/>
      <c r="CN166" s="906"/>
      <c r="CO166" s="906"/>
      <c r="CP166" s="906"/>
      <c r="CQ166" s="906"/>
      <c r="CR166" s="906"/>
      <c r="CS166" s="906"/>
      <c r="CT166" s="906"/>
      <c r="CU166" s="906"/>
      <c r="CV166" s="906"/>
      <c r="CW166" s="906"/>
      <c r="CX166" s="906"/>
      <c r="CY166" s="906"/>
      <c r="CZ166" s="906"/>
      <c r="DA166" s="906"/>
      <c r="DB166" s="906"/>
      <c r="DC166" s="906"/>
      <c r="DD166" s="906"/>
      <c r="DE166" s="906"/>
      <c r="DF166" s="906"/>
      <c r="DG166" s="906"/>
      <c r="DH166" s="906"/>
      <c r="DI166" s="906"/>
      <c r="DJ166" s="906"/>
      <c r="DK166" s="906"/>
      <c r="DL166" s="906"/>
      <c r="DM166" s="906"/>
      <c r="DN166" s="906"/>
      <c r="DO166" s="906"/>
      <c r="DP166" s="906"/>
      <c r="DQ166" s="906"/>
      <c r="DR166" s="906"/>
      <c r="DS166" s="906"/>
    </row>
    <row r="167" spans="1:123" s="854" customFormat="1" ht="16.5" customHeight="1">
      <c r="A167" s="891"/>
      <c r="B167" s="771"/>
      <c r="C167" s="769"/>
      <c r="D167" s="892"/>
      <c r="E167" s="893"/>
      <c r="F167" s="894"/>
      <c r="G167" s="771"/>
      <c r="H167" s="894"/>
      <c r="I167" s="895"/>
      <c r="J167" s="895"/>
      <c r="K167" s="893"/>
      <c r="L167" s="893"/>
      <c r="M167" s="893"/>
      <c r="N167" s="893"/>
      <c r="O167" s="893"/>
      <c r="P167" s="893"/>
      <c r="Q167" s="893"/>
      <c r="R167" s="906"/>
      <c r="S167" s="899"/>
      <c r="T167" s="906"/>
      <c r="U167" s="906"/>
      <c r="V167" s="906"/>
      <c r="W167" s="906"/>
      <c r="X167" s="906"/>
      <c r="Y167" s="906"/>
      <c r="Z167" s="906"/>
      <c r="AA167" s="906"/>
      <c r="AB167" s="906"/>
      <c r="AC167" s="906"/>
      <c r="AD167" s="906"/>
      <c r="AE167" s="906"/>
      <c r="AF167" s="906"/>
      <c r="AG167" s="906"/>
      <c r="AH167" s="906"/>
      <c r="AI167" s="906"/>
      <c r="AJ167" s="906"/>
      <c r="AK167" s="906"/>
      <c r="AL167" s="906"/>
      <c r="AM167" s="906"/>
      <c r="AN167" s="906"/>
      <c r="AO167" s="906"/>
      <c r="AP167" s="906"/>
      <c r="AQ167" s="906"/>
      <c r="AR167" s="906"/>
      <c r="AS167" s="906"/>
      <c r="AT167" s="906"/>
      <c r="AU167" s="906"/>
      <c r="AV167" s="906"/>
      <c r="AW167" s="906"/>
      <c r="AX167" s="906"/>
      <c r="AY167" s="906"/>
      <c r="AZ167" s="906"/>
      <c r="BA167" s="906"/>
      <c r="BB167" s="906"/>
      <c r="BC167" s="906"/>
      <c r="BD167" s="906"/>
      <c r="BE167" s="906"/>
      <c r="BF167" s="906"/>
      <c r="BG167" s="906"/>
      <c r="BH167" s="906"/>
      <c r="BI167" s="906"/>
      <c r="BJ167" s="906"/>
      <c r="BK167" s="906"/>
      <c r="BL167" s="906"/>
      <c r="BM167" s="906"/>
      <c r="BN167" s="906"/>
      <c r="BO167" s="906"/>
      <c r="BP167" s="906"/>
      <c r="BQ167" s="906"/>
      <c r="BR167" s="906"/>
      <c r="BS167" s="906"/>
      <c r="BT167" s="906"/>
      <c r="BU167" s="906"/>
      <c r="BV167" s="906"/>
      <c r="BW167" s="906"/>
      <c r="BX167" s="906"/>
      <c r="BY167" s="906"/>
      <c r="BZ167" s="906"/>
      <c r="CA167" s="906"/>
      <c r="CB167" s="906"/>
      <c r="CC167" s="906"/>
      <c r="CD167" s="906"/>
      <c r="CE167" s="906"/>
      <c r="CF167" s="906"/>
      <c r="CG167" s="906"/>
      <c r="CH167" s="906"/>
      <c r="CI167" s="906"/>
      <c r="CJ167" s="906"/>
      <c r="CK167" s="906"/>
      <c r="CL167" s="906"/>
      <c r="CM167" s="906"/>
      <c r="CN167" s="906"/>
      <c r="CO167" s="906"/>
      <c r="CP167" s="906"/>
      <c r="CQ167" s="906"/>
      <c r="CR167" s="906"/>
      <c r="CS167" s="906"/>
      <c r="CT167" s="906"/>
      <c r="CU167" s="906"/>
      <c r="CV167" s="906"/>
      <c r="CW167" s="906"/>
      <c r="CX167" s="906"/>
      <c r="CY167" s="906"/>
      <c r="CZ167" s="906"/>
      <c r="DA167" s="906"/>
      <c r="DB167" s="906"/>
      <c r="DC167" s="906"/>
      <c r="DD167" s="906"/>
      <c r="DE167" s="906"/>
      <c r="DF167" s="906"/>
      <c r="DG167" s="906"/>
      <c r="DH167" s="906"/>
      <c r="DI167" s="906"/>
      <c r="DJ167" s="906"/>
      <c r="DK167" s="906"/>
      <c r="DL167" s="906"/>
      <c r="DM167" s="906"/>
      <c r="DN167" s="906"/>
      <c r="DO167" s="906"/>
      <c r="DP167" s="906"/>
      <c r="DQ167" s="906"/>
      <c r="DR167" s="906"/>
      <c r="DS167" s="906"/>
    </row>
    <row r="168" spans="1:123" s="854" customFormat="1" ht="16.5" customHeight="1">
      <c r="A168" s="891"/>
      <c r="B168" s="771"/>
      <c r="C168" s="769"/>
      <c r="D168" s="892"/>
      <c r="E168" s="893"/>
      <c r="F168" s="894"/>
      <c r="G168" s="771"/>
      <c r="H168" s="894"/>
      <c r="I168" s="895"/>
      <c r="J168" s="895"/>
      <c r="K168" s="893"/>
      <c r="L168" s="893"/>
      <c r="M168" s="893"/>
      <c r="N168" s="893"/>
      <c r="O168" s="893"/>
      <c r="P168" s="893"/>
      <c r="Q168" s="893"/>
      <c r="R168" s="906"/>
      <c r="S168" s="899"/>
      <c r="T168" s="906"/>
      <c r="U168" s="906"/>
      <c r="V168" s="906"/>
      <c r="W168" s="906"/>
      <c r="X168" s="906"/>
      <c r="Y168" s="906"/>
      <c r="Z168" s="906"/>
      <c r="AA168" s="906"/>
      <c r="AB168" s="906"/>
      <c r="AC168" s="906"/>
      <c r="AD168" s="906"/>
      <c r="AE168" s="906"/>
      <c r="AF168" s="906"/>
      <c r="AG168" s="906"/>
      <c r="AH168" s="906"/>
      <c r="AI168" s="906"/>
      <c r="AJ168" s="906"/>
      <c r="AK168" s="906"/>
      <c r="AL168" s="906"/>
      <c r="AM168" s="906"/>
      <c r="AN168" s="906"/>
      <c r="AO168" s="906"/>
      <c r="AP168" s="906"/>
      <c r="AQ168" s="906"/>
      <c r="AR168" s="906"/>
      <c r="AS168" s="906"/>
      <c r="AT168" s="906"/>
      <c r="AU168" s="906"/>
      <c r="AV168" s="906"/>
      <c r="AW168" s="906"/>
      <c r="AX168" s="906"/>
      <c r="AY168" s="906"/>
      <c r="AZ168" s="906"/>
      <c r="BA168" s="906"/>
      <c r="BB168" s="906"/>
      <c r="BC168" s="906"/>
      <c r="BD168" s="906"/>
      <c r="BE168" s="906"/>
      <c r="BF168" s="906"/>
      <c r="BG168" s="906"/>
      <c r="BH168" s="906"/>
      <c r="BI168" s="906"/>
      <c r="BJ168" s="906"/>
      <c r="BK168" s="906"/>
      <c r="BL168" s="906"/>
      <c r="BM168" s="906"/>
      <c r="BN168" s="906"/>
      <c r="BO168" s="906"/>
      <c r="BP168" s="906"/>
      <c r="BQ168" s="906"/>
      <c r="BR168" s="906"/>
      <c r="BS168" s="906"/>
      <c r="BT168" s="906"/>
      <c r="BU168" s="906"/>
      <c r="BV168" s="906"/>
      <c r="BW168" s="906"/>
      <c r="BX168" s="906"/>
      <c r="BY168" s="906"/>
      <c r="BZ168" s="906"/>
      <c r="CA168" s="906"/>
      <c r="CB168" s="906"/>
      <c r="CC168" s="906"/>
      <c r="CD168" s="906"/>
      <c r="CE168" s="906"/>
      <c r="CF168" s="906"/>
      <c r="CG168" s="906"/>
      <c r="CH168" s="906"/>
      <c r="CI168" s="906"/>
      <c r="CJ168" s="906"/>
      <c r="CK168" s="906"/>
      <c r="CL168" s="906"/>
      <c r="CM168" s="906"/>
      <c r="CN168" s="906"/>
      <c r="CO168" s="906"/>
      <c r="CP168" s="906"/>
      <c r="CQ168" s="906"/>
      <c r="CR168" s="906"/>
      <c r="CS168" s="906"/>
      <c r="CT168" s="906"/>
      <c r="CU168" s="906"/>
      <c r="CV168" s="906"/>
      <c r="CW168" s="906"/>
      <c r="CX168" s="906"/>
      <c r="CY168" s="906"/>
      <c r="CZ168" s="906"/>
      <c r="DA168" s="906"/>
      <c r="DB168" s="906"/>
      <c r="DC168" s="906"/>
      <c r="DD168" s="906"/>
      <c r="DE168" s="906"/>
      <c r="DF168" s="906"/>
      <c r="DG168" s="906"/>
      <c r="DH168" s="906"/>
      <c r="DI168" s="906"/>
      <c r="DJ168" s="906"/>
      <c r="DK168" s="906"/>
      <c r="DL168" s="906"/>
      <c r="DM168" s="906"/>
      <c r="DN168" s="906"/>
      <c r="DO168" s="906"/>
      <c r="DP168" s="906"/>
      <c r="DQ168" s="906"/>
      <c r="DR168" s="906"/>
      <c r="DS168" s="906"/>
    </row>
    <row r="169" spans="1:123" s="854" customFormat="1" ht="16.5" customHeight="1">
      <c r="A169" s="891"/>
      <c r="B169" s="771"/>
      <c r="C169" s="769"/>
      <c r="D169" s="892"/>
      <c r="E169" s="893"/>
      <c r="F169" s="894"/>
      <c r="G169" s="771"/>
      <c r="H169" s="894"/>
      <c r="I169" s="895"/>
      <c r="J169" s="895"/>
      <c r="K169" s="893"/>
      <c r="L169" s="893"/>
      <c r="M169" s="893"/>
      <c r="N169" s="893"/>
      <c r="O169" s="893"/>
      <c r="P169" s="893"/>
      <c r="Q169" s="893"/>
      <c r="R169" s="906"/>
      <c r="S169" s="899"/>
      <c r="T169" s="906"/>
      <c r="U169" s="906"/>
      <c r="V169" s="906"/>
      <c r="W169" s="906"/>
      <c r="X169" s="906"/>
      <c r="Y169" s="906"/>
      <c r="Z169" s="906"/>
      <c r="AA169" s="906"/>
      <c r="AB169" s="906"/>
      <c r="AC169" s="906"/>
      <c r="AD169" s="906"/>
      <c r="AE169" s="906"/>
      <c r="AF169" s="906"/>
      <c r="AG169" s="906"/>
      <c r="AH169" s="906"/>
      <c r="AI169" s="906"/>
      <c r="AJ169" s="906"/>
      <c r="AK169" s="906"/>
      <c r="AL169" s="906"/>
      <c r="AM169" s="906"/>
      <c r="AN169" s="906"/>
      <c r="AO169" s="906"/>
      <c r="AP169" s="906"/>
      <c r="AQ169" s="906"/>
      <c r="AR169" s="906"/>
      <c r="AS169" s="906"/>
      <c r="AT169" s="906"/>
      <c r="AU169" s="906"/>
      <c r="AV169" s="906"/>
      <c r="AW169" s="906"/>
      <c r="AX169" s="906"/>
      <c r="AY169" s="906"/>
      <c r="AZ169" s="906"/>
      <c r="BA169" s="906"/>
      <c r="BB169" s="906"/>
      <c r="BC169" s="906"/>
      <c r="BD169" s="906"/>
      <c r="BE169" s="906"/>
      <c r="BF169" s="906"/>
      <c r="BG169" s="906"/>
      <c r="BH169" s="906"/>
      <c r="BI169" s="906"/>
      <c r="BJ169" s="906"/>
      <c r="BK169" s="906"/>
      <c r="BL169" s="906"/>
      <c r="BM169" s="906"/>
      <c r="BN169" s="906"/>
      <c r="BO169" s="906"/>
      <c r="BP169" s="906"/>
      <c r="BQ169" s="906"/>
      <c r="BR169" s="906"/>
      <c r="BS169" s="906"/>
      <c r="BT169" s="906"/>
      <c r="BU169" s="906"/>
      <c r="BV169" s="906"/>
      <c r="BW169" s="906"/>
      <c r="BX169" s="906"/>
      <c r="BY169" s="906"/>
      <c r="BZ169" s="906"/>
      <c r="CA169" s="906"/>
      <c r="CB169" s="906"/>
      <c r="CC169" s="906"/>
      <c r="CD169" s="906"/>
      <c r="CE169" s="906"/>
      <c r="CF169" s="906"/>
      <c r="CG169" s="906"/>
      <c r="CH169" s="906"/>
      <c r="CI169" s="906"/>
      <c r="CJ169" s="906"/>
      <c r="CK169" s="906"/>
      <c r="CL169" s="906"/>
      <c r="CM169" s="906"/>
      <c r="CN169" s="906"/>
      <c r="CO169" s="906"/>
      <c r="CP169" s="906"/>
      <c r="CQ169" s="906"/>
      <c r="CR169" s="906"/>
      <c r="CS169" s="906"/>
      <c r="CT169" s="906"/>
      <c r="CU169" s="906"/>
      <c r="CV169" s="906"/>
      <c r="CW169" s="906"/>
      <c r="CX169" s="906"/>
      <c r="CY169" s="906"/>
      <c r="CZ169" s="906"/>
      <c r="DA169" s="906"/>
      <c r="DB169" s="906"/>
      <c r="DC169" s="906"/>
      <c r="DD169" s="906"/>
      <c r="DE169" s="906"/>
      <c r="DF169" s="906"/>
      <c r="DG169" s="906"/>
      <c r="DH169" s="906"/>
      <c r="DI169" s="906"/>
      <c r="DJ169" s="906"/>
      <c r="DK169" s="906"/>
      <c r="DL169" s="906"/>
      <c r="DM169" s="906"/>
      <c r="DN169" s="906"/>
      <c r="DO169" s="906"/>
      <c r="DP169" s="906"/>
      <c r="DQ169" s="906"/>
      <c r="DR169" s="906"/>
      <c r="DS169" s="906"/>
    </row>
    <row r="170" spans="1:123" s="854" customFormat="1" ht="16.5" customHeight="1">
      <c r="A170" s="891"/>
      <c r="B170" s="771"/>
      <c r="C170" s="769"/>
      <c r="D170" s="892"/>
      <c r="E170" s="893"/>
      <c r="F170" s="894"/>
      <c r="G170" s="771"/>
      <c r="H170" s="894"/>
      <c r="I170" s="895"/>
      <c r="J170" s="895"/>
      <c r="K170" s="893"/>
      <c r="L170" s="893"/>
      <c r="M170" s="893"/>
      <c r="N170" s="893"/>
      <c r="O170" s="893"/>
      <c r="P170" s="893"/>
      <c r="Q170" s="893"/>
      <c r="R170" s="906"/>
      <c r="S170" s="899"/>
      <c r="T170" s="906"/>
      <c r="U170" s="906"/>
      <c r="V170" s="906"/>
      <c r="W170" s="906"/>
      <c r="X170" s="906"/>
      <c r="Y170" s="906"/>
      <c r="Z170" s="906"/>
      <c r="AA170" s="906"/>
      <c r="AB170" s="906"/>
      <c r="AC170" s="906"/>
      <c r="AD170" s="906"/>
      <c r="AE170" s="906"/>
      <c r="AF170" s="906"/>
      <c r="AG170" s="906"/>
      <c r="AH170" s="906"/>
      <c r="AI170" s="906"/>
      <c r="AJ170" s="906"/>
      <c r="AK170" s="906"/>
      <c r="AL170" s="906"/>
      <c r="AM170" s="906"/>
      <c r="AN170" s="906"/>
      <c r="AO170" s="906"/>
      <c r="AP170" s="906"/>
      <c r="AQ170" s="906"/>
      <c r="AR170" s="906"/>
      <c r="AS170" s="906"/>
      <c r="AT170" s="906"/>
      <c r="AU170" s="906"/>
      <c r="AV170" s="906"/>
      <c r="AW170" s="906"/>
      <c r="AX170" s="906"/>
      <c r="AY170" s="906"/>
      <c r="AZ170" s="906"/>
      <c r="BA170" s="906"/>
      <c r="BB170" s="906"/>
      <c r="BC170" s="906"/>
      <c r="BD170" s="906"/>
      <c r="BE170" s="906"/>
      <c r="BF170" s="906"/>
      <c r="BG170" s="906"/>
      <c r="BH170" s="906"/>
      <c r="BI170" s="906"/>
      <c r="BJ170" s="906"/>
      <c r="BK170" s="906"/>
      <c r="BL170" s="906"/>
      <c r="BM170" s="906"/>
      <c r="BN170" s="906"/>
      <c r="BO170" s="906"/>
      <c r="BP170" s="906"/>
      <c r="BQ170" s="906"/>
      <c r="BR170" s="906"/>
      <c r="BS170" s="906"/>
      <c r="BT170" s="906"/>
      <c r="BU170" s="906"/>
      <c r="BV170" s="906"/>
      <c r="BW170" s="906"/>
      <c r="BX170" s="906"/>
      <c r="BY170" s="906"/>
      <c r="BZ170" s="906"/>
      <c r="CA170" s="906"/>
      <c r="CB170" s="906"/>
      <c r="CC170" s="906"/>
      <c r="CD170" s="906"/>
      <c r="CE170" s="906"/>
      <c r="CF170" s="906"/>
      <c r="CG170" s="906"/>
      <c r="CH170" s="906"/>
      <c r="CI170" s="906"/>
      <c r="CJ170" s="906"/>
      <c r="CK170" s="906"/>
      <c r="CL170" s="906"/>
      <c r="CM170" s="906"/>
      <c r="CN170" s="906"/>
      <c r="CO170" s="906"/>
      <c r="CP170" s="906"/>
      <c r="CQ170" s="906"/>
      <c r="CR170" s="906"/>
      <c r="CS170" s="906"/>
      <c r="CT170" s="906"/>
      <c r="CU170" s="906"/>
      <c r="CV170" s="906"/>
      <c r="CW170" s="906"/>
      <c r="CX170" s="906"/>
      <c r="CY170" s="906"/>
      <c r="CZ170" s="906"/>
      <c r="DA170" s="906"/>
      <c r="DB170" s="906"/>
      <c r="DC170" s="906"/>
      <c r="DD170" s="906"/>
      <c r="DE170" s="906"/>
      <c r="DF170" s="906"/>
      <c r="DG170" s="906"/>
      <c r="DH170" s="906"/>
      <c r="DI170" s="906"/>
      <c r="DJ170" s="906"/>
      <c r="DK170" s="906"/>
      <c r="DL170" s="906"/>
      <c r="DM170" s="906"/>
      <c r="DN170" s="906"/>
      <c r="DO170" s="906"/>
      <c r="DP170" s="906"/>
      <c r="DQ170" s="906"/>
      <c r="DR170" s="906"/>
      <c r="DS170" s="906"/>
    </row>
    <row r="171" spans="1:123" s="854" customFormat="1" ht="16.5" customHeight="1">
      <c r="A171" s="891"/>
      <c r="B171" s="771"/>
      <c r="C171" s="769"/>
      <c r="D171" s="892"/>
      <c r="E171" s="893"/>
      <c r="F171" s="894"/>
      <c r="G171" s="771"/>
      <c r="H171" s="894"/>
      <c r="I171" s="895"/>
      <c r="J171" s="895"/>
      <c r="K171" s="893"/>
      <c r="L171" s="893"/>
      <c r="M171" s="893"/>
      <c r="N171" s="893"/>
      <c r="O171" s="893"/>
      <c r="P171" s="893"/>
      <c r="Q171" s="893"/>
      <c r="R171" s="906"/>
      <c r="S171" s="899"/>
      <c r="T171" s="906"/>
      <c r="U171" s="906"/>
      <c r="V171" s="906"/>
      <c r="W171" s="906"/>
      <c r="X171" s="906"/>
      <c r="Y171" s="906"/>
      <c r="Z171" s="906"/>
      <c r="AA171" s="906"/>
      <c r="AB171" s="906"/>
      <c r="AC171" s="906"/>
      <c r="AD171" s="906"/>
      <c r="AE171" s="906"/>
      <c r="AF171" s="906"/>
      <c r="AG171" s="906"/>
      <c r="AH171" s="906"/>
      <c r="AI171" s="906"/>
      <c r="AJ171" s="906"/>
      <c r="AK171" s="906"/>
      <c r="AL171" s="906"/>
      <c r="AM171" s="906"/>
      <c r="AN171" s="906"/>
      <c r="AO171" s="906"/>
      <c r="AP171" s="906"/>
      <c r="AQ171" s="906"/>
      <c r="AR171" s="906"/>
      <c r="AS171" s="906"/>
      <c r="AT171" s="906"/>
      <c r="AU171" s="906"/>
      <c r="AV171" s="906"/>
      <c r="AW171" s="906"/>
      <c r="AX171" s="906"/>
      <c r="AY171" s="906"/>
      <c r="AZ171" s="906"/>
      <c r="BA171" s="906"/>
      <c r="BB171" s="906"/>
      <c r="BC171" s="906"/>
      <c r="BD171" s="906"/>
      <c r="BE171" s="906"/>
      <c r="BF171" s="906"/>
      <c r="BG171" s="906"/>
      <c r="BH171" s="906"/>
      <c r="BI171" s="906"/>
      <c r="BJ171" s="906"/>
      <c r="BK171" s="906"/>
      <c r="BL171" s="906"/>
      <c r="BM171" s="906"/>
      <c r="BN171" s="906"/>
      <c r="BO171" s="906"/>
      <c r="BP171" s="906"/>
      <c r="BQ171" s="906"/>
      <c r="BR171" s="906"/>
      <c r="BS171" s="906"/>
      <c r="BT171" s="906"/>
      <c r="BU171" s="906"/>
      <c r="BV171" s="906"/>
      <c r="BW171" s="906"/>
      <c r="BX171" s="906"/>
      <c r="BY171" s="906"/>
      <c r="BZ171" s="906"/>
      <c r="CA171" s="906"/>
      <c r="CB171" s="906"/>
      <c r="CC171" s="906"/>
      <c r="CD171" s="906"/>
      <c r="CE171" s="906"/>
      <c r="CF171" s="906"/>
      <c r="CG171" s="906"/>
      <c r="CH171" s="906"/>
      <c r="CI171" s="906"/>
      <c r="CJ171" s="906"/>
      <c r="CK171" s="906"/>
      <c r="CL171" s="906"/>
      <c r="CM171" s="906"/>
      <c r="CN171" s="906"/>
      <c r="CO171" s="906"/>
      <c r="CP171" s="906"/>
      <c r="CQ171" s="906"/>
      <c r="CR171" s="906"/>
      <c r="CS171" s="906"/>
      <c r="CT171" s="906"/>
      <c r="CU171" s="906"/>
      <c r="CV171" s="906"/>
      <c r="CW171" s="906"/>
      <c r="CX171" s="906"/>
      <c r="CY171" s="906"/>
      <c r="CZ171" s="906"/>
      <c r="DA171" s="906"/>
      <c r="DB171" s="906"/>
      <c r="DC171" s="906"/>
      <c r="DD171" s="906"/>
      <c r="DE171" s="906"/>
      <c r="DF171" s="906"/>
      <c r="DG171" s="906"/>
      <c r="DH171" s="906"/>
      <c r="DI171" s="906"/>
      <c r="DJ171" s="906"/>
      <c r="DK171" s="906"/>
      <c r="DL171" s="906"/>
      <c r="DM171" s="906"/>
      <c r="DN171" s="906"/>
      <c r="DO171" s="906"/>
      <c r="DP171" s="906"/>
      <c r="DQ171" s="906"/>
      <c r="DR171" s="906"/>
      <c r="DS171" s="906"/>
    </row>
    <row r="172" spans="1:123" s="854" customFormat="1" ht="16.5" customHeight="1">
      <c r="A172" s="891"/>
      <c r="B172" s="771"/>
      <c r="C172" s="769"/>
      <c r="D172" s="892"/>
      <c r="E172" s="893"/>
      <c r="F172" s="894"/>
      <c r="G172" s="771"/>
      <c r="H172" s="894"/>
      <c r="I172" s="895"/>
      <c r="J172" s="895"/>
      <c r="K172" s="893"/>
      <c r="L172" s="893"/>
      <c r="M172" s="893"/>
      <c r="N172" s="893"/>
      <c r="O172" s="893"/>
      <c r="P172" s="893"/>
      <c r="Q172" s="893"/>
      <c r="R172" s="906"/>
      <c r="S172" s="899"/>
      <c r="T172" s="906"/>
      <c r="U172" s="906"/>
      <c r="V172" s="906"/>
      <c r="W172" s="906"/>
      <c r="X172" s="906"/>
      <c r="Y172" s="906"/>
      <c r="Z172" s="906"/>
      <c r="AA172" s="906"/>
      <c r="AB172" s="906"/>
      <c r="AC172" s="906"/>
      <c r="AD172" s="906"/>
      <c r="AE172" s="906"/>
      <c r="AF172" s="906"/>
      <c r="AG172" s="906"/>
      <c r="AH172" s="906"/>
      <c r="AI172" s="906"/>
      <c r="AJ172" s="906"/>
      <c r="AK172" s="906"/>
      <c r="AL172" s="906"/>
      <c r="AM172" s="906"/>
      <c r="AN172" s="906"/>
      <c r="AO172" s="906"/>
      <c r="AP172" s="906"/>
      <c r="AQ172" s="906"/>
      <c r="AR172" s="906"/>
      <c r="AS172" s="906"/>
      <c r="AT172" s="906"/>
      <c r="AU172" s="906"/>
      <c r="AV172" s="906"/>
      <c r="AW172" s="906"/>
      <c r="AX172" s="906"/>
      <c r="AY172" s="906"/>
      <c r="AZ172" s="906"/>
      <c r="BA172" s="906"/>
      <c r="BB172" s="906"/>
      <c r="BC172" s="906"/>
      <c r="BD172" s="906"/>
      <c r="BE172" s="906"/>
      <c r="BF172" s="906"/>
      <c r="BG172" s="906"/>
      <c r="BH172" s="906"/>
      <c r="BI172" s="906"/>
      <c r="BJ172" s="906"/>
      <c r="BK172" s="906"/>
      <c r="BL172" s="906"/>
      <c r="BM172" s="906"/>
      <c r="BN172" s="906"/>
      <c r="BO172" s="906"/>
      <c r="BP172" s="906"/>
      <c r="BQ172" s="906"/>
      <c r="BR172" s="906"/>
      <c r="BS172" s="906"/>
      <c r="BT172" s="906"/>
      <c r="BU172" s="906"/>
      <c r="BV172" s="906"/>
      <c r="BW172" s="906"/>
      <c r="BX172" s="906"/>
      <c r="BY172" s="906"/>
      <c r="BZ172" s="906"/>
      <c r="CA172" s="906"/>
      <c r="CB172" s="906"/>
      <c r="CC172" s="906"/>
      <c r="CD172" s="906"/>
      <c r="CE172" s="906"/>
      <c r="CF172" s="906"/>
      <c r="CG172" s="906"/>
      <c r="CH172" s="906"/>
      <c r="CI172" s="906"/>
      <c r="CJ172" s="906"/>
      <c r="CK172" s="906"/>
      <c r="CL172" s="906"/>
      <c r="CM172" s="906"/>
      <c r="CN172" s="906"/>
      <c r="CO172" s="906"/>
      <c r="CP172" s="906"/>
      <c r="CQ172" s="906"/>
      <c r="CR172" s="906"/>
      <c r="CS172" s="906"/>
      <c r="CT172" s="906"/>
      <c r="CU172" s="906"/>
      <c r="CV172" s="906"/>
      <c r="CW172" s="906"/>
      <c r="CX172" s="906"/>
      <c r="CY172" s="906"/>
      <c r="CZ172" s="906"/>
      <c r="DA172" s="906"/>
      <c r="DB172" s="906"/>
      <c r="DC172" s="906"/>
      <c r="DD172" s="906"/>
      <c r="DE172" s="906"/>
      <c r="DF172" s="906"/>
      <c r="DG172" s="906"/>
      <c r="DH172" s="906"/>
      <c r="DI172" s="906"/>
      <c r="DJ172" s="906"/>
      <c r="DK172" s="906"/>
      <c r="DL172" s="906"/>
      <c r="DM172" s="906"/>
      <c r="DN172" s="906"/>
      <c r="DO172" s="906"/>
      <c r="DP172" s="906"/>
      <c r="DQ172" s="906"/>
      <c r="DR172" s="906"/>
      <c r="DS172" s="906"/>
    </row>
    <row r="173" spans="1:123" s="854" customFormat="1" ht="16.5" customHeight="1">
      <c r="A173" s="891"/>
      <c r="B173" s="771"/>
      <c r="C173" s="769"/>
      <c r="D173" s="892"/>
      <c r="E173" s="893"/>
      <c r="F173" s="894"/>
      <c r="G173" s="771"/>
      <c r="H173" s="894"/>
      <c r="I173" s="895"/>
      <c r="J173" s="895"/>
      <c r="K173" s="893"/>
      <c r="L173" s="893"/>
      <c r="M173" s="893"/>
      <c r="N173" s="893"/>
      <c r="O173" s="893"/>
      <c r="P173" s="893"/>
      <c r="Q173" s="893"/>
      <c r="R173" s="906"/>
      <c r="S173" s="899"/>
      <c r="T173" s="906"/>
      <c r="U173" s="906"/>
      <c r="V173" s="906"/>
      <c r="W173" s="906"/>
      <c r="X173" s="906"/>
      <c r="Y173" s="906"/>
      <c r="Z173" s="906"/>
      <c r="AA173" s="906"/>
      <c r="AB173" s="906"/>
      <c r="AC173" s="906"/>
      <c r="AD173" s="906"/>
      <c r="AE173" s="906"/>
      <c r="AF173" s="906"/>
      <c r="AG173" s="906"/>
      <c r="AH173" s="906"/>
      <c r="AI173" s="906"/>
      <c r="AJ173" s="906"/>
      <c r="AK173" s="906"/>
      <c r="AL173" s="906"/>
      <c r="AM173" s="906"/>
      <c r="AN173" s="906"/>
      <c r="AO173" s="906"/>
      <c r="AP173" s="906"/>
      <c r="AQ173" s="906"/>
      <c r="AR173" s="906"/>
      <c r="AS173" s="906"/>
      <c r="AT173" s="906"/>
      <c r="AU173" s="906"/>
      <c r="AV173" s="906"/>
      <c r="AW173" s="906"/>
      <c r="AX173" s="906"/>
      <c r="AY173" s="906"/>
      <c r="AZ173" s="906"/>
      <c r="BA173" s="906"/>
      <c r="BB173" s="906"/>
      <c r="BC173" s="906"/>
      <c r="BD173" s="906"/>
      <c r="BE173" s="906"/>
      <c r="BF173" s="906"/>
      <c r="BG173" s="906"/>
      <c r="BH173" s="906"/>
      <c r="BI173" s="906"/>
      <c r="BJ173" s="906"/>
      <c r="BK173" s="906"/>
      <c r="BL173" s="906"/>
      <c r="BM173" s="906"/>
      <c r="BN173" s="906"/>
      <c r="BO173" s="906"/>
      <c r="BP173" s="906"/>
      <c r="BQ173" s="906"/>
      <c r="BR173" s="906"/>
      <c r="BS173" s="906"/>
      <c r="BT173" s="906"/>
      <c r="BU173" s="906"/>
      <c r="BV173" s="906"/>
      <c r="BW173" s="906"/>
      <c r="BX173" s="906"/>
      <c r="BY173" s="906"/>
      <c r="BZ173" s="906"/>
      <c r="CA173" s="906"/>
      <c r="CB173" s="906"/>
      <c r="CC173" s="906"/>
      <c r="CD173" s="906"/>
      <c r="CE173" s="906"/>
      <c r="CF173" s="906"/>
      <c r="CG173" s="906"/>
      <c r="CH173" s="906"/>
      <c r="CI173" s="906"/>
      <c r="CJ173" s="906"/>
      <c r="CK173" s="906"/>
      <c r="CL173" s="906"/>
      <c r="CM173" s="906"/>
      <c r="CN173" s="906"/>
      <c r="CO173" s="906"/>
      <c r="CP173" s="906"/>
      <c r="CQ173" s="906"/>
      <c r="CR173" s="906"/>
      <c r="CS173" s="906"/>
      <c r="CT173" s="906"/>
      <c r="CU173" s="906"/>
      <c r="CV173" s="906"/>
      <c r="CW173" s="906"/>
      <c r="CX173" s="906"/>
      <c r="CY173" s="906"/>
      <c r="CZ173" s="906"/>
      <c r="DA173" s="906"/>
      <c r="DB173" s="906"/>
      <c r="DC173" s="906"/>
      <c r="DD173" s="906"/>
      <c r="DE173" s="906"/>
      <c r="DF173" s="906"/>
      <c r="DG173" s="906"/>
      <c r="DH173" s="906"/>
      <c r="DI173" s="906"/>
      <c r="DJ173" s="906"/>
      <c r="DK173" s="906"/>
      <c r="DL173" s="906"/>
      <c r="DM173" s="906"/>
      <c r="DN173" s="906"/>
      <c r="DO173" s="906"/>
      <c r="DP173" s="906"/>
      <c r="DQ173" s="906"/>
      <c r="DR173" s="906"/>
      <c r="DS173" s="906"/>
    </row>
    <row r="174" spans="1:123" s="854" customFormat="1" ht="16.5" customHeight="1">
      <c r="A174" s="891"/>
      <c r="B174" s="771"/>
      <c r="C174" s="769"/>
      <c r="D174" s="892"/>
      <c r="E174" s="893"/>
      <c r="F174" s="894"/>
      <c r="G174" s="771"/>
      <c r="H174" s="894"/>
      <c r="I174" s="895"/>
      <c r="J174" s="895"/>
      <c r="K174" s="893"/>
      <c r="L174" s="893"/>
      <c r="M174" s="893"/>
      <c r="N174" s="893"/>
      <c r="O174" s="893"/>
      <c r="P174" s="893"/>
      <c r="Q174" s="893"/>
      <c r="R174" s="906"/>
      <c r="S174" s="899"/>
      <c r="T174" s="906"/>
      <c r="U174" s="906"/>
      <c r="V174" s="906"/>
      <c r="W174" s="906"/>
      <c r="X174" s="906"/>
      <c r="Y174" s="906"/>
      <c r="Z174" s="906"/>
      <c r="AA174" s="906"/>
      <c r="AB174" s="906"/>
      <c r="AC174" s="906"/>
      <c r="AD174" s="906"/>
      <c r="AE174" s="906"/>
      <c r="AF174" s="906"/>
      <c r="AG174" s="906"/>
      <c r="AH174" s="906"/>
      <c r="AI174" s="906"/>
      <c r="AJ174" s="906"/>
      <c r="AK174" s="906"/>
      <c r="AL174" s="906"/>
      <c r="AM174" s="906"/>
      <c r="AN174" s="906"/>
      <c r="AO174" s="906"/>
      <c r="AP174" s="906"/>
      <c r="AQ174" s="906"/>
      <c r="AR174" s="906"/>
      <c r="AS174" s="906"/>
      <c r="AT174" s="906"/>
      <c r="AU174" s="906"/>
      <c r="AV174" s="906"/>
      <c r="AW174" s="906"/>
      <c r="AX174" s="906"/>
      <c r="AY174" s="906"/>
      <c r="AZ174" s="906"/>
      <c r="BA174" s="906"/>
      <c r="BB174" s="906"/>
      <c r="BC174" s="906"/>
      <c r="BD174" s="906"/>
      <c r="BE174" s="906"/>
      <c r="BF174" s="906"/>
      <c r="BG174" s="906"/>
      <c r="BH174" s="906"/>
      <c r="BI174" s="906"/>
      <c r="BJ174" s="906"/>
      <c r="BK174" s="906"/>
      <c r="BL174" s="906"/>
      <c r="BM174" s="906"/>
      <c r="BN174" s="906"/>
      <c r="BO174" s="906"/>
      <c r="BP174" s="906"/>
      <c r="BQ174" s="906"/>
      <c r="BR174" s="906"/>
      <c r="BS174" s="906"/>
      <c r="BT174" s="906"/>
      <c r="BU174" s="906"/>
      <c r="BV174" s="906"/>
      <c r="BW174" s="906"/>
      <c r="BX174" s="906"/>
      <c r="BY174" s="906"/>
      <c r="BZ174" s="906"/>
      <c r="CA174" s="906"/>
      <c r="CB174" s="906"/>
      <c r="CC174" s="906"/>
      <c r="CD174" s="906"/>
      <c r="CE174" s="906"/>
      <c r="CF174" s="906"/>
      <c r="CG174" s="906"/>
      <c r="CH174" s="906"/>
      <c r="CI174" s="906"/>
      <c r="CJ174" s="906"/>
      <c r="CK174" s="906"/>
      <c r="CL174" s="906"/>
      <c r="CM174" s="906"/>
      <c r="CN174" s="906"/>
      <c r="CO174" s="906"/>
      <c r="CP174" s="906"/>
      <c r="CQ174" s="906"/>
      <c r="CR174" s="906"/>
      <c r="CS174" s="906"/>
      <c r="CT174" s="906"/>
      <c r="CU174" s="906"/>
      <c r="CV174" s="906"/>
      <c r="CW174" s="906"/>
      <c r="CX174" s="906"/>
      <c r="CY174" s="906"/>
      <c r="CZ174" s="906"/>
      <c r="DA174" s="906"/>
      <c r="DB174" s="906"/>
      <c r="DC174" s="906"/>
      <c r="DD174" s="906"/>
      <c r="DE174" s="906"/>
      <c r="DF174" s="906"/>
      <c r="DG174" s="906"/>
      <c r="DH174" s="906"/>
      <c r="DI174" s="906"/>
      <c r="DJ174" s="906"/>
      <c r="DK174" s="906"/>
      <c r="DL174" s="906"/>
      <c r="DM174" s="906"/>
      <c r="DN174" s="906"/>
      <c r="DO174" s="906"/>
      <c r="DP174" s="906"/>
      <c r="DQ174" s="906"/>
      <c r="DR174" s="906"/>
      <c r="DS174" s="906"/>
    </row>
    <row r="175" spans="1:123" s="854" customFormat="1">
      <c r="I175" s="895"/>
      <c r="J175" s="895"/>
      <c r="R175" s="906"/>
      <c r="S175" s="906"/>
      <c r="T175" s="906"/>
      <c r="U175" s="906"/>
      <c r="V175" s="906"/>
      <c r="W175" s="906"/>
      <c r="X175" s="906"/>
      <c r="Y175" s="906"/>
      <c r="Z175" s="906"/>
      <c r="AA175" s="906"/>
      <c r="AB175" s="906"/>
      <c r="AC175" s="906"/>
      <c r="AD175" s="906"/>
      <c r="AE175" s="906"/>
      <c r="AF175" s="906"/>
      <c r="AG175" s="906"/>
      <c r="AH175" s="906"/>
      <c r="AI175" s="906"/>
      <c r="AJ175" s="906"/>
      <c r="AK175" s="906"/>
      <c r="AL175" s="906"/>
      <c r="AM175" s="906"/>
      <c r="AN175" s="906"/>
      <c r="AO175" s="906"/>
      <c r="AP175" s="906"/>
      <c r="AQ175" s="906"/>
      <c r="AR175" s="906"/>
      <c r="AS175" s="906"/>
      <c r="AT175" s="906"/>
      <c r="AU175" s="906"/>
      <c r="AV175" s="906"/>
      <c r="AW175" s="906"/>
      <c r="AX175" s="906"/>
      <c r="AY175" s="906"/>
      <c r="AZ175" s="906"/>
      <c r="BA175" s="906"/>
      <c r="BB175" s="906"/>
      <c r="BC175" s="906"/>
      <c r="BD175" s="906"/>
      <c r="BE175" s="906"/>
      <c r="BF175" s="906"/>
      <c r="BG175" s="906"/>
      <c r="BH175" s="906"/>
      <c r="BI175" s="906"/>
      <c r="BJ175" s="906"/>
      <c r="BK175" s="906"/>
      <c r="BL175" s="906"/>
      <c r="BM175" s="906"/>
      <c r="BN175" s="906"/>
      <c r="BO175" s="906"/>
      <c r="BP175" s="906"/>
      <c r="BQ175" s="906"/>
      <c r="BR175" s="906"/>
      <c r="BS175" s="906"/>
      <c r="BT175" s="906"/>
      <c r="BU175" s="906"/>
      <c r="BV175" s="906"/>
      <c r="BW175" s="906"/>
      <c r="BX175" s="906"/>
      <c r="BY175" s="906"/>
      <c r="BZ175" s="906"/>
      <c r="CA175" s="906"/>
      <c r="CB175" s="906"/>
      <c r="CC175" s="906"/>
      <c r="CD175" s="906"/>
      <c r="CE175" s="906"/>
      <c r="CF175" s="906"/>
      <c r="CG175" s="906"/>
      <c r="CH175" s="906"/>
      <c r="CI175" s="906"/>
      <c r="CJ175" s="906"/>
      <c r="CK175" s="906"/>
      <c r="CL175" s="906"/>
      <c r="CM175" s="906"/>
      <c r="CN175" s="906"/>
      <c r="CO175" s="906"/>
      <c r="CP175" s="906"/>
      <c r="CQ175" s="906"/>
      <c r="CR175" s="906"/>
      <c r="CS175" s="906"/>
      <c r="CT175" s="906"/>
      <c r="CU175" s="906"/>
      <c r="CV175" s="906"/>
      <c r="CW175" s="906"/>
      <c r="CX175" s="906"/>
      <c r="CY175" s="906"/>
      <c r="CZ175" s="906"/>
      <c r="DA175" s="906"/>
      <c r="DB175" s="906"/>
      <c r="DC175" s="906"/>
      <c r="DD175" s="906"/>
      <c r="DE175" s="906"/>
      <c r="DF175" s="906"/>
      <c r="DG175" s="906"/>
      <c r="DH175" s="906"/>
      <c r="DI175" s="906"/>
      <c r="DJ175" s="906"/>
      <c r="DK175" s="906"/>
      <c r="DL175" s="906"/>
      <c r="DM175" s="906"/>
      <c r="DN175" s="906"/>
      <c r="DO175" s="906"/>
      <c r="DP175" s="906"/>
      <c r="DQ175" s="906"/>
      <c r="DR175" s="906"/>
      <c r="DS175" s="906"/>
    </row>
    <row r="176" spans="1:123" s="854" customFormat="1">
      <c r="I176" s="895"/>
      <c r="J176" s="895"/>
      <c r="R176" s="906"/>
      <c r="S176" s="906"/>
      <c r="T176" s="906"/>
      <c r="U176" s="906"/>
      <c r="V176" s="906"/>
      <c r="W176" s="906"/>
      <c r="X176" s="906"/>
      <c r="Y176" s="906"/>
      <c r="Z176" s="906"/>
      <c r="AA176" s="906"/>
      <c r="AB176" s="906"/>
      <c r="AC176" s="906"/>
      <c r="AD176" s="906"/>
      <c r="AE176" s="906"/>
      <c r="AF176" s="906"/>
      <c r="AG176" s="906"/>
      <c r="AH176" s="906"/>
      <c r="AI176" s="906"/>
      <c r="AJ176" s="906"/>
      <c r="AK176" s="906"/>
      <c r="AL176" s="906"/>
      <c r="AM176" s="906"/>
      <c r="AN176" s="906"/>
      <c r="AO176" s="906"/>
      <c r="AP176" s="906"/>
      <c r="AQ176" s="906"/>
      <c r="AR176" s="906"/>
      <c r="AS176" s="906"/>
      <c r="AT176" s="906"/>
      <c r="AU176" s="906"/>
      <c r="AV176" s="906"/>
      <c r="AW176" s="906"/>
      <c r="AX176" s="906"/>
      <c r="AY176" s="906"/>
      <c r="AZ176" s="906"/>
      <c r="BA176" s="906"/>
      <c r="BB176" s="906"/>
      <c r="BC176" s="906"/>
      <c r="BD176" s="906"/>
      <c r="BE176" s="906"/>
      <c r="BF176" s="906"/>
      <c r="BG176" s="906"/>
      <c r="BH176" s="906"/>
      <c r="BI176" s="906"/>
      <c r="BJ176" s="906"/>
      <c r="BK176" s="906"/>
      <c r="BL176" s="906"/>
      <c r="BM176" s="906"/>
      <c r="BN176" s="906"/>
      <c r="BO176" s="906"/>
      <c r="BP176" s="906"/>
      <c r="BQ176" s="906"/>
      <c r="BR176" s="906"/>
      <c r="BS176" s="906"/>
      <c r="BT176" s="906"/>
      <c r="BU176" s="906"/>
      <c r="BV176" s="906"/>
      <c r="BW176" s="906"/>
      <c r="BX176" s="906"/>
      <c r="BY176" s="906"/>
      <c r="BZ176" s="906"/>
      <c r="CA176" s="906"/>
      <c r="CB176" s="906"/>
      <c r="CC176" s="906"/>
      <c r="CD176" s="906"/>
      <c r="CE176" s="906"/>
      <c r="CF176" s="906"/>
      <c r="CG176" s="906"/>
      <c r="CH176" s="906"/>
      <c r="CI176" s="906"/>
      <c r="CJ176" s="906"/>
      <c r="CK176" s="906"/>
      <c r="CL176" s="906"/>
      <c r="CM176" s="906"/>
      <c r="CN176" s="906"/>
      <c r="CO176" s="906"/>
      <c r="CP176" s="906"/>
      <c r="CQ176" s="906"/>
      <c r="CR176" s="906"/>
      <c r="CS176" s="906"/>
      <c r="CT176" s="906"/>
      <c r="CU176" s="906"/>
      <c r="CV176" s="906"/>
      <c r="CW176" s="906"/>
      <c r="CX176" s="906"/>
      <c r="CY176" s="906"/>
      <c r="CZ176" s="906"/>
      <c r="DA176" s="906"/>
      <c r="DB176" s="906"/>
      <c r="DC176" s="906"/>
      <c r="DD176" s="906"/>
      <c r="DE176" s="906"/>
      <c r="DF176" s="906"/>
      <c r="DG176" s="906"/>
      <c r="DH176" s="906"/>
      <c r="DI176" s="906"/>
      <c r="DJ176" s="906"/>
      <c r="DK176" s="906"/>
      <c r="DL176" s="906"/>
      <c r="DM176" s="906"/>
      <c r="DN176" s="906"/>
      <c r="DO176" s="906"/>
      <c r="DP176" s="906"/>
      <c r="DQ176" s="906"/>
      <c r="DR176" s="906"/>
      <c r="DS176" s="906"/>
    </row>
    <row r="177" spans="9:123" s="854" customFormat="1">
      <c r="I177" s="895"/>
      <c r="J177" s="895"/>
      <c r="R177" s="906"/>
      <c r="S177" s="906"/>
      <c r="T177" s="906"/>
      <c r="U177" s="906"/>
      <c r="V177" s="906"/>
      <c r="W177" s="906"/>
      <c r="X177" s="906"/>
      <c r="Y177" s="906"/>
      <c r="Z177" s="906"/>
      <c r="AA177" s="906"/>
      <c r="AB177" s="906"/>
      <c r="AC177" s="906"/>
      <c r="AD177" s="906"/>
      <c r="AE177" s="906"/>
      <c r="AF177" s="906"/>
      <c r="AG177" s="906"/>
      <c r="AH177" s="906"/>
      <c r="AI177" s="906"/>
      <c r="AJ177" s="906"/>
      <c r="AK177" s="906"/>
      <c r="AL177" s="906"/>
      <c r="AM177" s="906"/>
      <c r="AN177" s="906"/>
      <c r="AO177" s="906"/>
      <c r="AP177" s="906"/>
      <c r="AQ177" s="906"/>
      <c r="AR177" s="906"/>
      <c r="AS177" s="906"/>
      <c r="AT177" s="906"/>
      <c r="AU177" s="906"/>
      <c r="AV177" s="906"/>
      <c r="AW177" s="906"/>
      <c r="AX177" s="906"/>
      <c r="AY177" s="906"/>
      <c r="AZ177" s="906"/>
      <c r="BA177" s="906"/>
      <c r="BB177" s="906"/>
      <c r="BC177" s="906"/>
      <c r="BD177" s="906"/>
      <c r="BE177" s="906"/>
      <c r="BF177" s="906"/>
      <c r="BG177" s="906"/>
      <c r="BH177" s="906"/>
      <c r="BI177" s="906"/>
      <c r="BJ177" s="906"/>
      <c r="BK177" s="906"/>
      <c r="BL177" s="906"/>
      <c r="BM177" s="906"/>
      <c r="BN177" s="906"/>
      <c r="BO177" s="906"/>
      <c r="BP177" s="906"/>
      <c r="BQ177" s="906"/>
      <c r="BR177" s="906"/>
      <c r="BS177" s="906"/>
      <c r="BT177" s="906"/>
      <c r="BU177" s="906"/>
      <c r="BV177" s="906"/>
      <c r="BW177" s="906"/>
      <c r="BX177" s="906"/>
      <c r="BY177" s="906"/>
      <c r="BZ177" s="906"/>
      <c r="CA177" s="906"/>
      <c r="CB177" s="906"/>
      <c r="CC177" s="906"/>
      <c r="CD177" s="906"/>
      <c r="CE177" s="906"/>
      <c r="CF177" s="906"/>
      <c r="CG177" s="906"/>
      <c r="CH177" s="906"/>
      <c r="CI177" s="906"/>
      <c r="CJ177" s="906"/>
      <c r="CK177" s="906"/>
      <c r="CL177" s="906"/>
      <c r="CM177" s="906"/>
      <c r="CN177" s="906"/>
      <c r="CO177" s="906"/>
      <c r="CP177" s="906"/>
      <c r="CQ177" s="906"/>
      <c r="CR177" s="906"/>
      <c r="CS177" s="906"/>
      <c r="CT177" s="906"/>
      <c r="CU177" s="906"/>
      <c r="CV177" s="906"/>
      <c r="CW177" s="906"/>
      <c r="CX177" s="906"/>
      <c r="CY177" s="906"/>
      <c r="CZ177" s="906"/>
      <c r="DA177" s="906"/>
      <c r="DB177" s="906"/>
      <c r="DC177" s="906"/>
      <c r="DD177" s="906"/>
      <c r="DE177" s="906"/>
      <c r="DF177" s="906"/>
      <c r="DG177" s="906"/>
      <c r="DH177" s="906"/>
      <c r="DI177" s="906"/>
      <c r="DJ177" s="906"/>
      <c r="DK177" s="906"/>
      <c r="DL177" s="906"/>
      <c r="DM177" s="906"/>
      <c r="DN177" s="906"/>
      <c r="DO177" s="906"/>
      <c r="DP177" s="906"/>
      <c r="DQ177" s="906"/>
      <c r="DR177" s="906"/>
      <c r="DS177" s="906"/>
    </row>
    <row r="178" spans="9:123" s="854" customFormat="1">
      <c r="I178" s="895"/>
      <c r="J178" s="895"/>
      <c r="R178" s="906"/>
      <c r="S178" s="906"/>
      <c r="T178" s="906"/>
      <c r="U178" s="906"/>
      <c r="V178" s="906"/>
      <c r="W178" s="906"/>
      <c r="X178" s="906"/>
      <c r="Y178" s="906"/>
      <c r="Z178" s="906"/>
      <c r="AA178" s="906"/>
      <c r="AB178" s="906"/>
      <c r="AC178" s="906"/>
      <c r="AD178" s="906"/>
      <c r="AE178" s="906"/>
      <c r="AF178" s="906"/>
      <c r="AG178" s="906"/>
      <c r="AH178" s="906"/>
      <c r="AI178" s="906"/>
      <c r="AJ178" s="906"/>
      <c r="AK178" s="906"/>
      <c r="AL178" s="906"/>
      <c r="AM178" s="906"/>
      <c r="AN178" s="906"/>
      <c r="AO178" s="906"/>
      <c r="AP178" s="906"/>
      <c r="AQ178" s="906"/>
      <c r="AR178" s="906"/>
      <c r="AS178" s="906"/>
      <c r="AT178" s="906"/>
      <c r="AU178" s="906"/>
      <c r="AV178" s="906"/>
      <c r="AW178" s="906"/>
      <c r="AX178" s="906"/>
      <c r="AY178" s="906"/>
      <c r="AZ178" s="906"/>
      <c r="BA178" s="906"/>
      <c r="BB178" s="906"/>
      <c r="BC178" s="906"/>
      <c r="BD178" s="906"/>
      <c r="BE178" s="906"/>
      <c r="BF178" s="906"/>
      <c r="BG178" s="906"/>
      <c r="BH178" s="906"/>
      <c r="BI178" s="906"/>
      <c r="BJ178" s="906"/>
      <c r="BK178" s="906"/>
      <c r="BL178" s="906"/>
      <c r="BM178" s="906"/>
      <c r="BN178" s="906"/>
      <c r="BO178" s="906"/>
      <c r="BP178" s="906"/>
      <c r="BQ178" s="906"/>
      <c r="BR178" s="906"/>
      <c r="BS178" s="906"/>
      <c r="BT178" s="906"/>
      <c r="BU178" s="906"/>
      <c r="BV178" s="906"/>
      <c r="BW178" s="906"/>
      <c r="BX178" s="906"/>
      <c r="BY178" s="906"/>
      <c r="BZ178" s="906"/>
      <c r="CA178" s="906"/>
      <c r="CB178" s="906"/>
      <c r="CC178" s="906"/>
      <c r="CD178" s="906"/>
      <c r="CE178" s="906"/>
      <c r="CF178" s="906"/>
      <c r="CG178" s="906"/>
      <c r="CH178" s="906"/>
      <c r="CI178" s="906"/>
      <c r="CJ178" s="906"/>
      <c r="CK178" s="906"/>
      <c r="CL178" s="906"/>
      <c r="CM178" s="906"/>
      <c r="CN178" s="906"/>
      <c r="CO178" s="906"/>
      <c r="CP178" s="906"/>
      <c r="CQ178" s="906"/>
      <c r="CR178" s="906"/>
      <c r="CS178" s="906"/>
      <c r="CT178" s="906"/>
      <c r="CU178" s="906"/>
      <c r="CV178" s="906"/>
      <c r="CW178" s="906"/>
      <c r="CX178" s="906"/>
      <c r="CY178" s="906"/>
      <c r="CZ178" s="906"/>
      <c r="DA178" s="906"/>
      <c r="DB178" s="906"/>
      <c r="DC178" s="906"/>
      <c r="DD178" s="906"/>
      <c r="DE178" s="906"/>
      <c r="DF178" s="906"/>
      <c r="DG178" s="906"/>
      <c r="DH178" s="906"/>
      <c r="DI178" s="906"/>
      <c r="DJ178" s="906"/>
      <c r="DK178" s="906"/>
      <c r="DL178" s="906"/>
      <c r="DM178" s="906"/>
      <c r="DN178" s="906"/>
      <c r="DO178" s="906"/>
      <c r="DP178" s="906"/>
      <c r="DQ178" s="906"/>
      <c r="DR178" s="906"/>
      <c r="DS178" s="906"/>
    </row>
    <row r="179" spans="9:123" s="854" customFormat="1">
      <c r="I179" s="895"/>
      <c r="J179" s="895"/>
      <c r="R179" s="906"/>
      <c r="S179" s="906"/>
      <c r="T179" s="906"/>
      <c r="U179" s="906"/>
      <c r="V179" s="906"/>
      <c r="W179" s="906"/>
      <c r="X179" s="906"/>
      <c r="Y179" s="906"/>
      <c r="Z179" s="906"/>
      <c r="AA179" s="906"/>
      <c r="AB179" s="906"/>
      <c r="AC179" s="906"/>
      <c r="AD179" s="906"/>
      <c r="AE179" s="906"/>
      <c r="AF179" s="906"/>
      <c r="AG179" s="906"/>
      <c r="AH179" s="906"/>
      <c r="AI179" s="906"/>
      <c r="AJ179" s="906"/>
      <c r="AK179" s="906"/>
      <c r="AL179" s="906"/>
      <c r="AM179" s="906"/>
      <c r="AN179" s="906"/>
      <c r="AO179" s="906"/>
      <c r="AP179" s="906"/>
      <c r="AQ179" s="906"/>
      <c r="AR179" s="906"/>
      <c r="AS179" s="906"/>
      <c r="AT179" s="906"/>
      <c r="AU179" s="906"/>
      <c r="AV179" s="906"/>
      <c r="AW179" s="906"/>
      <c r="AX179" s="906"/>
      <c r="AY179" s="906"/>
      <c r="AZ179" s="906"/>
      <c r="BA179" s="906"/>
      <c r="BB179" s="906"/>
      <c r="BC179" s="906"/>
      <c r="BD179" s="906"/>
      <c r="BE179" s="906"/>
      <c r="BF179" s="906"/>
      <c r="BG179" s="906"/>
      <c r="BH179" s="906"/>
      <c r="BI179" s="906"/>
      <c r="BJ179" s="906"/>
      <c r="BK179" s="906"/>
      <c r="BL179" s="906"/>
      <c r="BM179" s="906"/>
      <c r="BN179" s="906"/>
      <c r="BO179" s="906"/>
      <c r="BP179" s="906"/>
      <c r="BQ179" s="906"/>
      <c r="BR179" s="906"/>
      <c r="BS179" s="906"/>
      <c r="BT179" s="906"/>
      <c r="BU179" s="906"/>
      <c r="BV179" s="906"/>
      <c r="BW179" s="906"/>
      <c r="BX179" s="906"/>
      <c r="BY179" s="906"/>
      <c r="BZ179" s="906"/>
      <c r="CA179" s="906"/>
      <c r="CB179" s="906"/>
      <c r="CC179" s="906"/>
      <c r="CD179" s="906"/>
      <c r="CE179" s="906"/>
      <c r="CF179" s="906"/>
      <c r="CG179" s="906"/>
      <c r="CH179" s="906"/>
      <c r="CI179" s="906"/>
      <c r="CJ179" s="906"/>
      <c r="CK179" s="906"/>
      <c r="CL179" s="906"/>
      <c r="CM179" s="906"/>
      <c r="CN179" s="906"/>
      <c r="CO179" s="906"/>
      <c r="CP179" s="906"/>
      <c r="CQ179" s="906"/>
      <c r="CR179" s="906"/>
      <c r="CS179" s="906"/>
      <c r="CT179" s="906"/>
      <c r="CU179" s="906"/>
      <c r="CV179" s="906"/>
      <c r="CW179" s="906"/>
      <c r="CX179" s="906"/>
      <c r="CY179" s="906"/>
      <c r="CZ179" s="906"/>
      <c r="DA179" s="906"/>
      <c r="DB179" s="906"/>
      <c r="DC179" s="906"/>
      <c r="DD179" s="906"/>
      <c r="DE179" s="906"/>
      <c r="DF179" s="906"/>
      <c r="DG179" s="906"/>
      <c r="DH179" s="906"/>
      <c r="DI179" s="906"/>
      <c r="DJ179" s="906"/>
      <c r="DK179" s="906"/>
      <c r="DL179" s="906"/>
      <c r="DM179" s="906"/>
      <c r="DN179" s="906"/>
      <c r="DO179" s="906"/>
      <c r="DP179" s="906"/>
      <c r="DQ179" s="906"/>
      <c r="DR179" s="906"/>
      <c r="DS179" s="906"/>
    </row>
    <row r="180" spans="9:123" s="854" customFormat="1">
      <c r="I180" s="895"/>
      <c r="J180" s="895"/>
      <c r="R180" s="906"/>
      <c r="S180" s="906"/>
      <c r="T180" s="906"/>
      <c r="U180" s="906"/>
      <c r="V180" s="906"/>
      <c r="W180" s="906"/>
      <c r="X180" s="906"/>
      <c r="Y180" s="906"/>
      <c r="Z180" s="906"/>
      <c r="AA180" s="906"/>
      <c r="AB180" s="906"/>
      <c r="AC180" s="906"/>
      <c r="AD180" s="906"/>
      <c r="AE180" s="906"/>
      <c r="AF180" s="906"/>
      <c r="AG180" s="906"/>
      <c r="AH180" s="906"/>
      <c r="AI180" s="906"/>
      <c r="AJ180" s="906"/>
      <c r="AK180" s="906"/>
      <c r="AL180" s="906"/>
      <c r="AM180" s="906"/>
      <c r="AN180" s="906"/>
      <c r="AO180" s="906"/>
      <c r="AP180" s="906"/>
      <c r="AQ180" s="906"/>
      <c r="AR180" s="906"/>
      <c r="AS180" s="906"/>
      <c r="AT180" s="906"/>
      <c r="AU180" s="906"/>
      <c r="AV180" s="906"/>
      <c r="AW180" s="906"/>
      <c r="AX180" s="906"/>
      <c r="AY180" s="906"/>
      <c r="AZ180" s="906"/>
      <c r="BA180" s="906"/>
      <c r="BB180" s="906"/>
      <c r="BC180" s="906"/>
      <c r="BD180" s="906"/>
      <c r="BE180" s="906"/>
      <c r="BF180" s="906"/>
      <c r="BG180" s="906"/>
      <c r="BH180" s="906"/>
      <c r="BI180" s="906"/>
      <c r="BJ180" s="906"/>
      <c r="BK180" s="906"/>
      <c r="BL180" s="906"/>
      <c r="BM180" s="906"/>
      <c r="BN180" s="906"/>
      <c r="BO180" s="906"/>
      <c r="BP180" s="906"/>
      <c r="BQ180" s="906"/>
      <c r="BR180" s="906"/>
      <c r="BS180" s="906"/>
      <c r="BT180" s="906"/>
      <c r="BU180" s="906"/>
      <c r="BV180" s="906"/>
      <c r="BW180" s="906"/>
      <c r="BX180" s="906"/>
      <c r="BY180" s="906"/>
      <c r="BZ180" s="906"/>
      <c r="CA180" s="906"/>
      <c r="CB180" s="906"/>
      <c r="CC180" s="906"/>
      <c r="CD180" s="906"/>
      <c r="CE180" s="906"/>
      <c r="CF180" s="906"/>
      <c r="CG180" s="906"/>
      <c r="CH180" s="906"/>
      <c r="CI180" s="906"/>
      <c r="CJ180" s="906"/>
      <c r="CK180" s="906"/>
      <c r="CL180" s="906"/>
      <c r="CM180" s="906"/>
      <c r="CN180" s="906"/>
      <c r="CO180" s="906"/>
      <c r="CP180" s="906"/>
      <c r="CQ180" s="906"/>
      <c r="CR180" s="906"/>
      <c r="CS180" s="906"/>
      <c r="CT180" s="906"/>
      <c r="CU180" s="906"/>
      <c r="CV180" s="906"/>
      <c r="CW180" s="906"/>
      <c r="CX180" s="906"/>
      <c r="CY180" s="906"/>
      <c r="CZ180" s="906"/>
      <c r="DA180" s="906"/>
      <c r="DB180" s="906"/>
      <c r="DC180" s="906"/>
      <c r="DD180" s="906"/>
      <c r="DE180" s="906"/>
      <c r="DF180" s="906"/>
      <c r="DG180" s="906"/>
      <c r="DH180" s="906"/>
      <c r="DI180" s="906"/>
      <c r="DJ180" s="906"/>
      <c r="DK180" s="906"/>
      <c r="DL180" s="906"/>
      <c r="DM180" s="906"/>
      <c r="DN180" s="906"/>
      <c r="DO180" s="906"/>
      <c r="DP180" s="906"/>
      <c r="DQ180" s="906"/>
      <c r="DR180" s="906"/>
      <c r="DS180" s="906"/>
    </row>
    <row r="181" spans="9:123" s="854" customFormat="1">
      <c r="I181" s="895"/>
      <c r="J181" s="895"/>
      <c r="R181" s="906"/>
      <c r="S181" s="906"/>
      <c r="T181" s="906"/>
      <c r="U181" s="906"/>
      <c r="V181" s="906"/>
      <c r="W181" s="906"/>
      <c r="X181" s="906"/>
      <c r="Y181" s="906"/>
      <c r="Z181" s="906"/>
      <c r="AA181" s="906"/>
      <c r="AB181" s="906"/>
      <c r="AC181" s="906"/>
      <c r="AD181" s="906"/>
      <c r="AE181" s="906"/>
      <c r="AF181" s="906"/>
      <c r="AG181" s="906"/>
      <c r="AH181" s="906"/>
      <c r="AI181" s="906"/>
      <c r="AJ181" s="906"/>
      <c r="AK181" s="906"/>
      <c r="AL181" s="906"/>
      <c r="AM181" s="906"/>
      <c r="AN181" s="906"/>
      <c r="AO181" s="906"/>
      <c r="AP181" s="906"/>
      <c r="AQ181" s="906"/>
      <c r="AR181" s="906"/>
      <c r="AS181" s="906"/>
      <c r="AT181" s="906"/>
      <c r="AU181" s="906"/>
      <c r="AV181" s="906"/>
      <c r="AW181" s="906"/>
      <c r="AX181" s="906"/>
      <c r="AY181" s="906"/>
      <c r="AZ181" s="906"/>
      <c r="BA181" s="906"/>
      <c r="BB181" s="906"/>
      <c r="BC181" s="906"/>
      <c r="BD181" s="906"/>
      <c r="BE181" s="906"/>
      <c r="BF181" s="906"/>
      <c r="BG181" s="906"/>
      <c r="BH181" s="906"/>
      <c r="BI181" s="906"/>
      <c r="BJ181" s="906"/>
      <c r="BK181" s="906"/>
      <c r="BL181" s="906"/>
      <c r="BM181" s="906"/>
      <c r="BN181" s="906"/>
      <c r="BO181" s="906"/>
      <c r="BP181" s="906"/>
      <c r="BQ181" s="906"/>
      <c r="BR181" s="906"/>
      <c r="BS181" s="906"/>
      <c r="BT181" s="906"/>
      <c r="BU181" s="906"/>
      <c r="BV181" s="906"/>
      <c r="BW181" s="906"/>
      <c r="BX181" s="906"/>
      <c r="BY181" s="906"/>
      <c r="BZ181" s="906"/>
      <c r="CA181" s="906"/>
      <c r="CB181" s="906"/>
      <c r="CC181" s="906"/>
      <c r="CD181" s="906"/>
      <c r="CE181" s="906"/>
      <c r="CF181" s="906"/>
      <c r="CG181" s="906"/>
      <c r="CH181" s="906"/>
      <c r="CI181" s="906"/>
      <c r="CJ181" s="906"/>
      <c r="CK181" s="906"/>
      <c r="CL181" s="906"/>
      <c r="CM181" s="906"/>
      <c r="CN181" s="906"/>
      <c r="CO181" s="906"/>
      <c r="CP181" s="906"/>
      <c r="CQ181" s="906"/>
      <c r="CR181" s="906"/>
      <c r="CS181" s="906"/>
      <c r="CT181" s="906"/>
      <c r="CU181" s="906"/>
      <c r="CV181" s="906"/>
      <c r="CW181" s="906"/>
      <c r="CX181" s="906"/>
      <c r="CY181" s="906"/>
      <c r="CZ181" s="906"/>
      <c r="DA181" s="906"/>
      <c r="DB181" s="906"/>
      <c r="DC181" s="906"/>
      <c r="DD181" s="906"/>
      <c r="DE181" s="906"/>
      <c r="DF181" s="906"/>
      <c r="DG181" s="906"/>
      <c r="DH181" s="906"/>
      <c r="DI181" s="906"/>
      <c r="DJ181" s="906"/>
      <c r="DK181" s="906"/>
      <c r="DL181" s="906"/>
      <c r="DM181" s="906"/>
      <c r="DN181" s="906"/>
      <c r="DO181" s="906"/>
      <c r="DP181" s="906"/>
      <c r="DQ181" s="906"/>
      <c r="DR181" s="906"/>
      <c r="DS181" s="906"/>
    </row>
    <row r="182" spans="9:123" s="854" customFormat="1">
      <c r="I182" s="895"/>
      <c r="J182" s="895"/>
      <c r="R182" s="906"/>
      <c r="S182" s="906"/>
      <c r="T182" s="906"/>
      <c r="U182" s="906"/>
      <c r="V182" s="906"/>
      <c r="W182" s="906"/>
      <c r="X182" s="906"/>
      <c r="Y182" s="906"/>
      <c r="Z182" s="906"/>
      <c r="AA182" s="906"/>
      <c r="AB182" s="906"/>
      <c r="AC182" s="906"/>
      <c r="AD182" s="906"/>
      <c r="AE182" s="906"/>
      <c r="AF182" s="906"/>
      <c r="AG182" s="906"/>
      <c r="AH182" s="906"/>
      <c r="AI182" s="906"/>
      <c r="AJ182" s="906"/>
      <c r="AK182" s="906"/>
      <c r="AL182" s="906"/>
      <c r="AM182" s="906"/>
      <c r="AN182" s="906"/>
      <c r="AO182" s="906"/>
      <c r="AP182" s="906"/>
      <c r="AQ182" s="906"/>
      <c r="AR182" s="906"/>
      <c r="AS182" s="906"/>
      <c r="AT182" s="906"/>
      <c r="AU182" s="906"/>
      <c r="AV182" s="906"/>
      <c r="AW182" s="906"/>
      <c r="AX182" s="906"/>
      <c r="AY182" s="906"/>
      <c r="AZ182" s="906"/>
      <c r="BA182" s="906"/>
      <c r="BB182" s="906"/>
      <c r="BC182" s="906"/>
      <c r="BD182" s="906"/>
      <c r="BE182" s="906"/>
      <c r="BF182" s="906"/>
      <c r="BG182" s="906"/>
      <c r="BH182" s="906"/>
      <c r="BI182" s="906"/>
      <c r="BJ182" s="906"/>
      <c r="BK182" s="906"/>
      <c r="BL182" s="906"/>
      <c r="BM182" s="906"/>
      <c r="BN182" s="906"/>
      <c r="BO182" s="906"/>
      <c r="BP182" s="906"/>
      <c r="BQ182" s="906"/>
      <c r="BR182" s="906"/>
      <c r="BS182" s="906"/>
      <c r="BT182" s="906"/>
      <c r="BU182" s="906"/>
      <c r="BV182" s="906"/>
      <c r="BW182" s="906"/>
      <c r="BX182" s="906"/>
      <c r="BY182" s="906"/>
      <c r="BZ182" s="906"/>
      <c r="CA182" s="906"/>
      <c r="CB182" s="906"/>
      <c r="CC182" s="906"/>
      <c r="CD182" s="906"/>
      <c r="CE182" s="906"/>
      <c r="CF182" s="906"/>
      <c r="CG182" s="906"/>
      <c r="CH182" s="906"/>
      <c r="CI182" s="906"/>
      <c r="CJ182" s="906"/>
      <c r="CK182" s="906"/>
      <c r="CL182" s="906"/>
      <c r="CM182" s="906"/>
      <c r="CN182" s="906"/>
      <c r="CO182" s="906"/>
      <c r="CP182" s="906"/>
      <c r="CQ182" s="906"/>
      <c r="CR182" s="906"/>
      <c r="CS182" s="906"/>
      <c r="CT182" s="906"/>
      <c r="CU182" s="906"/>
      <c r="CV182" s="906"/>
      <c r="CW182" s="906"/>
      <c r="CX182" s="906"/>
      <c r="CY182" s="906"/>
      <c r="CZ182" s="906"/>
      <c r="DA182" s="906"/>
      <c r="DB182" s="906"/>
      <c r="DC182" s="906"/>
      <c r="DD182" s="906"/>
      <c r="DE182" s="906"/>
      <c r="DF182" s="906"/>
      <c r="DG182" s="906"/>
      <c r="DH182" s="906"/>
      <c r="DI182" s="906"/>
      <c r="DJ182" s="906"/>
      <c r="DK182" s="906"/>
      <c r="DL182" s="906"/>
      <c r="DM182" s="906"/>
      <c r="DN182" s="906"/>
      <c r="DO182" s="906"/>
      <c r="DP182" s="906"/>
      <c r="DQ182" s="906"/>
      <c r="DR182" s="906"/>
      <c r="DS182" s="906"/>
    </row>
    <row r="183" spans="9:123" s="854" customFormat="1">
      <c r="I183" s="895"/>
      <c r="J183" s="895"/>
      <c r="R183" s="906"/>
      <c r="S183" s="906"/>
      <c r="T183" s="906"/>
      <c r="U183" s="906"/>
      <c r="V183" s="906"/>
      <c r="W183" s="906"/>
      <c r="X183" s="906"/>
      <c r="Y183" s="906"/>
      <c r="Z183" s="906"/>
      <c r="AA183" s="906"/>
      <c r="AB183" s="906"/>
      <c r="AC183" s="906"/>
      <c r="AD183" s="906"/>
      <c r="AE183" s="906"/>
      <c r="AF183" s="906"/>
      <c r="AG183" s="906"/>
      <c r="AH183" s="906"/>
      <c r="AI183" s="906"/>
      <c r="AJ183" s="906"/>
      <c r="AK183" s="906"/>
      <c r="AL183" s="906"/>
      <c r="AM183" s="906"/>
      <c r="AN183" s="906"/>
      <c r="AO183" s="906"/>
      <c r="AP183" s="906"/>
      <c r="AQ183" s="906"/>
      <c r="AR183" s="906"/>
      <c r="AS183" s="906"/>
      <c r="AT183" s="906"/>
      <c r="AU183" s="906"/>
      <c r="AV183" s="906"/>
      <c r="AW183" s="906"/>
      <c r="AX183" s="906"/>
      <c r="AY183" s="906"/>
      <c r="AZ183" s="906"/>
      <c r="BA183" s="906"/>
      <c r="BB183" s="906"/>
      <c r="BC183" s="906"/>
      <c r="BD183" s="906"/>
      <c r="BE183" s="906"/>
      <c r="BF183" s="906"/>
      <c r="BG183" s="906"/>
      <c r="BH183" s="906"/>
      <c r="BI183" s="906"/>
      <c r="BJ183" s="906"/>
      <c r="BK183" s="906"/>
      <c r="BL183" s="906"/>
      <c r="BM183" s="906"/>
      <c r="BN183" s="906"/>
      <c r="BO183" s="906"/>
      <c r="BP183" s="906"/>
      <c r="BQ183" s="906"/>
      <c r="BR183" s="906"/>
      <c r="BS183" s="906"/>
      <c r="BT183" s="906"/>
      <c r="BU183" s="906"/>
      <c r="BV183" s="906"/>
      <c r="BW183" s="906"/>
      <c r="BX183" s="906"/>
      <c r="BY183" s="906"/>
      <c r="BZ183" s="906"/>
      <c r="CA183" s="906"/>
      <c r="CB183" s="906"/>
      <c r="CC183" s="906"/>
      <c r="CD183" s="906"/>
      <c r="CE183" s="906"/>
      <c r="CF183" s="906"/>
      <c r="CG183" s="906"/>
      <c r="CH183" s="906"/>
      <c r="CI183" s="906"/>
      <c r="CJ183" s="906"/>
      <c r="CK183" s="906"/>
      <c r="CL183" s="906"/>
      <c r="CM183" s="906"/>
      <c r="CN183" s="906"/>
      <c r="CO183" s="906"/>
      <c r="CP183" s="906"/>
      <c r="CQ183" s="906"/>
      <c r="CR183" s="906"/>
      <c r="CS183" s="906"/>
      <c r="CT183" s="906"/>
      <c r="CU183" s="906"/>
      <c r="CV183" s="906"/>
      <c r="CW183" s="906"/>
      <c r="CX183" s="906"/>
      <c r="CY183" s="906"/>
      <c r="CZ183" s="906"/>
      <c r="DA183" s="906"/>
      <c r="DB183" s="906"/>
      <c r="DC183" s="906"/>
      <c r="DD183" s="906"/>
      <c r="DE183" s="906"/>
      <c r="DF183" s="906"/>
      <c r="DG183" s="906"/>
      <c r="DH183" s="906"/>
      <c r="DI183" s="906"/>
      <c r="DJ183" s="906"/>
      <c r="DK183" s="906"/>
      <c r="DL183" s="906"/>
      <c r="DM183" s="906"/>
      <c r="DN183" s="906"/>
      <c r="DO183" s="906"/>
      <c r="DP183" s="906"/>
      <c r="DQ183" s="906"/>
      <c r="DR183" s="906"/>
      <c r="DS183" s="906"/>
    </row>
    <row r="184" spans="9:123" s="854" customFormat="1">
      <c r="I184" s="895"/>
      <c r="J184" s="895"/>
      <c r="R184" s="906"/>
      <c r="S184" s="906"/>
      <c r="T184" s="906"/>
      <c r="U184" s="906"/>
      <c r="V184" s="906"/>
      <c r="W184" s="906"/>
      <c r="X184" s="906"/>
      <c r="Y184" s="906"/>
      <c r="Z184" s="906"/>
      <c r="AA184" s="906"/>
      <c r="AB184" s="906"/>
      <c r="AC184" s="906"/>
      <c r="AD184" s="906"/>
      <c r="AE184" s="906"/>
      <c r="AF184" s="906"/>
      <c r="AG184" s="906"/>
      <c r="AH184" s="906"/>
      <c r="AI184" s="906"/>
      <c r="AJ184" s="906"/>
      <c r="AK184" s="906"/>
      <c r="AL184" s="906"/>
      <c r="AM184" s="906"/>
      <c r="AN184" s="906"/>
      <c r="AO184" s="906"/>
      <c r="AP184" s="906"/>
      <c r="AQ184" s="906"/>
      <c r="AR184" s="906"/>
      <c r="AS184" s="906"/>
      <c r="AT184" s="906"/>
      <c r="AU184" s="906"/>
      <c r="AV184" s="906"/>
      <c r="AW184" s="906"/>
      <c r="AX184" s="906"/>
      <c r="AY184" s="906"/>
      <c r="AZ184" s="906"/>
      <c r="BA184" s="906"/>
      <c r="BB184" s="906"/>
      <c r="BC184" s="906"/>
      <c r="BD184" s="906"/>
      <c r="BE184" s="906"/>
      <c r="BF184" s="906"/>
      <c r="BG184" s="906"/>
      <c r="BH184" s="906"/>
      <c r="BI184" s="906"/>
      <c r="BJ184" s="906"/>
      <c r="BK184" s="906"/>
      <c r="BL184" s="906"/>
      <c r="BM184" s="906"/>
      <c r="BN184" s="906"/>
      <c r="BO184" s="906"/>
      <c r="BP184" s="906"/>
      <c r="BQ184" s="906"/>
      <c r="BR184" s="906"/>
      <c r="BS184" s="906"/>
      <c r="BT184" s="906"/>
      <c r="BU184" s="906"/>
      <c r="BV184" s="906"/>
      <c r="BW184" s="906"/>
      <c r="BX184" s="906"/>
      <c r="BY184" s="906"/>
      <c r="BZ184" s="906"/>
      <c r="CA184" s="906"/>
      <c r="CB184" s="906"/>
      <c r="CC184" s="906"/>
      <c r="CD184" s="906"/>
      <c r="CE184" s="906"/>
      <c r="CF184" s="906"/>
      <c r="CG184" s="906"/>
      <c r="CH184" s="906"/>
      <c r="CI184" s="906"/>
      <c r="CJ184" s="906"/>
      <c r="CK184" s="906"/>
      <c r="CL184" s="906"/>
      <c r="CM184" s="906"/>
      <c r="CN184" s="906"/>
      <c r="CO184" s="906"/>
      <c r="CP184" s="906"/>
      <c r="CQ184" s="906"/>
      <c r="CR184" s="906"/>
      <c r="CS184" s="906"/>
      <c r="CT184" s="906"/>
      <c r="CU184" s="906"/>
      <c r="CV184" s="906"/>
      <c r="CW184" s="906"/>
      <c r="CX184" s="906"/>
      <c r="CY184" s="906"/>
      <c r="CZ184" s="906"/>
      <c r="DA184" s="906"/>
      <c r="DB184" s="906"/>
      <c r="DC184" s="906"/>
      <c r="DD184" s="906"/>
      <c r="DE184" s="906"/>
      <c r="DF184" s="906"/>
      <c r="DG184" s="906"/>
      <c r="DH184" s="906"/>
      <c r="DI184" s="906"/>
      <c r="DJ184" s="906"/>
      <c r="DK184" s="906"/>
      <c r="DL184" s="906"/>
      <c r="DM184" s="906"/>
      <c r="DN184" s="906"/>
      <c r="DO184" s="906"/>
      <c r="DP184" s="906"/>
      <c r="DQ184" s="906"/>
      <c r="DR184" s="906"/>
      <c r="DS184" s="906"/>
    </row>
    <row r="185" spans="9:123" s="854" customFormat="1">
      <c r="I185" s="895"/>
      <c r="J185" s="895"/>
      <c r="R185" s="906"/>
      <c r="S185" s="906"/>
      <c r="T185" s="906"/>
      <c r="U185" s="906"/>
      <c r="V185" s="906"/>
      <c r="W185" s="906"/>
      <c r="X185" s="906"/>
      <c r="Y185" s="906"/>
      <c r="Z185" s="906"/>
      <c r="AA185" s="906"/>
      <c r="AB185" s="906"/>
      <c r="AC185" s="906"/>
      <c r="AD185" s="906"/>
      <c r="AE185" s="906"/>
      <c r="AF185" s="906"/>
      <c r="AG185" s="906"/>
      <c r="AH185" s="906"/>
      <c r="AI185" s="906"/>
      <c r="AJ185" s="906"/>
      <c r="AK185" s="906"/>
      <c r="AL185" s="906"/>
      <c r="AM185" s="906"/>
      <c r="AN185" s="906"/>
      <c r="AO185" s="906"/>
      <c r="AP185" s="906"/>
      <c r="AQ185" s="906"/>
      <c r="AR185" s="906"/>
      <c r="AS185" s="906"/>
      <c r="AT185" s="906"/>
      <c r="AU185" s="906"/>
      <c r="AV185" s="906"/>
      <c r="AW185" s="906"/>
      <c r="AX185" s="906"/>
      <c r="AY185" s="906"/>
      <c r="AZ185" s="906"/>
      <c r="BA185" s="906"/>
      <c r="BB185" s="906"/>
      <c r="BC185" s="906"/>
      <c r="BD185" s="906"/>
      <c r="BE185" s="906"/>
      <c r="BF185" s="906"/>
      <c r="BG185" s="906"/>
      <c r="BH185" s="906"/>
      <c r="BI185" s="906"/>
      <c r="BJ185" s="906"/>
      <c r="BK185" s="906"/>
      <c r="BL185" s="906"/>
      <c r="BM185" s="906"/>
      <c r="BN185" s="906"/>
      <c r="BO185" s="906"/>
      <c r="BP185" s="906"/>
      <c r="BQ185" s="906"/>
      <c r="BR185" s="906"/>
      <c r="BS185" s="906"/>
      <c r="BT185" s="906"/>
      <c r="BU185" s="906"/>
      <c r="BV185" s="906"/>
      <c r="BW185" s="906"/>
      <c r="BX185" s="906"/>
      <c r="BY185" s="906"/>
      <c r="BZ185" s="906"/>
      <c r="CA185" s="906"/>
      <c r="CB185" s="906"/>
      <c r="CC185" s="906"/>
      <c r="CD185" s="906"/>
      <c r="CE185" s="906"/>
      <c r="CF185" s="906"/>
      <c r="CG185" s="906"/>
      <c r="CH185" s="906"/>
      <c r="CI185" s="906"/>
      <c r="CJ185" s="906"/>
      <c r="CK185" s="906"/>
      <c r="CL185" s="906"/>
      <c r="CM185" s="906"/>
      <c r="CN185" s="906"/>
      <c r="CO185" s="906"/>
      <c r="CP185" s="906"/>
      <c r="CQ185" s="906"/>
      <c r="CR185" s="906"/>
      <c r="CS185" s="906"/>
      <c r="CT185" s="906"/>
      <c r="CU185" s="906"/>
      <c r="CV185" s="906"/>
      <c r="CW185" s="906"/>
      <c r="CX185" s="906"/>
      <c r="CY185" s="906"/>
      <c r="CZ185" s="906"/>
      <c r="DA185" s="906"/>
      <c r="DB185" s="906"/>
      <c r="DC185" s="906"/>
      <c r="DD185" s="906"/>
      <c r="DE185" s="906"/>
      <c r="DF185" s="906"/>
      <c r="DG185" s="906"/>
      <c r="DH185" s="906"/>
      <c r="DI185" s="906"/>
      <c r="DJ185" s="906"/>
      <c r="DK185" s="906"/>
      <c r="DL185" s="906"/>
      <c r="DM185" s="906"/>
      <c r="DN185" s="906"/>
      <c r="DO185" s="906"/>
      <c r="DP185" s="906"/>
      <c r="DQ185" s="906"/>
      <c r="DR185" s="906"/>
      <c r="DS185" s="906"/>
    </row>
    <row r="186" spans="9:123" s="854" customFormat="1">
      <c r="I186" s="895"/>
      <c r="J186" s="895"/>
      <c r="R186" s="906"/>
      <c r="S186" s="906"/>
      <c r="T186" s="906"/>
      <c r="U186" s="906"/>
      <c r="V186" s="906"/>
      <c r="W186" s="906"/>
      <c r="X186" s="906"/>
      <c r="Y186" s="906"/>
      <c r="Z186" s="906"/>
      <c r="AA186" s="906"/>
      <c r="AB186" s="906"/>
      <c r="AC186" s="906"/>
      <c r="AD186" s="906"/>
      <c r="AE186" s="906"/>
      <c r="AF186" s="906"/>
      <c r="AG186" s="906"/>
      <c r="AH186" s="906"/>
      <c r="AI186" s="906"/>
      <c r="AJ186" s="906"/>
      <c r="AK186" s="906"/>
      <c r="AL186" s="906"/>
      <c r="AM186" s="906"/>
      <c r="AN186" s="906"/>
      <c r="AO186" s="906"/>
      <c r="AP186" s="906"/>
      <c r="AQ186" s="906"/>
      <c r="AR186" s="906"/>
      <c r="AS186" s="906"/>
      <c r="AT186" s="906"/>
      <c r="AU186" s="906"/>
      <c r="AV186" s="906"/>
      <c r="AW186" s="906"/>
      <c r="AX186" s="906"/>
      <c r="AY186" s="906"/>
      <c r="AZ186" s="906"/>
      <c r="BA186" s="906"/>
      <c r="BB186" s="906"/>
      <c r="BC186" s="906"/>
      <c r="BD186" s="906"/>
      <c r="BE186" s="906"/>
      <c r="BF186" s="906"/>
      <c r="BG186" s="906"/>
      <c r="BH186" s="906"/>
      <c r="BI186" s="906"/>
      <c r="BJ186" s="906"/>
      <c r="BK186" s="906"/>
      <c r="BL186" s="906"/>
      <c r="BM186" s="906"/>
      <c r="BN186" s="906"/>
      <c r="BO186" s="906"/>
      <c r="BP186" s="906"/>
      <c r="BQ186" s="906"/>
      <c r="BR186" s="906"/>
      <c r="BS186" s="906"/>
      <c r="BT186" s="906"/>
      <c r="BU186" s="906"/>
      <c r="BV186" s="906"/>
      <c r="BW186" s="906"/>
      <c r="BX186" s="906"/>
      <c r="BY186" s="906"/>
      <c r="BZ186" s="906"/>
      <c r="CA186" s="906"/>
      <c r="CB186" s="906"/>
      <c r="CC186" s="906"/>
      <c r="CD186" s="906"/>
      <c r="CE186" s="906"/>
      <c r="CF186" s="906"/>
      <c r="CG186" s="906"/>
      <c r="CH186" s="906"/>
      <c r="CI186" s="906"/>
      <c r="CJ186" s="906"/>
      <c r="CK186" s="906"/>
      <c r="CL186" s="906"/>
      <c r="CM186" s="906"/>
      <c r="CN186" s="906"/>
      <c r="CO186" s="906"/>
      <c r="CP186" s="906"/>
      <c r="CQ186" s="906"/>
      <c r="CR186" s="906"/>
      <c r="CS186" s="906"/>
      <c r="CT186" s="906"/>
      <c r="CU186" s="906"/>
      <c r="CV186" s="906"/>
      <c r="CW186" s="906"/>
      <c r="CX186" s="906"/>
      <c r="CY186" s="906"/>
      <c r="CZ186" s="906"/>
      <c r="DA186" s="906"/>
      <c r="DB186" s="906"/>
      <c r="DC186" s="906"/>
      <c r="DD186" s="906"/>
      <c r="DE186" s="906"/>
      <c r="DF186" s="906"/>
      <c r="DG186" s="906"/>
      <c r="DH186" s="906"/>
      <c r="DI186" s="906"/>
      <c r="DJ186" s="906"/>
      <c r="DK186" s="906"/>
      <c r="DL186" s="906"/>
      <c r="DM186" s="906"/>
      <c r="DN186" s="906"/>
      <c r="DO186" s="906"/>
      <c r="DP186" s="906"/>
      <c r="DQ186" s="906"/>
      <c r="DR186" s="906"/>
      <c r="DS186" s="906"/>
    </row>
    <row r="187" spans="9:123" s="854" customFormat="1">
      <c r="I187" s="895"/>
      <c r="J187" s="895"/>
      <c r="R187" s="906"/>
      <c r="S187" s="906"/>
      <c r="T187" s="906"/>
      <c r="U187" s="906"/>
      <c r="V187" s="906"/>
      <c r="W187" s="906"/>
      <c r="X187" s="906"/>
      <c r="Y187" s="906"/>
      <c r="Z187" s="906"/>
      <c r="AA187" s="906"/>
      <c r="AB187" s="906"/>
      <c r="AC187" s="906"/>
      <c r="AD187" s="906"/>
      <c r="AE187" s="906"/>
      <c r="AF187" s="906"/>
      <c r="AG187" s="906"/>
      <c r="AH187" s="906"/>
      <c r="AI187" s="906"/>
      <c r="AJ187" s="906"/>
      <c r="AK187" s="906"/>
      <c r="AL187" s="906"/>
      <c r="AM187" s="906"/>
      <c r="AN187" s="906"/>
      <c r="AO187" s="906"/>
      <c r="AP187" s="906"/>
      <c r="AQ187" s="906"/>
      <c r="AR187" s="906"/>
      <c r="AS187" s="906"/>
      <c r="AT187" s="906"/>
      <c r="AU187" s="906"/>
      <c r="AV187" s="906"/>
      <c r="AW187" s="906"/>
      <c r="AX187" s="906"/>
      <c r="AY187" s="906"/>
      <c r="AZ187" s="906"/>
      <c r="BA187" s="906"/>
      <c r="BB187" s="906"/>
      <c r="BC187" s="906"/>
      <c r="BD187" s="906"/>
      <c r="BE187" s="906"/>
      <c r="BF187" s="906"/>
      <c r="BG187" s="906"/>
      <c r="BH187" s="906"/>
      <c r="BI187" s="906"/>
      <c r="BJ187" s="906"/>
      <c r="BK187" s="906"/>
      <c r="BL187" s="906"/>
      <c r="BM187" s="906"/>
      <c r="BN187" s="906"/>
      <c r="BO187" s="906"/>
      <c r="BP187" s="906"/>
      <c r="BQ187" s="906"/>
      <c r="BR187" s="906"/>
      <c r="BS187" s="906"/>
      <c r="BT187" s="906"/>
      <c r="BU187" s="906"/>
      <c r="BV187" s="906"/>
      <c r="BW187" s="906"/>
      <c r="BX187" s="906"/>
      <c r="BY187" s="906"/>
      <c r="BZ187" s="906"/>
      <c r="CA187" s="906"/>
      <c r="CB187" s="906"/>
      <c r="CC187" s="906"/>
      <c r="CD187" s="906"/>
      <c r="CE187" s="906"/>
      <c r="CF187" s="906"/>
      <c r="CG187" s="906"/>
      <c r="CH187" s="906"/>
      <c r="CI187" s="906"/>
      <c r="CJ187" s="906"/>
      <c r="CK187" s="906"/>
      <c r="CL187" s="906"/>
      <c r="CM187" s="906"/>
      <c r="CN187" s="906"/>
      <c r="CO187" s="906"/>
      <c r="CP187" s="906"/>
      <c r="CQ187" s="906"/>
      <c r="CR187" s="906"/>
      <c r="CS187" s="906"/>
      <c r="CT187" s="906"/>
      <c r="CU187" s="906"/>
      <c r="CV187" s="906"/>
      <c r="CW187" s="906"/>
      <c r="CX187" s="906"/>
      <c r="CY187" s="906"/>
      <c r="CZ187" s="906"/>
      <c r="DA187" s="906"/>
      <c r="DB187" s="906"/>
      <c r="DC187" s="906"/>
      <c r="DD187" s="906"/>
      <c r="DE187" s="906"/>
      <c r="DF187" s="906"/>
      <c r="DG187" s="906"/>
      <c r="DH187" s="906"/>
      <c r="DI187" s="906"/>
      <c r="DJ187" s="906"/>
      <c r="DK187" s="906"/>
      <c r="DL187" s="906"/>
      <c r="DM187" s="906"/>
      <c r="DN187" s="906"/>
      <c r="DO187" s="906"/>
      <c r="DP187" s="906"/>
      <c r="DQ187" s="906"/>
      <c r="DR187" s="906"/>
      <c r="DS187" s="906"/>
    </row>
    <row r="188" spans="9:123" s="854" customFormat="1">
      <c r="I188" s="895"/>
      <c r="J188" s="895"/>
      <c r="R188" s="906"/>
      <c r="S188" s="906"/>
      <c r="T188" s="906"/>
      <c r="U188" s="906"/>
      <c r="V188" s="906"/>
      <c r="W188" s="906"/>
      <c r="X188" s="906"/>
      <c r="Y188" s="906"/>
      <c r="Z188" s="906"/>
      <c r="AA188" s="906"/>
      <c r="AB188" s="906"/>
      <c r="AC188" s="906"/>
      <c r="AD188" s="906"/>
      <c r="AE188" s="906"/>
      <c r="AF188" s="906"/>
      <c r="AG188" s="906"/>
      <c r="AH188" s="906"/>
      <c r="AI188" s="906"/>
      <c r="AJ188" s="906"/>
      <c r="AK188" s="906"/>
      <c r="AL188" s="906"/>
      <c r="AM188" s="906"/>
      <c r="AN188" s="906"/>
      <c r="AO188" s="906"/>
      <c r="AP188" s="906"/>
      <c r="AQ188" s="906"/>
      <c r="AR188" s="906"/>
      <c r="AS188" s="906"/>
      <c r="AT188" s="906"/>
      <c r="AU188" s="906"/>
      <c r="AV188" s="906"/>
      <c r="AW188" s="906"/>
      <c r="AX188" s="906"/>
      <c r="AY188" s="906"/>
      <c r="AZ188" s="906"/>
      <c r="BA188" s="906"/>
      <c r="BB188" s="906"/>
      <c r="BC188" s="906"/>
      <c r="BD188" s="906"/>
      <c r="BE188" s="906"/>
      <c r="BF188" s="906"/>
      <c r="BG188" s="906"/>
      <c r="BH188" s="906"/>
      <c r="BI188" s="906"/>
      <c r="BJ188" s="906"/>
      <c r="BK188" s="906"/>
      <c r="BL188" s="906"/>
      <c r="BM188" s="906"/>
      <c r="BN188" s="906"/>
      <c r="BO188" s="906"/>
      <c r="BP188" s="906"/>
      <c r="BQ188" s="906"/>
      <c r="BR188" s="906"/>
      <c r="BS188" s="906"/>
      <c r="BT188" s="906"/>
      <c r="BU188" s="906"/>
      <c r="BV188" s="906"/>
      <c r="BW188" s="906"/>
      <c r="BX188" s="906"/>
      <c r="BY188" s="906"/>
      <c r="BZ188" s="906"/>
      <c r="CA188" s="906"/>
      <c r="CB188" s="906"/>
      <c r="CC188" s="906"/>
      <c r="CD188" s="906"/>
      <c r="CE188" s="906"/>
      <c r="CF188" s="906"/>
      <c r="CG188" s="906"/>
      <c r="CH188" s="906"/>
      <c r="CI188" s="906"/>
      <c r="CJ188" s="906"/>
      <c r="CK188" s="906"/>
      <c r="CL188" s="906"/>
      <c r="CM188" s="906"/>
      <c r="CN188" s="906"/>
      <c r="CO188" s="906"/>
      <c r="CP188" s="906"/>
      <c r="CQ188" s="906"/>
      <c r="CR188" s="906"/>
      <c r="CS188" s="906"/>
      <c r="CT188" s="906"/>
      <c r="CU188" s="906"/>
      <c r="CV188" s="906"/>
      <c r="CW188" s="906"/>
      <c r="CX188" s="906"/>
      <c r="CY188" s="906"/>
      <c r="CZ188" s="906"/>
      <c r="DA188" s="906"/>
      <c r="DB188" s="906"/>
      <c r="DC188" s="906"/>
      <c r="DD188" s="906"/>
      <c r="DE188" s="906"/>
      <c r="DF188" s="906"/>
      <c r="DG188" s="906"/>
      <c r="DH188" s="906"/>
      <c r="DI188" s="906"/>
      <c r="DJ188" s="906"/>
      <c r="DK188" s="906"/>
      <c r="DL188" s="906"/>
      <c r="DM188" s="906"/>
      <c r="DN188" s="906"/>
      <c r="DO188" s="906"/>
      <c r="DP188" s="906"/>
      <c r="DQ188" s="906"/>
      <c r="DR188" s="906"/>
      <c r="DS188" s="906"/>
    </row>
    <row r="189" spans="9:123" s="854" customFormat="1">
      <c r="I189" s="895"/>
      <c r="J189" s="895"/>
      <c r="R189" s="906"/>
      <c r="S189" s="906"/>
      <c r="T189" s="906"/>
      <c r="U189" s="906"/>
      <c r="V189" s="906"/>
      <c r="W189" s="906"/>
      <c r="X189" s="906"/>
      <c r="Y189" s="906"/>
      <c r="Z189" s="906"/>
      <c r="AA189" s="906"/>
      <c r="AB189" s="906"/>
      <c r="AC189" s="906"/>
      <c r="AD189" s="906"/>
      <c r="AE189" s="906"/>
      <c r="AF189" s="906"/>
      <c r="AG189" s="906"/>
      <c r="AH189" s="906"/>
      <c r="AI189" s="906"/>
      <c r="AJ189" s="906"/>
      <c r="AK189" s="906"/>
      <c r="AL189" s="906"/>
      <c r="AM189" s="906"/>
      <c r="AN189" s="906"/>
      <c r="AO189" s="906"/>
      <c r="AP189" s="906"/>
      <c r="AQ189" s="906"/>
      <c r="AR189" s="906"/>
      <c r="AS189" s="906"/>
      <c r="AT189" s="906"/>
      <c r="AU189" s="906"/>
      <c r="AV189" s="906"/>
      <c r="AW189" s="906"/>
      <c r="AX189" s="906"/>
      <c r="AY189" s="906"/>
      <c r="AZ189" s="906"/>
      <c r="BA189" s="906"/>
      <c r="BB189" s="906"/>
      <c r="BC189" s="906"/>
      <c r="BD189" s="906"/>
      <c r="BE189" s="906"/>
      <c r="BF189" s="906"/>
      <c r="BG189" s="906"/>
      <c r="BH189" s="906"/>
      <c r="BI189" s="906"/>
      <c r="BJ189" s="906"/>
      <c r="BK189" s="906"/>
      <c r="BL189" s="906"/>
      <c r="BM189" s="906"/>
      <c r="BN189" s="906"/>
      <c r="BO189" s="906"/>
      <c r="BP189" s="906"/>
      <c r="BQ189" s="906"/>
      <c r="BR189" s="906"/>
      <c r="BS189" s="906"/>
      <c r="BT189" s="906"/>
      <c r="BU189" s="906"/>
      <c r="BV189" s="906"/>
      <c r="BW189" s="906"/>
      <c r="BX189" s="906"/>
      <c r="BY189" s="906"/>
      <c r="BZ189" s="906"/>
      <c r="CA189" s="906"/>
      <c r="CB189" s="906"/>
      <c r="CC189" s="906"/>
      <c r="CD189" s="906"/>
      <c r="CE189" s="906"/>
      <c r="CF189" s="906"/>
      <c r="CG189" s="906"/>
      <c r="CH189" s="906"/>
      <c r="CI189" s="906"/>
      <c r="CJ189" s="906"/>
      <c r="CK189" s="906"/>
      <c r="CL189" s="906"/>
      <c r="CM189" s="906"/>
      <c r="CN189" s="906"/>
      <c r="CO189" s="906"/>
      <c r="CP189" s="906"/>
      <c r="CQ189" s="906"/>
      <c r="CR189" s="906"/>
      <c r="CS189" s="906"/>
      <c r="CT189" s="906"/>
      <c r="CU189" s="906"/>
      <c r="CV189" s="906"/>
      <c r="CW189" s="906"/>
      <c r="CX189" s="906"/>
      <c r="CY189" s="906"/>
      <c r="CZ189" s="906"/>
      <c r="DA189" s="906"/>
      <c r="DB189" s="906"/>
      <c r="DC189" s="906"/>
      <c r="DD189" s="906"/>
      <c r="DE189" s="906"/>
      <c r="DF189" s="906"/>
      <c r="DG189" s="906"/>
      <c r="DH189" s="906"/>
      <c r="DI189" s="906"/>
      <c r="DJ189" s="906"/>
      <c r="DK189" s="906"/>
      <c r="DL189" s="906"/>
      <c r="DM189" s="906"/>
      <c r="DN189" s="906"/>
      <c r="DO189" s="906"/>
      <c r="DP189" s="906"/>
      <c r="DQ189" s="906"/>
      <c r="DR189" s="906"/>
      <c r="DS189" s="906"/>
    </row>
    <row r="190" spans="9:123" s="854" customFormat="1">
      <c r="I190" s="895"/>
      <c r="J190" s="895"/>
      <c r="R190" s="906"/>
      <c r="S190" s="906"/>
      <c r="T190" s="906"/>
      <c r="U190" s="906"/>
      <c r="V190" s="906"/>
      <c r="W190" s="906"/>
      <c r="X190" s="906"/>
      <c r="Y190" s="906"/>
      <c r="Z190" s="906"/>
      <c r="AA190" s="906"/>
      <c r="AB190" s="906"/>
      <c r="AC190" s="906"/>
      <c r="AD190" s="906"/>
      <c r="AE190" s="906"/>
      <c r="AF190" s="906"/>
      <c r="AG190" s="906"/>
      <c r="AH190" s="906"/>
      <c r="AI190" s="906"/>
      <c r="AJ190" s="906"/>
      <c r="AK190" s="906"/>
      <c r="AL190" s="906"/>
      <c r="AM190" s="906"/>
      <c r="AN190" s="906"/>
      <c r="AO190" s="906"/>
      <c r="AP190" s="906"/>
      <c r="AQ190" s="906"/>
      <c r="AR190" s="906"/>
      <c r="AS190" s="906"/>
      <c r="AT190" s="906"/>
      <c r="AU190" s="906"/>
      <c r="AV190" s="906"/>
      <c r="AW190" s="906"/>
      <c r="AX190" s="906"/>
      <c r="AY190" s="906"/>
      <c r="AZ190" s="906"/>
      <c r="BA190" s="906"/>
      <c r="BB190" s="906"/>
      <c r="BC190" s="906"/>
      <c r="BD190" s="906"/>
      <c r="BE190" s="906"/>
      <c r="BF190" s="906"/>
      <c r="BG190" s="906"/>
      <c r="BH190" s="906"/>
      <c r="BI190" s="906"/>
      <c r="BJ190" s="906"/>
      <c r="BK190" s="906"/>
      <c r="BL190" s="906"/>
      <c r="BM190" s="906"/>
      <c r="BN190" s="906"/>
      <c r="BO190" s="906"/>
      <c r="BP190" s="906"/>
      <c r="BQ190" s="906"/>
      <c r="BR190" s="906"/>
      <c r="BS190" s="906"/>
      <c r="BT190" s="906"/>
      <c r="BU190" s="906"/>
      <c r="BV190" s="906"/>
      <c r="BW190" s="906"/>
      <c r="BX190" s="906"/>
      <c r="BY190" s="906"/>
      <c r="BZ190" s="906"/>
      <c r="CA190" s="906"/>
      <c r="CB190" s="906"/>
      <c r="CC190" s="906"/>
      <c r="CD190" s="906"/>
      <c r="CE190" s="906"/>
      <c r="CF190" s="906"/>
      <c r="CG190" s="906"/>
      <c r="CH190" s="906"/>
      <c r="CI190" s="906"/>
      <c r="CJ190" s="906"/>
      <c r="CK190" s="906"/>
      <c r="CL190" s="906"/>
      <c r="CM190" s="906"/>
      <c r="CN190" s="906"/>
      <c r="CO190" s="906"/>
      <c r="CP190" s="906"/>
      <c r="CQ190" s="906"/>
      <c r="CR190" s="906"/>
      <c r="CS190" s="906"/>
      <c r="CT190" s="906"/>
      <c r="CU190" s="906"/>
      <c r="CV190" s="906"/>
      <c r="CW190" s="906"/>
      <c r="CX190" s="906"/>
      <c r="CY190" s="906"/>
      <c r="CZ190" s="906"/>
      <c r="DA190" s="906"/>
      <c r="DB190" s="906"/>
      <c r="DC190" s="906"/>
      <c r="DD190" s="906"/>
      <c r="DE190" s="906"/>
      <c r="DF190" s="906"/>
      <c r="DG190" s="906"/>
      <c r="DH190" s="906"/>
      <c r="DI190" s="906"/>
      <c r="DJ190" s="906"/>
      <c r="DK190" s="906"/>
      <c r="DL190" s="906"/>
      <c r="DM190" s="906"/>
      <c r="DN190" s="906"/>
      <c r="DO190" s="906"/>
      <c r="DP190" s="906"/>
      <c r="DQ190" s="906"/>
      <c r="DR190" s="906"/>
      <c r="DS190" s="906"/>
    </row>
    <row r="191" spans="9:123" s="854" customFormat="1">
      <c r="I191" s="895"/>
      <c r="J191" s="895"/>
      <c r="R191" s="906"/>
      <c r="S191" s="906"/>
      <c r="T191" s="906"/>
      <c r="U191" s="906"/>
      <c r="V191" s="906"/>
      <c r="W191" s="906"/>
      <c r="X191" s="906"/>
      <c r="Y191" s="906"/>
      <c r="Z191" s="906"/>
      <c r="AA191" s="906"/>
      <c r="AB191" s="906"/>
      <c r="AC191" s="906"/>
      <c r="AD191" s="906"/>
      <c r="AE191" s="906"/>
      <c r="AF191" s="906"/>
      <c r="AG191" s="906"/>
      <c r="AH191" s="906"/>
      <c r="AI191" s="906"/>
      <c r="AJ191" s="906"/>
      <c r="AK191" s="906"/>
      <c r="AL191" s="906"/>
      <c r="AM191" s="906"/>
      <c r="AN191" s="906"/>
      <c r="AO191" s="906"/>
      <c r="AP191" s="906"/>
      <c r="AQ191" s="906"/>
      <c r="AR191" s="906"/>
      <c r="AS191" s="906"/>
      <c r="AT191" s="906"/>
      <c r="AU191" s="906"/>
      <c r="AV191" s="906"/>
      <c r="AW191" s="906"/>
      <c r="AX191" s="906"/>
      <c r="AY191" s="906"/>
      <c r="AZ191" s="906"/>
      <c r="BA191" s="906"/>
      <c r="BB191" s="906"/>
      <c r="BC191" s="906"/>
      <c r="BD191" s="906"/>
      <c r="BE191" s="906"/>
      <c r="BF191" s="906"/>
      <c r="BG191" s="906"/>
      <c r="BH191" s="906"/>
      <c r="BI191" s="906"/>
      <c r="BJ191" s="906"/>
      <c r="BK191" s="906"/>
      <c r="BL191" s="906"/>
      <c r="BM191" s="906"/>
      <c r="BN191" s="906"/>
      <c r="BO191" s="906"/>
      <c r="BP191" s="906"/>
      <c r="BQ191" s="906"/>
      <c r="BR191" s="906"/>
      <c r="BS191" s="906"/>
      <c r="BT191" s="906"/>
      <c r="BU191" s="906"/>
      <c r="BV191" s="906"/>
      <c r="BW191" s="906"/>
      <c r="BX191" s="906"/>
      <c r="BY191" s="906"/>
      <c r="BZ191" s="906"/>
      <c r="CA191" s="906"/>
      <c r="CB191" s="906"/>
      <c r="CC191" s="906"/>
      <c r="CD191" s="906"/>
      <c r="CE191" s="906"/>
      <c r="CF191" s="906"/>
      <c r="CG191" s="906"/>
      <c r="CH191" s="906"/>
      <c r="CI191" s="906"/>
      <c r="CJ191" s="906"/>
      <c r="CK191" s="906"/>
      <c r="CL191" s="906"/>
      <c r="CM191" s="906"/>
      <c r="CN191" s="906"/>
      <c r="CO191" s="906"/>
      <c r="CP191" s="906"/>
      <c r="CQ191" s="906"/>
      <c r="CR191" s="906"/>
      <c r="CS191" s="906"/>
      <c r="CT191" s="906"/>
      <c r="CU191" s="906"/>
      <c r="CV191" s="906"/>
      <c r="CW191" s="906"/>
      <c r="CX191" s="906"/>
      <c r="CY191" s="906"/>
      <c r="CZ191" s="906"/>
      <c r="DA191" s="906"/>
      <c r="DB191" s="906"/>
      <c r="DC191" s="906"/>
      <c r="DD191" s="906"/>
      <c r="DE191" s="906"/>
      <c r="DF191" s="906"/>
      <c r="DG191" s="906"/>
      <c r="DH191" s="906"/>
      <c r="DI191" s="906"/>
      <c r="DJ191" s="906"/>
      <c r="DK191" s="906"/>
      <c r="DL191" s="906"/>
      <c r="DM191" s="906"/>
      <c r="DN191" s="906"/>
      <c r="DO191" s="906"/>
      <c r="DP191" s="906"/>
      <c r="DQ191" s="906"/>
      <c r="DR191" s="906"/>
      <c r="DS191" s="906"/>
    </row>
    <row r="192" spans="9:123" s="854" customFormat="1">
      <c r="I192" s="895"/>
      <c r="J192" s="895"/>
      <c r="R192" s="906"/>
      <c r="S192" s="906"/>
      <c r="T192" s="906"/>
      <c r="U192" s="906"/>
      <c r="V192" s="906"/>
      <c r="W192" s="906"/>
      <c r="X192" s="906"/>
      <c r="Y192" s="906"/>
      <c r="Z192" s="906"/>
      <c r="AA192" s="906"/>
      <c r="AB192" s="906"/>
      <c r="AC192" s="906"/>
      <c r="AD192" s="906"/>
      <c r="AE192" s="906"/>
      <c r="AF192" s="906"/>
      <c r="AG192" s="906"/>
      <c r="AH192" s="906"/>
      <c r="AI192" s="906"/>
      <c r="AJ192" s="906"/>
      <c r="AK192" s="906"/>
      <c r="AL192" s="906"/>
      <c r="AM192" s="906"/>
      <c r="AN192" s="906"/>
      <c r="AO192" s="906"/>
      <c r="AP192" s="906"/>
      <c r="AQ192" s="906"/>
      <c r="AR192" s="906"/>
      <c r="AS192" s="906"/>
      <c r="AT192" s="906"/>
      <c r="AU192" s="906"/>
      <c r="AV192" s="906"/>
      <c r="AW192" s="906"/>
      <c r="AX192" s="906"/>
      <c r="AY192" s="906"/>
      <c r="AZ192" s="906"/>
      <c r="BA192" s="906"/>
      <c r="BB192" s="906"/>
      <c r="BC192" s="906"/>
      <c r="BD192" s="906"/>
      <c r="BE192" s="906"/>
      <c r="BF192" s="906"/>
      <c r="BG192" s="906"/>
      <c r="BH192" s="906"/>
      <c r="BI192" s="906"/>
      <c r="BJ192" s="906"/>
      <c r="BK192" s="906"/>
      <c r="BL192" s="906"/>
      <c r="BM192" s="906"/>
      <c r="BN192" s="906"/>
      <c r="BO192" s="906"/>
      <c r="BP192" s="906"/>
      <c r="BQ192" s="906"/>
      <c r="BR192" s="906"/>
      <c r="BS192" s="906"/>
      <c r="BT192" s="906"/>
      <c r="BU192" s="906"/>
      <c r="BV192" s="906"/>
      <c r="BW192" s="906"/>
      <c r="BX192" s="906"/>
      <c r="BY192" s="906"/>
      <c r="BZ192" s="906"/>
      <c r="CA192" s="906"/>
      <c r="CB192" s="906"/>
      <c r="CC192" s="906"/>
      <c r="CD192" s="906"/>
      <c r="CE192" s="906"/>
      <c r="CF192" s="906"/>
      <c r="CG192" s="906"/>
      <c r="CH192" s="906"/>
      <c r="CI192" s="906"/>
      <c r="CJ192" s="906"/>
      <c r="CK192" s="906"/>
      <c r="CL192" s="906"/>
      <c r="CM192" s="906"/>
      <c r="CN192" s="906"/>
      <c r="CO192" s="906"/>
      <c r="CP192" s="906"/>
      <c r="CQ192" s="906"/>
      <c r="CR192" s="906"/>
      <c r="CS192" s="906"/>
      <c r="CT192" s="906"/>
      <c r="CU192" s="906"/>
      <c r="CV192" s="906"/>
      <c r="CW192" s="906"/>
      <c r="CX192" s="906"/>
      <c r="CY192" s="906"/>
      <c r="CZ192" s="906"/>
      <c r="DA192" s="906"/>
      <c r="DB192" s="906"/>
      <c r="DC192" s="906"/>
      <c r="DD192" s="906"/>
      <c r="DE192" s="906"/>
      <c r="DF192" s="906"/>
      <c r="DG192" s="906"/>
      <c r="DH192" s="906"/>
      <c r="DI192" s="906"/>
      <c r="DJ192" s="906"/>
      <c r="DK192" s="906"/>
      <c r="DL192" s="906"/>
      <c r="DM192" s="906"/>
      <c r="DN192" s="906"/>
      <c r="DO192" s="906"/>
      <c r="DP192" s="906"/>
      <c r="DQ192" s="906"/>
      <c r="DR192" s="906"/>
      <c r="DS192" s="906"/>
    </row>
    <row r="193" spans="9:123" s="854" customFormat="1">
      <c r="I193" s="895"/>
      <c r="J193" s="895"/>
      <c r="R193" s="906"/>
      <c r="S193" s="906"/>
      <c r="T193" s="906"/>
      <c r="U193" s="906"/>
      <c r="V193" s="906"/>
      <c r="W193" s="906"/>
      <c r="X193" s="906"/>
      <c r="Y193" s="906"/>
      <c r="Z193" s="906"/>
      <c r="AA193" s="906"/>
      <c r="AB193" s="906"/>
      <c r="AC193" s="906"/>
      <c r="AD193" s="906"/>
      <c r="AE193" s="906"/>
      <c r="AF193" s="906"/>
      <c r="AG193" s="906"/>
      <c r="AH193" s="906"/>
      <c r="AI193" s="906"/>
      <c r="AJ193" s="906"/>
      <c r="AK193" s="906"/>
      <c r="AL193" s="906"/>
      <c r="AM193" s="906"/>
      <c r="AN193" s="906"/>
      <c r="AO193" s="906"/>
      <c r="AP193" s="906"/>
      <c r="AQ193" s="906"/>
      <c r="AR193" s="906"/>
      <c r="AS193" s="906"/>
      <c r="AT193" s="906"/>
      <c r="AU193" s="906"/>
      <c r="AV193" s="906"/>
      <c r="AW193" s="906"/>
      <c r="AX193" s="906"/>
      <c r="AY193" s="906"/>
      <c r="AZ193" s="906"/>
      <c r="BA193" s="906"/>
      <c r="BB193" s="906"/>
      <c r="BC193" s="906"/>
      <c r="BD193" s="906"/>
      <c r="BE193" s="906"/>
      <c r="BF193" s="906"/>
      <c r="BG193" s="906"/>
      <c r="BH193" s="906"/>
      <c r="BI193" s="906"/>
      <c r="BJ193" s="906"/>
      <c r="BK193" s="906"/>
      <c r="BL193" s="906"/>
      <c r="BM193" s="906"/>
      <c r="BN193" s="906"/>
      <c r="BO193" s="906"/>
      <c r="BP193" s="906"/>
      <c r="BQ193" s="906"/>
      <c r="BR193" s="906"/>
      <c r="BS193" s="906"/>
      <c r="BT193" s="906"/>
      <c r="BU193" s="906"/>
      <c r="BV193" s="906"/>
      <c r="BW193" s="906"/>
      <c r="BX193" s="906"/>
      <c r="BY193" s="906"/>
      <c r="BZ193" s="906"/>
      <c r="CA193" s="906"/>
      <c r="CB193" s="906"/>
      <c r="CC193" s="906"/>
      <c r="CD193" s="906"/>
      <c r="CE193" s="906"/>
      <c r="CF193" s="906"/>
      <c r="CG193" s="906"/>
      <c r="CH193" s="906"/>
      <c r="CI193" s="906"/>
      <c r="CJ193" s="906"/>
      <c r="CK193" s="906"/>
      <c r="CL193" s="906"/>
      <c r="CM193" s="906"/>
      <c r="CN193" s="906"/>
      <c r="CO193" s="906"/>
      <c r="CP193" s="906"/>
      <c r="CQ193" s="906"/>
      <c r="CR193" s="906"/>
      <c r="CS193" s="906"/>
      <c r="CT193" s="906"/>
      <c r="CU193" s="906"/>
      <c r="CV193" s="906"/>
      <c r="CW193" s="906"/>
      <c r="CX193" s="906"/>
      <c r="CY193" s="906"/>
      <c r="CZ193" s="906"/>
      <c r="DA193" s="906"/>
      <c r="DB193" s="906"/>
      <c r="DC193" s="906"/>
      <c r="DD193" s="906"/>
      <c r="DE193" s="906"/>
      <c r="DF193" s="906"/>
      <c r="DG193" s="906"/>
      <c r="DH193" s="906"/>
      <c r="DI193" s="906"/>
      <c r="DJ193" s="906"/>
      <c r="DK193" s="906"/>
      <c r="DL193" s="906"/>
      <c r="DM193" s="906"/>
      <c r="DN193" s="906"/>
      <c r="DO193" s="906"/>
      <c r="DP193" s="906"/>
      <c r="DQ193" s="906"/>
      <c r="DR193" s="906"/>
      <c r="DS193" s="906"/>
    </row>
    <row r="194" spans="9:123" s="854" customFormat="1">
      <c r="I194" s="895"/>
      <c r="J194" s="895"/>
      <c r="R194" s="906"/>
      <c r="S194" s="906"/>
      <c r="T194" s="906"/>
      <c r="U194" s="906"/>
      <c r="V194" s="906"/>
      <c r="W194" s="906"/>
      <c r="X194" s="906"/>
      <c r="Y194" s="906"/>
      <c r="Z194" s="906"/>
      <c r="AA194" s="906"/>
      <c r="AB194" s="906"/>
      <c r="AC194" s="906"/>
      <c r="AD194" s="906"/>
      <c r="AE194" s="906"/>
      <c r="AF194" s="906"/>
      <c r="AG194" s="906"/>
      <c r="AH194" s="906"/>
      <c r="AI194" s="906"/>
      <c r="AJ194" s="906"/>
      <c r="AK194" s="906"/>
      <c r="AL194" s="906"/>
      <c r="AM194" s="906"/>
      <c r="AN194" s="906"/>
      <c r="AO194" s="906"/>
      <c r="AP194" s="906"/>
      <c r="AQ194" s="906"/>
      <c r="AR194" s="906"/>
      <c r="AS194" s="906"/>
      <c r="AT194" s="906"/>
      <c r="AU194" s="906"/>
      <c r="AV194" s="906"/>
      <c r="AW194" s="906"/>
      <c r="AX194" s="906"/>
      <c r="AY194" s="906"/>
      <c r="AZ194" s="906"/>
      <c r="BA194" s="906"/>
      <c r="BB194" s="906"/>
      <c r="BC194" s="906"/>
      <c r="BD194" s="906"/>
      <c r="BE194" s="906"/>
      <c r="BF194" s="906"/>
      <c r="BG194" s="906"/>
      <c r="BH194" s="906"/>
      <c r="BI194" s="906"/>
      <c r="BJ194" s="906"/>
      <c r="BK194" s="906"/>
      <c r="BL194" s="906"/>
      <c r="BM194" s="906"/>
      <c r="BN194" s="906"/>
      <c r="BO194" s="906"/>
      <c r="BP194" s="906"/>
      <c r="BQ194" s="906"/>
      <c r="BR194" s="906"/>
      <c r="BS194" s="906"/>
      <c r="BT194" s="906"/>
      <c r="BU194" s="906"/>
      <c r="BV194" s="906"/>
      <c r="BW194" s="906"/>
      <c r="BX194" s="906"/>
      <c r="BY194" s="906"/>
      <c r="BZ194" s="906"/>
      <c r="CA194" s="906"/>
      <c r="CB194" s="906"/>
      <c r="CC194" s="906"/>
      <c r="CD194" s="906"/>
      <c r="CE194" s="906"/>
      <c r="CF194" s="906"/>
      <c r="CG194" s="906"/>
      <c r="CH194" s="906"/>
      <c r="CI194" s="906"/>
      <c r="CJ194" s="906"/>
      <c r="CK194" s="906"/>
      <c r="CL194" s="906"/>
      <c r="CM194" s="906"/>
      <c r="CN194" s="906"/>
      <c r="CO194" s="906"/>
      <c r="CP194" s="906"/>
      <c r="CQ194" s="906"/>
      <c r="CR194" s="906"/>
      <c r="CS194" s="906"/>
      <c r="CT194" s="906"/>
      <c r="CU194" s="906"/>
      <c r="CV194" s="906"/>
      <c r="CW194" s="906"/>
      <c r="CX194" s="906"/>
      <c r="CY194" s="906"/>
      <c r="CZ194" s="906"/>
      <c r="DA194" s="906"/>
      <c r="DB194" s="906"/>
      <c r="DC194" s="906"/>
      <c r="DD194" s="906"/>
      <c r="DE194" s="906"/>
      <c r="DF194" s="906"/>
      <c r="DG194" s="906"/>
      <c r="DH194" s="906"/>
      <c r="DI194" s="906"/>
      <c r="DJ194" s="906"/>
      <c r="DK194" s="906"/>
      <c r="DL194" s="906"/>
      <c r="DM194" s="906"/>
      <c r="DN194" s="906"/>
      <c r="DO194" s="906"/>
      <c r="DP194" s="906"/>
      <c r="DQ194" s="906"/>
      <c r="DR194" s="906"/>
      <c r="DS194" s="906"/>
    </row>
    <row r="195" spans="9:123" s="854" customFormat="1">
      <c r="I195" s="895"/>
      <c r="J195" s="895"/>
      <c r="R195" s="906"/>
      <c r="S195" s="906"/>
      <c r="T195" s="906"/>
      <c r="U195" s="906"/>
      <c r="V195" s="906"/>
      <c r="W195" s="906"/>
      <c r="X195" s="906"/>
      <c r="Y195" s="906"/>
      <c r="Z195" s="906"/>
      <c r="AA195" s="906"/>
      <c r="AB195" s="906"/>
      <c r="AC195" s="906"/>
      <c r="AD195" s="906"/>
      <c r="AE195" s="906"/>
      <c r="AF195" s="906"/>
      <c r="AG195" s="906"/>
      <c r="AH195" s="906"/>
      <c r="AI195" s="906"/>
      <c r="AJ195" s="906"/>
      <c r="AK195" s="906"/>
      <c r="AL195" s="906"/>
      <c r="AM195" s="906"/>
      <c r="AN195" s="906"/>
      <c r="AO195" s="906"/>
      <c r="AP195" s="906"/>
      <c r="AQ195" s="906"/>
      <c r="AR195" s="906"/>
      <c r="AS195" s="906"/>
      <c r="AT195" s="906"/>
      <c r="AU195" s="906"/>
      <c r="AV195" s="906"/>
      <c r="AW195" s="906"/>
      <c r="AX195" s="906"/>
      <c r="AY195" s="906"/>
      <c r="AZ195" s="906"/>
      <c r="BA195" s="906"/>
      <c r="BB195" s="906"/>
      <c r="BC195" s="906"/>
      <c r="BD195" s="906"/>
      <c r="BE195" s="906"/>
      <c r="BF195" s="906"/>
      <c r="BG195" s="906"/>
      <c r="BH195" s="906"/>
      <c r="BI195" s="906"/>
      <c r="BJ195" s="906"/>
      <c r="BK195" s="906"/>
      <c r="BL195" s="906"/>
      <c r="BM195" s="906"/>
      <c r="BN195" s="906"/>
      <c r="BO195" s="906"/>
      <c r="BP195" s="906"/>
      <c r="BQ195" s="906"/>
      <c r="BR195" s="906"/>
      <c r="BS195" s="906"/>
      <c r="BT195" s="906"/>
      <c r="BU195" s="906"/>
      <c r="BV195" s="906"/>
      <c r="BW195" s="906"/>
      <c r="BX195" s="906"/>
      <c r="BY195" s="906"/>
      <c r="BZ195" s="906"/>
      <c r="CA195" s="906"/>
      <c r="CB195" s="906"/>
      <c r="CC195" s="906"/>
      <c r="CD195" s="906"/>
      <c r="CE195" s="906"/>
      <c r="CF195" s="906"/>
      <c r="CG195" s="906"/>
      <c r="CH195" s="906"/>
      <c r="CI195" s="906"/>
      <c r="CJ195" s="906"/>
      <c r="CK195" s="906"/>
      <c r="CL195" s="906"/>
      <c r="CM195" s="906"/>
      <c r="CN195" s="906"/>
      <c r="CO195" s="906"/>
      <c r="CP195" s="906"/>
      <c r="CQ195" s="906"/>
      <c r="CR195" s="906"/>
      <c r="CS195" s="906"/>
      <c r="CT195" s="906"/>
      <c r="CU195" s="906"/>
      <c r="CV195" s="906"/>
      <c r="CW195" s="906"/>
      <c r="CX195" s="906"/>
      <c r="CY195" s="906"/>
      <c r="CZ195" s="906"/>
      <c r="DA195" s="906"/>
      <c r="DB195" s="906"/>
      <c r="DC195" s="906"/>
      <c r="DD195" s="906"/>
      <c r="DE195" s="906"/>
      <c r="DF195" s="906"/>
      <c r="DG195" s="906"/>
      <c r="DH195" s="906"/>
      <c r="DI195" s="906"/>
      <c r="DJ195" s="906"/>
      <c r="DK195" s="906"/>
      <c r="DL195" s="906"/>
      <c r="DM195" s="906"/>
      <c r="DN195" s="906"/>
      <c r="DO195" s="906"/>
      <c r="DP195" s="906"/>
      <c r="DQ195" s="906"/>
      <c r="DR195" s="906"/>
      <c r="DS195" s="906"/>
    </row>
    <row r="196" spans="9:123" s="854" customFormat="1">
      <c r="I196" s="895"/>
      <c r="J196" s="895"/>
      <c r="R196" s="906"/>
      <c r="S196" s="906"/>
      <c r="T196" s="906"/>
      <c r="U196" s="906"/>
      <c r="V196" s="906"/>
      <c r="W196" s="906"/>
      <c r="X196" s="906"/>
      <c r="Y196" s="906"/>
      <c r="Z196" s="906"/>
      <c r="AA196" s="906"/>
      <c r="AB196" s="906"/>
      <c r="AC196" s="906"/>
      <c r="AD196" s="906"/>
      <c r="AE196" s="906"/>
      <c r="AF196" s="906"/>
      <c r="AG196" s="906"/>
      <c r="AH196" s="906"/>
      <c r="AI196" s="906"/>
      <c r="AJ196" s="906"/>
      <c r="AK196" s="906"/>
      <c r="AL196" s="906"/>
      <c r="AM196" s="906"/>
      <c r="AN196" s="906"/>
      <c r="AO196" s="906"/>
      <c r="AP196" s="906"/>
      <c r="AQ196" s="906"/>
      <c r="AR196" s="906"/>
      <c r="AS196" s="906"/>
      <c r="AT196" s="906"/>
      <c r="AU196" s="906"/>
      <c r="AV196" s="906"/>
      <c r="AW196" s="906"/>
      <c r="AX196" s="906"/>
      <c r="AY196" s="906"/>
      <c r="AZ196" s="906"/>
      <c r="BA196" s="906"/>
      <c r="BB196" s="906"/>
      <c r="BC196" s="906"/>
      <c r="BD196" s="906"/>
      <c r="BE196" s="906"/>
      <c r="BF196" s="906"/>
      <c r="BG196" s="906"/>
      <c r="BH196" s="906"/>
      <c r="BI196" s="906"/>
      <c r="BJ196" s="906"/>
      <c r="BK196" s="906"/>
      <c r="BL196" s="906"/>
      <c r="BM196" s="906"/>
      <c r="BN196" s="906"/>
      <c r="BO196" s="906"/>
      <c r="BP196" s="906"/>
      <c r="BQ196" s="906"/>
      <c r="BR196" s="906"/>
      <c r="BS196" s="906"/>
      <c r="BT196" s="906"/>
      <c r="BU196" s="906"/>
      <c r="BV196" s="906"/>
      <c r="BW196" s="906"/>
      <c r="BX196" s="906"/>
      <c r="BY196" s="906"/>
      <c r="BZ196" s="906"/>
      <c r="CA196" s="906"/>
      <c r="CB196" s="906"/>
      <c r="CC196" s="906"/>
      <c r="CD196" s="906"/>
      <c r="CE196" s="906"/>
      <c r="CF196" s="906"/>
      <c r="CG196" s="906"/>
      <c r="CH196" s="906"/>
      <c r="CI196" s="906"/>
      <c r="CJ196" s="906"/>
      <c r="CK196" s="906"/>
      <c r="CL196" s="906"/>
      <c r="CM196" s="906"/>
      <c r="CN196" s="906"/>
      <c r="CO196" s="906"/>
      <c r="CP196" s="906"/>
      <c r="CQ196" s="906"/>
      <c r="CR196" s="906"/>
      <c r="CS196" s="906"/>
      <c r="CT196" s="906"/>
      <c r="CU196" s="906"/>
      <c r="CV196" s="906"/>
      <c r="CW196" s="906"/>
      <c r="CX196" s="906"/>
      <c r="CY196" s="906"/>
      <c r="CZ196" s="906"/>
      <c r="DA196" s="906"/>
      <c r="DB196" s="906"/>
      <c r="DC196" s="906"/>
      <c r="DD196" s="906"/>
      <c r="DE196" s="906"/>
      <c r="DF196" s="906"/>
      <c r="DG196" s="906"/>
      <c r="DH196" s="906"/>
      <c r="DI196" s="906"/>
      <c r="DJ196" s="906"/>
      <c r="DK196" s="906"/>
      <c r="DL196" s="906"/>
      <c r="DM196" s="906"/>
      <c r="DN196" s="906"/>
      <c r="DO196" s="906"/>
      <c r="DP196" s="906"/>
      <c r="DQ196" s="906"/>
      <c r="DR196" s="906"/>
      <c r="DS196" s="906"/>
    </row>
    <row r="197" spans="9:123" s="854" customFormat="1">
      <c r="I197" s="895"/>
      <c r="J197" s="895"/>
      <c r="R197" s="906"/>
      <c r="S197" s="906"/>
      <c r="T197" s="906"/>
      <c r="U197" s="906"/>
      <c r="V197" s="906"/>
      <c r="W197" s="906"/>
      <c r="X197" s="906"/>
      <c r="Y197" s="906"/>
      <c r="Z197" s="906"/>
      <c r="AA197" s="906"/>
      <c r="AB197" s="906"/>
      <c r="AC197" s="906"/>
      <c r="AD197" s="906"/>
      <c r="AE197" s="906"/>
      <c r="AF197" s="906"/>
      <c r="AG197" s="906"/>
      <c r="AH197" s="906"/>
      <c r="AI197" s="906"/>
      <c r="AJ197" s="906"/>
      <c r="AK197" s="906"/>
      <c r="AL197" s="906"/>
      <c r="AM197" s="906"/>
      <c r="AN197" s="906"/>
      <c r="AO197" s="906"/>
      <c r="AP197" s="906"/>
      <c r="AQ197" s="906"/>
      <c r="AR197" s="906"/>
      <c r="AS197" s="906"/>
      <c r="AT197" s="906"/>
      <c r="AU197" s="906"/>
      <c r="AV197" s="906"/>
      <c r="AW197" s="906"/>
      <c r="AX197" s="906"/>
      <c r="AY197" s="906"/>
      <c r="AZ197" s="906"/>
      <c r="BA197" s="906"/>
      <c r="BB197" s="906"/>
      <c r="BC197" s="906"/>
      <c r="BD197" s="906"/>
      <c r="BE197" s="906"/>
      <c r="BF197" s="906"/>
      <c r="BG197" s="906"/>
      <c r="BH197" s="906"/>
      <c r="BI197" s="906"/>
      <c r="BJ197" s="906"/>
      <c r="BK197" s="906"/>
      <c r="BL197" s="906"/>
      <c r="BM197" s="906"/>
      <c r="BN197" s="906"/>
      <c r="BO197" s="906"/>
      <c r="BP197" s="906"/>
      <c r="BQ197" s="906"/>
      <c r="BR197" s="906"/>
      <c r="BS197" s="906"/>
      <c r="BT197" s="906"/>
      <c r="BU197" s="906"/>
      <c r="BV197" s="906"/>
      <c r="BW197" s="906"/>
      <c r="BX197" s="906"/>
      <c r="BY197" s="906"/>
      <c r="BZ197" s="906"/>
      <c r="CA197" s="906"/>
      <c r="CB197" s="906"/>
      <c r="CC197" s="906"/>
      <c r="CD197" s="906"/>
      <c r="CE197" s="906"/>
      <c r="CF197" s="906"/>
      <c r="CG197" s="906"/>
      <c r="CH197" s="906"/>
      <c r="CI197" s="906"/>
      <c r="CJ197" s="906"/>
      <c r="CK197" s="906"/>
      <c r="CL197" s="906"/>
      <c r="CM197" s="906"/>
      <c r="CN197" s="906"/>
      <c r="CO197" s="906"/>
      <c r="CP197" s="906"/>
      <c r="CQ197" s="906"/>
      <c r="CR197" s="906"/>
      <c r="CS197" s="906"/>
      <c r="CT197" s="906"/>
      <c r="CU197" s="906"/>
      <c r="CV197" s="906"/>
      <c r="CW197" s="906"/>
      <c r="CX197" s="906"/>
      <c r="CY197" s="906"/>
      <c r="CZ197" s="906"/>
      <c r="DA197" s="906"/>
      <c r="DB197" s="906"/>
      <c r="DC197" s="906"/>
      <c r="DD197" s="906"/>
      <c r="DE197" s="906"/>
      <c r="DF197" s="906"/>
      <c r="DG197" s="906"/>
      <c r="DH197" s="906"/>
      <c r="DI197" s="906"/>
      <c r="DJ197" s="906"/>
      <c r="DK197" s="906"/>
      <c r="DL197" s="906"/>
      <c r="DM197" s="906"/>
      <c r="DN197" s="906"/>
      <c r="DO197" s="906"/>
      <c r="DP197" s="906"/>
      <c r="DQ197" s="906"/>
      <c r="DR197" s="906"/>
      <c r="DS197" s="906"/>
    </row>
    <row r="198" spans="9:123" s="854" customFormat="1">
      <c r="I198" s="895"/>
      <c r="J198" s="895"/>
      <c r="R198" s="906"/>
      <c r="S198" s="906"/>
      <c r="T198" s="906"/>
      <c r="U198" s="906"/>
      <c r="V198" s="906"/>
      <c r="W198" s="906"/>
      <c r="X198" s="906"/>
      <c r="Y198" s="906"/>
      <c r="Z198" s="906"/>
      <c r="AA198" s="906"/>
      <c r="AB198" s="906"/>
      <c r="AC198" s="906"/>
      <c r="AD198" s="906"/>
      <c r="AE198" s="906"/>
      <c r="AF198" s="906"/>
      <c r="AG198" s="906"/>
      <c r="AH198" s="906"/>
      <c r="AI198" s="906"/>
      <c r="AJ198" s="906"/>
      <c r="AK198" s="906"/>
      <c r="AL198" s="906"/>
      <c r="AM198" s="906"/>
      <c r="AN198" s="906"/>
      <c r="AO198" s="906"/>
      <c r="AP198" s="906"/>
      <c r="AQ198" s="906"/>
      <c r="AR198" s="906"/>
      <c r="AS198" s="906"/>
      <c r="AT198" s="906"/>
      <c r="AU198" s="906"/>
      <c r="AV198" s="906"/>
      <c r="AW198" s="906"/>
      <c r="AX198" s="906"/>
      <c r="AY198" s="906"/>
      <c r="AZ198" s="906"/>
      <c r="BA198" s="906"/>
      <c r="BB198" s="906"/>
      <c r="BC198" s="906"/>
      <c r="BD198" s="906"/>
      <c r="BE198" s="906"/>
      <c r="BF198" s="906"/>
      <c r="BG198" s="906"/>
      <c r="BH198" s="906"/>
      <c r="BI198" s="906"/>
      <c r="BJ198" s="906"/>
      <c r="BK198" s="906"/>
      <c r="BL198" s="906"/>
      <c r="BM198" s="906"/>
      <c r="BN198" s="906"/>
      <c r="BO198" s="906"/>
      <c r="BP198" s="906"/>
      <c r="BQ198" s="906"/>
      <c r="BR198" s="906"/>
      <c r="BS198" s="906"/>
      <c r="BT198" s="906"/>
      <c r="BU198" s="906"/>
      <c r="BV198" s="906"/>
      <c r="BW198" s="906"/>
      <c r="BX198" s="906"/>
      <c r="BY198" s="906"/>
      <c r="BZ198" s="906"/>
      <c r="CA198" s="906"/>
      <c r="CB198" s="906"/>
      <c r="CC198" s="906"/>
      <c r="CD198" s="906"/>
      <c r="CE198" s="906"/>
      <c r="CF198" s="906"/>
      <c r="CG198" s="906"/>
      <c r="CH198" s="906"/>
      <c r="CI198" s="906"/>
      <c r="CJ198" s="906"/>
      <c r="CK198" s="906"/>
      <c r="CL198" s="906"/>
      <c r="CM198" s="906"/>
      <c r="CN198" s="906"/>
      <c r="CO198" s="906"/>
      <c r="CP198" s="906"/>
      <c r="CQ198" s="906"/>
      <c r="CR198" s="906"/>
      <c r="CS198" s="906"/>
      <c r="CT198" s="906"/>
      <c r="CU198" s="906"/>
      <c r="CV198" s="906"/>
      <c r="CW198" s="906"/>
      <c r="CX198" s="906"/>
      <c r="CY198" s="906"/>
      <c r="CZ198" s="906"/>
      <c r="DA198" s="906"/>
      <c r="DB198" s="906"/>
      <c r="DC198" s="906"/>
      <c r="DD198" s="906"/>
      <c r="DE198" s="906"/>
      <c r="DF198" s="906"/>
      <c r="DG198" s="906"/>
      <c r="DH198" s="906"/>
      <c r="DI198" s="906"/>
      <c r="DJ198" s="906"/>
      <c r="DK198" s="906"/>
      <c r="DL198" s="906"/>
      <c r="DM198" s="906"/>
      <c r="DN198" s="906"/>
      <c r="DO198" s="906"/>
      <c r="DP198" s="906"/>
      <c r="DQ198" s="906"/>
      <c r="DR198" s="906"/>
      <c r="DS198" s="906"/>
    </row>
    <row r="199" spans="9:123" s="854" customFormat="1">
      <c r="I199" s="895"/>
      <c r="J199" s="895"/>
      <c r="R199" s="906"/>
      <c r="S199" s="906"/>
      <c r="T199" s="906"/>
      <c r="U199" s="906"/>
      <c r="V199" s="906"/>
      <c r="W199" s="906"/>
      <c r="X199" s="906"/>
      <c r="Y199" s="906"/>
      <c r="Z199" s="906"/>
      <c r="AA199" s="906"/>
      <c r="AB199" s="906"/>
      <c r="AC199" s="906"/>
      <c r="AD199" s="906"/>
      <c r="AE199" s="906"/>
      <c r="AF199" s="906"/>
      <c r="AG199" s="906"/>
      <c r="AH199" s="906"/>
      <c r="AI199" s="906"/>
      <c r="AJ199" s="906"/>
      <c r="AK199" s="906"/>
      <c r="AL199" s="906"/>
      <c r="AM199" s="906"/>
      <c r="AN199" s="906"/>
      <c r="AO199" s="906"/>
      <c r="AP199" s="906"/>
      <c r="AQ199" s="906"/>
      <c r="AR199" s="906"/>
      <c r="AS199" s="906"/>
      <c r="AT199" s="906"/>
      <c r="AU199" s="906"/>
      <c r="AV199" s="906"/>
      <c r="AW199" s="906"/>
      <c r="AX199" s="906"/>
      <c r="AY199" s="906"/>
      <c r="AZ199" s="906"/>
      <c r="BA199" s="906"/>
      <c r="BB199" s="906"/>
      <c r="BC199" s="906"/>
      <c r="BD199" s="906"/>
      <c r="BE199" s="906"/>
      <c r="BF199" s="906"/>
      <c r="BG199" s="906"/>
      <c r="BH199" s="906"/>
      <c r="BI199" s="906"/>
      <c r="BJ199" s="906"/>
      <c r="BK199" s="906"/>
      <c r="BL199" s="906"/>
      <c r="BM199" s="906"/>
      <c r="BN199" s="906"/>
      <c r="BO199" s="906"/>
      <c r="BP199" s="906"/>
      <c r="BQ199" s="906"/>
      <c r="BR199" s="906"/>
      <c r="BS199" s="906"/>
      <c r="BT199" s="906"/>
      <c r="BU199" s="906"/>
      <c r="BV199" s="906"/>
      <c r="BW199" s="906"/>
      <c r="BX199" s="906"/>
      <c r="BY199" s="906"/>
      <c r="BZ199" s="906"/>
      <c r="CA199" s="906"/>
      <c r="CB199" s="906"/>
      <c r="CC199" s="906"/>
      <c r="CD199" s="906"/>
      <c r="CE199" s="906"/>
      <c r="CF199" s="906"/>
      <c r="CG199" s="906"/>
      <c r="CH199" s="906"/>
      <c r="CI199" s="906"/>
      <c r="CJ199" s="906"/>
      <c r="CK199" s="906"/>
      <c r="CL199" s="906"/>
      <c r="CM199" s="906"/>
      <c r="CN199" s="906"/>
      <c r="CO199" s="906"/>
      <c r="CP199" s="906"/>
      <c r="CQ199" s="906"/>
      <c r="CR199" s="906"/>
      <c r="CS199" s="906"/>
      <c r="CT199" s="906"/>
      <c r="CU199" s="906"/>
      <c r="CV199" s="906"/>
      <c r="CW199" s="906"/>
      <c r="CX199" s="906"/>
      <c r="CY199" s="906"/>
      <c r="CZ199" s="906"/>
      <c r="DA199" s="906"/>
      <c r="DB199" s="906"/>
      <c r="DC199" s="906"/>
      <c r="DD199" s="906"/>
      <c r="DE199" s="906"/>
      <c r="DF199" s="906"/>
      <c r="DG199" s="906"/>
      <c r="DH199" s="906"/>
      <c r="DI199" s="906"/>
      <c r="DJ199" s="906"/>
      <c r="DK199" s="906"/>
      <c r="DL199" s="906"/>
      <c r="DM199" s="906"/>
      <c r="DN199" s="906"/>
      <c r="DO199" s="906"/>
      <c r="DP199" s="906"/>
      <c r="DQ199" s="906"/>
      <c r="DR199" s="906"/>
      <c r="DS199" s="906"/>
    </row>
    <row r="200" spans="9:123" s="854" customFormat="1">
      <c r="I200" s="895"/>
      <c r="J200" s="895"/>
      <c r="R200" s="906"/>
      <c r="S200" s="906"/>
      <c r="T200" s="906"/>
      <c r="U200" s="906"/>
      <c r="V200" s="906"/>
      <c r="W200" s="906"/>
      <c r="X200" s="906"/>
      <c r="Y200" s="906"/>
      <c r="Z200" s="906"/>
      <c r="AA200" s="906"/>
      <c r="AB200" s="906"/>
      <c r="AC200" s="906"/>
      <c r="AD200" s="906"/>
      <c r="AE200" s="906"/>
      <c r="AF200" s="906"/>
      <c r="AG200" s="906"/>
      <c r="AH200" s="906"/>
      <c r="AI200" s="906"/>
      <c r="AJ200" s="906"/>
      <c r="AK200" s="906"/>
      <c r="AL200" s="906"/>
      <c r="AM200" s="906"/>
      <c r="AN200" s="906"/>
      <c r="AO200" s="906"/>
      <c r="AP200" s="906"/>
      <c r="AQ200" s="906"/>
      <c r="AR200" s="906"/>
      <c r="AS200" s="906"/>
      <c r="AT200" s="906"/>
      <c r="AU200" s="906"/>
      <c r="AV200" s="906"/>
      <c r="AW200" s="906"/>
      <c r="AX200" s="906"/>
      <c r="AY200" s="906"/>
      <c r="AZ200" s="906"/>
      <c r="BA200" s="906"/>
      <c r="BB200" s="906"/>
      <c r="BC200" s="906"/>
      <c r="BD200" s="906"/>
      <c r="BE200" s="906"/>
      <c r="BF200" s="906"/>
      <c r="BG200" s="906"/>
      <c r="BH200" s="906"/>
      <c r="BI200" s="906"/>
      <c r="BJ200" s="906"/>
      <c r="BK200" s="906"/>
      <c r="BL200" s="906"/>
      <c r="BM200" s="906"/>
      <c r="BN200" s="906"/>
      <c r="BO200" s="906"/>
      <c r="BP200" s="906"/>
      <c r="BQ200" s="906"/>
      <c r="BR200" s="906"/>
      <c r="BS200" s="906"/>
      <c r="BT200" s="906"/>
      <c r="BU200" s="906"/>
      <c r="BV200" s="906"/>
      <c r="BW200" s="906"/>
      <c r="BX200" s="906"/>
      <c r="BY200" s="906"/>
      <c r="BZ200" s="906"/>
      <c r="CA200" s="906"/>
      <c r="CB200" s="906"/>
      <c r="CC200" s="906"/>
      <c r="CD200" s="906"/>
      <c r="CE200" s="906"/>
      <c r="CF200" s="906"/>
      <c r="CG200" s="906"/>
      <c r="CH200" s="906"/>
      <c r="CI200" s="906"/>
      <c r="CJ200" s="906"/>
      <c r="CK200" s="906"/>
      <c r="CL200" s="906"/>
      <c r="CM200" s="906"/>
      <c r="CN200" s="906"/>
      <c r="CO200" s="906"/>
      <c r="CP200" s="906"/>
      <c r="CQ200" s="906"/>
      <c r="CR200" s="906"/>
      <c r="CS200" s="906"/>
      <c r="CT200" s="906"/>
      <c r="CU200" s="906"/>
      <c r="CV200" s="906"/>
      <c r="CW200" s="906"/>
      <c r="CX200" s="906"/>
      <c r="CY200" s="906"/>
      <c r="CZ200" s="906"/>
      <c r="DA200" s="906"/>
      <c r="DB200" s="906"/>
      <c r="DC200" s="906"/>
      <c r="DD200" s="906"/>
      <c r="DE200" s="906"/>
      <c r="DF200" s="906"/>
      <c r="DG200" s="906"/>
      <c r="DH200" s="906"/>
      <c r="DI200" s="906"/>
      <c r="DJ200" s="906"/>
      <c r="DK200" s="906"/>
      <c r="DL200" s="906"/>
      <c r="DM200" s="906"/>
      <c r="DN200" s="906"/>
      <c r="DO200" s="906"/>
      <c r="DP200" s="906"/>
      <c r="DQ200" s="906"/>
      <c r="DR200" s="906"/>
      <c r="DS200" s="906"/>
    </row>
    <row r="201" spans="9:123" s="854" customFormat="1">
      <c r="I201" s="895"/>
      <c r="J201" s="895"/>
      <c r="R201" s="906"/>
      <c r="S201" s="906"/>
      <c r="T201" s="906"/>
      <c r="U201" s="906"/>
      <c r="V201" s="906"/>
      <c r="W201" s="906"/>
      <c r="X201" s="906"/>
      <c r="Y201" s="906"/>
      <c r="Z201" s="906"/>
      <c r="AA201" s="906"/>
      <c r="AB201" s="906"/>
      <c r="AC201" s="906"/>
      <c r="AD201" s="906"/>
      <c r="AE201" s="906"/>
      <c r="AF201" s="906"/>
      <c r="AG201" s="906"/>
      <c r="AH201" s="906"/>
      <c r="AI201" s="906"/>
      <c r="AJ201" s="906"/>
      <c r="AK201" s="906"/>
      <c r="AL201" s="906"/>
      <c r="AM201" s="906"/>
      <c r="AN201" s="906"/>
      <c r="AO201" s="906"/>
      <c r="AP201" s="906"/>
      <c r="AQ201" s="906"/>
      <c r="AR201" s="906"/>
      <c r="AS201" s="906"/>
      <c r="AT201" s="906"/>
      <c r="AU201" s="906"/>
      <c r="AV201" s="906"/>
      <c r="AW201" s="906"/>
      <c r="AX201" s="906"/>
      <c r="AY201" s="906"/>
      <c r="AZ201" s="906"/>
      <c r="BA201" s="906"/>
      <c r="BB201" s="906"/>
      <c r="BC201" s="906"/>
      <c r="BD201" s="906"/>
      <c r="BE201" s="906"/>
      <c r="BF201" s="906"/>
      <c r="BG201" s="906"/>
      <c r="BH201" s="906"/>
      <c r="BI201" s="906"/>
      <c r="BJ201" s="906"/>
      <c r="BK201" s="906"/>
      <c r="BL201" s="906"/>
      <c r="BM201" s="906"/>
      <c r="BN201" s="906"/>
      <c r="BO201" s="906"/>
      <c r="BP201" s="906"/>
      <c r="BQ201" s="906"/>
      <c r="BR201" s="906"/>
      <c r="BS201" s="906"/>
      <c r="BT201" s="906"/>
      <c r="BU201" s="906"/>
      <c r="BV201" s="906"/>
      <c r="BW201" s="906"/>
      <c r="BX201" s="906"/>
      <c r="BY201" s="906"/>
      <c r="BZ201" s="906"/>
      <c r="CA201" s="906"/>
      <c r="CB201" s="906"/>
      <c r="CC201" s="906"/>
      <c r="CD201" s="906"/>
      <c r="CE201" s="906"/>
      <c r="CF201" s="906"/>
      <c r="CG201" s="906"/>
      <c r="CH201" s="906"/>
      <c r="CI201" s="906"/>
      <c r="CJ201" s="906"/>
      <c r="CK201" s="906"/>
      <c r="CL201" s="906"/>
      <c r="CM201" s="906"/>
      <c r="CN201" s="906"/>
      <c r="CO201" s="906"/>
      <c r="CP201" s="906"/>
      <c r="CQ201" s="906"/>
      <c r="CR201" s="906"/>
      <c r="CS201" s="906"/>
      <c r="CT201" s="906"/>
      <c r="CU201" s="906"/>
      <c r="CV201" s="906"/>
      <c r="CW201" s="906"/>
      <c r="CX201" s="906"/>
      <c r="CY201" s="906"/>
      <c r="CZ201" s="906"/>
      <c r="DA201" s="906"/>
      <c r="DB201" s="906"/>
      <c r="DC201" s="906"/>
      <c r="DD201" s="906"/>
      <c r="DE201" s="906"/>
      <c r="DF201" s="906"/>
      <c r="DG201" s="906"/>
      <c r="DH201" s="906"/>
      <c r="DI201" s="906"/>
      <c r="DJ201" s="906"/>
      <c r="DK201" s="906"/>
      <c r="DL201" s="906"/>
      <c r="DM201" s="906"/>
      <c r="DN201" s="906"/>
      <c r="DO201" s="906"/>
      <c r="DP201" s="906"/>
      <c r="DQ201" s="906"/>
      <c r="DR201" s="906"/>
      <c r="DS201" s="906"/>
    </row>
    <row r="202" spans="9:123" s="854" customFormat="1">
      <c r="I202" s="895"/>
      <c r="J202" s="895"/>
      <c r="R202" s="906"/>
      <c r="S202" s="906"/>
      <c r="T202" s="906"/>
      <c r="U202" s="906"/>
      <c r="V202" s="906"/>
      <c r="W202" s="906"/>
      <c r="X202" s="906"/>
      <c r="Y202" s="906"/>
      <c r="Z202" s="906"/>
      <c r="AA202" s="906"/>
      <c r="AB202" s="906"/>
      <c r="AC202" s="906"/>
      <c r="AD202" s="906"/>
      <c r="AE202" s="906"/>
      <c r="AF202" s="906"/>
      <c r="AG202" s="906"/>
      <c r="AH202" s="906"/>
      <c r="AI202" s="906"/>
      <c r="AJ202" s="906"/>
      <c r="AK202" s="906"/>
      <c r="AL202" s="906"/>
      <c r="AM202" s="906"/>
      <c r="AN202" s="906"/>
      <c r="AO202" s="906"/>
      <c r="AP202" s="906"/>
      <c r="AQ202" s="906"/>
      <c r="AR202" s="906"/>
      <c r="AS202" s="906"/>
      <c r="AT202" s="906"/>
      <c r="AU202" s="906"/>
      <c r="AV202" s="906"/>
      <c r="AW202" s="906"/>
      <c r="AX202" s="906"/>
      <c r="AY202" s="906"/>
      <c r="AZ202" s="906"/>
      <c r="BA202" s="906"/>
      <c r="BB202" s="906"/>
      <c r="BC202" s="906"/>
      <c r="BD202" s="906"/>
      <c r="BE202" s="906"/>
      <c r="BF202" s="906"/>
      <c r="BG202" s="906"/>
      <c r="BH202" s="906"/>
      <c r="BI202" s="906"/>
      <c r="BJ202" s="906"/>
      <c r="BK202" s="906"/>
      <c r="BL202" s="906"/>
      <c r="BM202" s="906"/>
      <c r="BN202" s="906"/>
      <c r="BO202" s="906"/>
      <c r="BP202" s="906"/>
      <c r="BQ202" s="906"/>
      <c r="BR202" s="906"/>
      <c r="BS202" s="906"/>
      <c r="BT202" s="906"/>
      <c r="BU202" s="906"/>
      <c r="BV202" s="906"/>
      <c r="BW202" s="906"/>
      <c r="BX202" s="906"/>
      <c r="BY202" s="906"/>
      <c r="BZ202" s="906"/>
      <c r="CA202" s="906"/>
      <c r="CB202" s="906"/>
      <c r="CC202" s="906"/>
      <c r="CD202" s="906"/>
      <c r="CE202" s="906"/>
      <c r="CF202" s="906"/>
      <c r="CG202" s="906"/>
      <c r="CH202" s="906"/>
      <c r="CI202" s="906"/>
      <c r="CJ202" s="906"/>
      <c r="CK202" s="906"/>
      <c r="CL202" s="906"/>
      <c r="CM202" s="906"/>
      <c r="CN202" s="906"/>
      <c r="CO202" s="906"/>
      <c r="CP202" s="906"/>
      <c r="CQ202" s="906"/>
      <c r="CR202" s="906"/>
      <c r="CS202" s="906"/>
      <c r="CT202" s="906"/>
      <c r="CU202" s="906"/>
      <c r="CV202" s="906"/>
      <c r="CW202" s="906"/>
      <c r="CX202" s="906"/>
      <c r="CY202" s="906"/>
      <c r="CZ202" s="906"/>
      <c r="DA202" s="906"/>
      <c r="DB202" s="906"/>
      <c r="DC202" s="906"/>
      <c r="DD202" s="906"/>
      <c r="DE202" s="906"/>
      <c r="DF202" s="906"/>
      <c r="DG202" s="906"/>
      <c r="DH202" s="906"/>
      <c r="DI202" s="906"/>
      <c r="DJ202" s="906"/>
      <c r="DK202" s="906"/>
      <c r="DL202" s="906"/>
      <c r="DM202" s="906"/>
      <c r="DN202" s="906"/>
      <c r="DO202" s="906"/>
      <c r="DP202" s="906"/>
      <c r="DQ202" s="906"/>
      <c r="DR202" s="906"/>
      <c r="DS202" s="906"/>
    </row>
    <row r="203" spans="9:123" s="854" customFormat="1">
      <c r="I203" s="895"/>
      <c r="J203" s="895"/>
      <c r="R203" s="906"/>
      <c r="S203" s="906"/>
      <c r="T203" s="906"/>
      <c r="U203" s="906"/>
      <c r="V203" s="906"/>
      <c r="W203" s="906"/>
      <c r="X203" s="906"/>
      <c r="Y203" s="906"/>
      <c r="Z203" s="906"/>
      <c r="AA203" s="906"/>
      <c r="AB203" s="906"/>
      <c r="AC203" s="906"/>
      <c r="AD203" s="906"/>
      <c r="AE203" s="906"/>
      <c r="AF203" s="906"/>
      <c r="AG203" s="906"/>
      <c r="AH203" s="906"/>
      <c r="AI203" s="906"/>
      <c r="AJ203" s="906"/>
      <c r="AK203" s="906"/>
      <c r="AL203" s="906"/>
      <c r="AM203" s="906"/>
      <c r="AN203" s="906"/>
      <c r="AO203" s="906"/>
      <c r="AP203" s="906"/>
      <c r="AQ203" s="906"/>
      <c r="AR203" s="906"/>
      <c r="AS203" s="906"/>
      <c r="AT203" s="906"/>
      <c r="AU203" s="906"/>
      <c r="AV203" s="906"/>
      <c r="AW203" s="906"/>
      <c r="AX203" s="906"/>
      <c r="AY203" s="906"/>
      <c r="AZ203" s="906"/>
      <c r="BA203" s="906"/>
      <c r="BB203" s="906"/>
      <c r="BC203" s="906"/>
      <c r="BD203" s="906"/>
      <c r="BE203" s="906"/>
      <c r="BF203" s="906"/>
      <c r="BG203" s="906"/>
      <c r="BH203" s="906"/>
      <c r="BI203" s="906"/>
      <c r="BJ203" s="906"/>
      <c r="BK203" s="906"/>
      <c r="BL203" s="906"/>
      <c r="BM203" s="906"/>
      <c r="BN203" s="906"/>
      <c r="BO203" s="906"/>
      <c r="BP203" s="906"/>
      <c r="BQ203" s="906"/>
      <c r="BR203" s="906"/>
      <c r="BS203" s="906"/>
      <c r="BT203" s="906"/>
      <c r="BU203" s="906"/>
      <c r="BV203" s="906"/>
      <c r="BW203" s="906"/>
      <c r="BX203" s="906"/>
      <c r="BY203" s="906"/>
      <c r="BZ203" s="906"/>
      <c r="CA203" s="906"/>
      <c r="CB203" s="906"/>
      <c r="CC203" s="906"/>
      <c r="CD203" s="906"/>
      <c r="CE203" s="906"/>
      <c r="CF203" s="906"/>
      <c r="CG203" s="906"/>
      <c r="CH203" s="906"/>
      <c r="CI203" s="906"/>
      <c r="CJ203" s="906"/>
      <c r="CK203" s="906"/>
      <c r="CL203" s="906"/>
      <c r="CM203" s="906"/>
      <c r="CN203" s="906"/>
      <c r="CO203" s="906"/>
      <c r="CP203" s="906"/>
      <c r="CQ203" s="906"/>
      <c r="CR203" s="906"/>
      <c r="CS203" s="906"/>
      <c r="CT203" s="906"/>
      <c r="CU203" s="906"/>
      <c r="CV203" s="906"/>
      <c r="CW203" s="906"/>
      <c r="CX203" s="906"/>
      <c r="CY203" s="906"/>
      <c r="CZ203" s="906"/>
      <c r="DA203" s="906"/>
      <c r="DB203" s="906"/>
      <c r="DC203" s="906"/>
      <c r="DD203" s="906"/>
      <c r="DE203" s="906"/>
      <c r="DF203" s="906"/>
      <c r="DG203" s="906"/>
      <c r="DH203" s="906"/>
      <c r="DI203" s="906"/>
      <c r="DJ203" s="906"/>
      <c r="DK203" s="906"/>
      <c r="DL203" s="906"/>
      <c r="DM203" s="906"/>
      <c r="DN203" s="906"/>
      <c r="DO203" s="906"/>
      <c r="DP203" s="906"/>
      <c r="DQ203" s="906"/>
      <c r="DR203" s="906"/>
      <c r="DS203" s="906"/>
    </row>
    <row r="204" spans="9:123" s="854" customFormat="1">
      <c r="I204" s="895"/>
      <c r="J204" s="895"/>
      <c r="R204" s="906"/>
      <c r="S204" s="906"/>
      <c r="T204" s="906"/>
      <c r="U204" s="906"/>
      <c r="V204" s="906"/>
      <c r="W204" s="906"/>
      <c r="X204" s="906"/>
      <c r="Y204" s="906"/>
      <c r="Z204" s="906"/>
      <c r="AA204" s="906"/>
      <c r="AB204" s="906"/>
      <c r="AC204" s="906"/>
      <c r="AD204" s="906"/>
      <c r="AE204" s="906"/>
      <c r="AF204" s="906"/>
      <c r="AG204" s="906"/>
      <c r="AH204" s="906"/>
      <c r="AI204" s="906"/>
      <c r="AJ204" s="906"/>
      <c r="AK204" s="906"/>
      <c r="AL204" s="906"/>
      <c r="AM204" s="906"/>
      <c r="AN204" s="906"/>
      <c r="AO204" s="906"/>
      <c r="AP204" s="906"/>
      <c r="AQ204" s="906"/>
      <c r="AR204" s="906"/>
      <c r="AS204" s="906"/>
      <c r="AT204" s="906"/>
      <c r="AU204" s="906"/>
      <c r="AV204" s="906"/>
      <c r="AW204" s="906"/>
      <c r="AX204" s="906"/>
      <c r="AY204" s="906"/>
      <c r="AZ204" s="906"/>
      <c r="BA204" s="906"/>
      <c r="BB204" s="906"/>
      <c r="BC204" s="906"/>
      <c r="BD204" s="906"/>
      <c r="BE204" s="906"/>
      <c r="BF204" s="906"/>
      <c r="BG204" s="906"/>
      <c r="BH204" s="906"/>
      <c r="BI204" s="906"/>
      <c r="BJ204" s="906"/>
      <c r="BK204" s="906"/>
      <c r="BL204" s="906"/>
      <c r="BM204" s="906"/>
      <c r="BN204" s="906"/>
      <c r="BO204" s="906"/>
      <c r="BP204" s="906"/>
      <c r="BQ204" s="906"/>
      <c r="BR204" s="906"/>
      <c r="BS204" s="906"/>
      <c r="BT204" s="906"/>
      <c r="BU204" s="906"/>
      <c r="BV204" s="906"/>
      <c r="BW204" s="906"/>
      <c r="BX204" s="906"/>
      <c r="BY204" s="906"/>
      <c r="BZ204" s="906"/>
      <c r="CA204" s="906"/>
      <c r="CB204" s="906"/>
      <c r="CC204" s="906"/>
      <c r="CD204" s="906"/>
      <c r="CE204" s="906"/>
      <c r="CF204" s="906"/>
      <c r="CG204" s="906"/>
      <c r="CH204" s="906"/>
      <c r="CI204" s="906"/>
      <c r="CJ204" s="906"/>
      <c r="CK204" s="906"/>
      <c r="CL204" s="906"/>
      <c r="CM204" s="906"/>
      <c r="CN204" s="906"/>
      <c r="CO204" s="906"/>
      <c r="CP204" s="906"/>
      <c r="CQ204" s="906"/>
      <c r="CR204" s="906"/>
      <c r="CS204" s="906"/>
      <c r="CT204" s="906"/>
      <c r="CU204" s="906"/>
      <c r="CV204" s="906"/>
      <c r="CW204" s="906"/>
      <c r="CX204" s="906"/>
      <c r="CY204" s="906"/>
      <c r="CZ204" s="906"/>
      <c r="DA204" s="906"/>
      <c r="DB204" s="906"/>
      <c r="DC204" s="906"/>
      <c r="DD204" s="906"/>
      <c r="DE204" s="906"/>
      <c r="DF204" s="906"/>
      <c r="DG204" s="906"/>
      <c r="DH204" s="906"/>
      <c r="DI204" s="906"/>
      <c r="DJ204" s="906"/>
      <c r="DK204" s="906"/>
      <c r="DL204" s="906"/>
      <c r="DM204" s="906"/>
      <c r="DN204" s="906"/>
      <c r="DO204" s="906"/>
      <c r="DP204" s="906"/>
      <c r="DQ204" s="906"/>
      <c r="DR204" s="906"/>
      <c r="DS204" s="906"/>
    </row>
    <row r="205" spans="9:123" s="854" customFormat="1">
      <c r="I205" s="895"/>
      <c r="J205" s="895"/>
      <c r="R205" s="906"/>
      <c r="S205" s="906"/>
      <c r="T205" s="906"/>
      <c r="U205" s="906"/>
      <c r="V205" s="906"/>
      <c r="W205" s="906"/>
      <c r="X205" s="906"/>
      <c r="Y205" s="906"/>
      <c r="Z205" s="906"/>
      <c r="AA205" s="906"/>
      <c r="AB205" s="906"/>
      <c r="AC205" s="906"/>
      <c r="AD205" s="906"/>
      <c r="AE205" s="906"/>
      <c r="AF205" s="906"/>
      <c r="AG205" s="906"/>
      <c r="AH205" s="906"/>
      <c r="AI205" s="906"/>
      <c r="AJ205" s="906"/>
      <c r="AK205" s="906"/>
      <c r="AL205" s="906"/>
      <c r="AM205" s="906"/>
      <c r="AN205" s="906"/>
      <c r="AO205" s="906"/>
      <c r="AP205" s="906"/>
      <c r="AQ205" s="906"/>
      <c r="AR205" s="906"/>
      <c r="AS205" s="906"/>
      <c r="AT205" s="906"/>
      <c r="AU205" s="906"/>
      <c r="AV205" s="906"/>
      <c r="AW205" s="906"/>
      <c r="AX205" s="906"/>
      <c r="AY205" s="906"/>
      <c r="AZ205" s="906"/>
      <c r="BA205" s="906"/>
      <c r="BB205" s="906"/>
      <c r="BC205" s="906"/>
      <c r="BD205" s="906"/>
      <c r="BE205" s="906"/>
      <c r="BF205" s="906"/>
      <c r="BG205" s="906"/>
      <c r="BH205" s="906"/>
      <c r="BI205" s="906"/>
      <c r="BJ205" s="906"/>
      <c r="BK205" s="906"/>
      <c r="BL205" s="906"/>
      <c r="BM205" s="906"/>
      <c r="BN205" s="906"/>
      <c r="BO205" s="906"/>
      <c r="BP205" s="906"/>
      <c r="BQ205" s="906"/>
      <c r="BR205" s="906"/>
      <c r="BS205" s="906"/>
      <c r="BT205" s="906"/>
      <c r="BU205" s="906"/>
      <c r="BV205" s="906"/>
      <c r="BW205" s="906"/>
      <c r="BX205" s="906"/>
      <c r="BY205" s="906"/>
      <c r="BZ205" s="906"/>
      <c r="CA205" s="906"/>
      <c r="CB205" s="906"/>
      <c r="CC205" s="906"/>
      <c r="CD205" s="906"/>
      <c r="CE205" s="906"/>
      <c r="CF205" s="906"/>
      <c r="CG205" s="906"/>
      <c r="CH205" s="906"/>
      <c r="CI205" s="906"/>
      <c r="CJ205" s="906"/>
      <c r="CK205" s="906"/>
      <c r="CL205" s="906"/>
      <c r="CM205" s="906"/>
      <c r="CN205" s="906"/>
      <c r="CO205" s="906"/>
      <c r="CP205" s="906"/>
      <c r="CQ205" s="906"/>
      <c r="CR205" s="906"/>
      <c r="CS205" s="906"/>
      <c r="CT205" s="906"/>
      <c r="CU205" s="906"/>
      <c r="CV205" s="906"/>
      <c r="CW205" s="906"/>
      <c r="CX205" s="906"/>
      <c r="CY205" s="906"/>
      <c r="CZ205" s="906"/>
      <c r="DA205" s="906"/>
      <c r="DB205" s="906"/>
      <c r="DC205" s="906"/>
      <c r="DD205" s="906"/>
      <c r="DE205" s="906"/>
      <c r="DF205" s="906"/>
      <c r="DG205" s="906"/>
      <c r="DH205" s="906"/>
      <c r="DI205" s="906"/>
      <c r="DJ205" s="906"/>
      <c r="DK205" s="906"/>
      <c r="DL205" s="906"/>
      <c r="DM205" s="906"/>
      <c r="DN205" s="906"/>
      <c r="DO205" s="906"/>
      <c r="DP205" s="906"/>
      <c r="DQ205" s="906"/>
      <c r="DR205" s="906"/>
      <c r="DS205" s="906"/>
    </row>
    <row r="206" spans="9:123" s="854" customFormat="1">
      <c r="I206" s="895"/>
      <c r="J206" s="895"/>
      <c r="R206" s="906"/>
      <c r="S206" s="906"/>
      <c r="T206" s="906"/>
      <c r="U206" s="906"/>
      <c r="V206" s="906"/>
      <c r="W206" s="906"/>
      <c r="X206" s="906"/>
      <c r="Y206" s="906"/>
      <c r="Z206" s="906"/>
      <c r="AA206" s="906"/>
      <c r="AB206" s="906"/>
      <c r="AC206" s="906"/>
      <c r="AD206" s="906"/>
      <c r="AE206" s="906"/>
      <c r="AF206" s="906"/>
      <c r="AG206" s="906"/>
      <c r="AH206" s="906"/>
      <c r="AI206" s="906"/>
      <c r="AJ206" s="906"/>
      <c r="AK206" s="906"/>
      <c r="AL206" s="906"/>
      <c r="AM206" s="906"/>
      <c r="AN206" s="906"/>
      <c r="AO206" s="906"/>
      <c r="AP206" s="906"/>
      <c r="AQ206" s="906"/>
      <c r="AR206" s="906"/>
      <c r="AS206" s="906"/>
      <c r="AT206" s="906"/>
      <c r="AU206" s="906"/>
      <c r="AV206" s="906"/>
      <c r="AW206" s="906"/>
      <c r="AX206" s="906"/>
      <c r="AY206" s="906"/>
      <c r="AZ206" s="906"/>
      <c r="BA206" s="906"/>
      <c r="BB206" s="906"/>
      <c r="BC206" s="906"/>
      <c r="BD206" s="906"/>
      <c r="BE206" s="906"/>
      <c r="BF206" s="906"/>
      <c r="BG206" s="906"/>
      <c r="BH206" s="906"/>
      <c r="BI206" s="906"/>
      <c r="BJ206" s="906"/>
      <c r="BK206" s="906"/>
      <c r="BL206" s="906"/>
      <c r="BM206" s="906"/>
      <c r="BN206" s="906"/>
      <c r="BO206" s="906"/>
      <c r="BP206" s="906"/>
      <c r="BQ206" s="906"/>
      <c r="BR206" s="906"/>
      <c r="BS206" s="906"/>
      <c r="BT206" s="906"/>
      <c r="BU206" s="906"/>
      <c r="BV206" s="906"/>
      <c r="BW206" s="906"/>
      <c r="BX206" s="906"/>
      <c r="BY206" s="906"/>
      <c r="BZ206" s="906"/>
      <c r="CA206" s="906"/>
      <c r="CB206" s="906"/>
      <c r="CC206" s="906"/>
      <c r="CD206" s="906"/>
      <c r="CE206" s="906"/>
      <c r="CF206" s="906"/>
      <c r="CG206" s="906"/>
      <c r="CH206" s="906"/>
      <c r="CI206" s="906"/>
      <c r="CJ206" s="906"/>
      <c r="CK206" s="906"/>
      <c r="CL206" s="906"/>
      <c r="CM206" s="906"/>
      <c r="CN206" s="906"/>
      <c r="CO206" s="906"/>
      <c r="CP206" s="906"/>
      <c r="CQ206" s="906"/>
      <c r="CR206" s="906"/>
      <c r="CS206" s="906"/>
      <c r="CT206" s="906"/>
      <c r="CU206" s="906"/>
      <c r="CV206" s="906"/>
      <c r="CW206" s="906"/>
      <c r="CX206" s="906"/>
      <c r="CY206" s="906"/>
      <c r="CZ206" s="906"/>
      <c r="DA206" s="906"/>
      <c r="DB206" s="906"/>
      <c r="DC206" s="906"/>
      <c r="DD206" s="906"/>
      <c r="DE206" s="906"/>
      <c r="DF206" s="906"/>
      <c r="DG206" s="906"/>
      <c r="DH206" s="906"/>
      <c r="DI206" s="906"/>
      <c r="DJ206" s="906"/>
      <c r="DK206" s="906"/>
      <c r="DL206" s="906"/>
      <c r="DM206" s="906"/>
      <c r="DN206" s="906"/>
      <c r="DO206" s="906"/>
      <c r="DP206" s="906"/>
      <c r="DQ206" s="906"/>
      <c r="DR206" s="906"/>
      <c r="DS206" s="906"/>
    </row>
    <row r="207" spans="9:123" s="854" customFormat="1">
      <c r="I207" s="895"/>
      <c r="J207" s="895"/>
      <c r="R207" s="906"/>
      <c r="S207" s="906"/>
      <c r="T207" s="906"/>
      <c r="U207" s="906"/>
      <c r="V207" s="906"/>
      <c r="W207" s="906"/>
      <c r="X207" s="906"/>
      <c r="Y207" s="906"/>
      <c r="Z207" s="906"/>
      <c r="AA207" s="906"/>
      <c r="AB207" s="906"/>
      <c r="AC207" s="906"/>
      <c r="AD207" s="906"/>
      <c r="AE207" s="906"/>
      <c r="AF207" s="906"/>
      <c r="AG207" s="906"/>
      <c r="AH207" s="906"/>
      <c r="AI207" s="906"/>
      <c r="AJ207" s="906"/>
      <c r="AK207" s="906"/>
      <c r="AL207" s="906"/>
      <c r="AM207" s="906"/>
      <c r="AN207" s="906"/>
      <c r="AO207" s="906"/>
      <c r="AP207" s="906"/>
      <c r="AQ207" s="906"/>
      <c r="AR207" s="906"/>
      <c r="AS207" s="906"/>
      <c r="AT207" s="906"/>
      <c r="AU207" s="906"/>
      <c r="AV207" s="906"/>
      <c r="AW207" s="906"/>
      <c r="AX207" s="906"/>
      <c r="AY207" s="906"/>
      <c r="AZ207" s="906"/>
      <c r="BA207" s="906"/>
      <c r="BB207" s="906"/>
      <c r="BC207" s="906"/>
      <c r="BD207" s="906"/>
      <c r="BE207" s="906"/>
      <c r="BF207" s="906"/>
      <c r="BG207" s="906"/>
      <c r="BH207" s="906"/>
      <c r="BI207" s="906"/>
      <c r="BJ207" s="906"/>
      <c r="BK207" s="906"/>
      <c r="BL207" s="906"/>
      <c r="BM207" s="906"/>
      <c r="BN207" s="906"/>
      <c r="BO207" s="906"/>
      <c r="BP207" s="906"/>
      <c r="BQ207" s="906"/>
      <c r="BR207" s="906"/>
      <c r="BS207" s="906"/>
      <c r="BT207" s="906"/>
      <c r="BU207" s="906"/>
      <c r="BV207" s="906"/>
      <c r="BW207" s="906"/>
      <c r="BX207" s="906"/>
      <c r="BY207" s="906"/>
      <c r="BZ207" s="906"/>
      <c r="CA207" s="906"/>
      <c r="CB207" s="906"/>
      <c r="CC207" s="906"/>
      <c r="CD207" s="906"/>
      <c r="CE207" s="906"/>
      <c r="CF207" s="906"/>
      <c r="CG207" s="906"/>
      <c r="CH207" s="906"/>
      <c r="CI207" s="906"/>
      <c r="CJ207" s="906"/>
      <c r="CK207" s="906"/>
      <c r="CL207" s="906"/>
      <c r="CM207" s="906"/>
      <c r="CN207" s="906"/>
      <c r="CO207" s="906"/>
      <c r="CP207" s="906"/>
      <c r="CQ207" s="906"/>
      <c r="CR207" s="906"/>
      <c r="CS207" s="906"/>
      <c r="CT207" s="906"/>
      <c r="CU207" s="906"/>
      <c r="CV207" s="906"/>
      <c r="CW207" s="906"/>
      <c r="CX207" s="906"/>
      <c r="CY207" s="906"/>
      <c r="CZ207" s="906"/>
      <c r="DA207" s="906"/>
      <c r="DB207" s="906"/>
      <c r="DC207" s="906"/>
      <c r="DD207" s="906"/>
      <c r="DE207" s="906"/>
      <c r="DF207" s="906"/>
      <c r="DG207" s="906"/>
      <c r="DH207" s="906"/>
      <c r="DI207" s="906"/>
      <c r="DJ207" s="906"/>
      <c r="DK207" s="906"/>
      <c r="DL207" s="906"/>
      <c r="DM207" s="906"/>
      <c r="DN207" s="906"/>
      <c r="DO207" s="906"/>
      <c r="DP207" s="906"/>
      <c r="DQ207" s="906"/>
      <c r="DR207" s="906"/>
      <c r="DS207" s="906"/>
    </row>
    <row r="208" spans="9:123" s="854" customFormat="1">
      <c r="I208" s="895"/>
      <c r="J208" s="895"/>
      <c r="R208" s="906"/>
      <c r="S208" s="906"/>
      <c r="T208" s="906"/>
      <c r="U208" s="906"/>
      <c r="V208" s="906"/>
      <c r="W208" s="906"/>
      <c r="X208" s="906"/>
      <c r="Y208" s="906"/>
      <c r="Z208" s="906"/>
      <c r="AA208" s="906"/>
      <c r="AB208" s="906"/>
      <c r="AC208" s="906"/>
      <c r="AD208" s="906"/>
      <c r="AE208" s="906"/>
      <c r="AF208" s="906"/>
      <c r="AG208" s="906"/>
      <c r="AH208" s="906"/>
      <c r="AI208" s="906"/>
      <c r="AJ208" s="906"/>
      <c r="AK208" s="906"/>
      <c r="AL208" s="906"/>
      <c r="AM208" s="906"/>
      <c r="AN208" s="906"/>
      <c r="AO208" s="906"/>
      <c r="AP208" s="906"/>
      <c r="AQ208" s="906"/>
      <c r="AR208" s="906"/>
      <c r="AS208" s="906"/>
      <c r="AT208" s="906"/>
      <c r="AU208" s="906"/>
      <c r="AV208" s="906"/>
      <c r="AW208" s="906"/>
      <c r="AX208" s="906"/>
      <c r="AY208" s="906"/>
      <c r="AZ208" s="906"/>
      <c r="BA208" s="906"/>
      <c r="BB208" s="906"/>
      <c r="BC208" s="906"/>
      <c r="BD208" s="906"/>
      <c r="BE208" s="906"/>
      <c r="BF208" s="906"/>
      <c r="BG208" s="906"/>
      <c r="BH208" s="906"/>
      <c r="BI208" s="906"/>
      <c r="BJ208" s="906"/>
      <c r="BK208" s="906"/>
      <c r="BL208" s="906"/>
      <c r="BM208" s="906"/>
      <c r="BN208" s="906"/>
      <c r="BO208" s="906"/>
      <c r="BP208" s="906"/>
      <c r="BQ208" s="906"/>
      <c r="BR208" s="906"/>
      <c r="BS208" s="906"/>
      <c r="BT208" s="906"/>
      <c r="BU208" s="906"/>
      <c r="BV208" s="906"/>
      <c r="BW208" s="906"/>
      <c r="BX208" s="906"/>
      <c r="BY208" s="906"/>
      <c r="BZ208" s="906"/>
      <c r="CA208" s="906"/>
      <c r="CB208" s="906"/>
      <c r="CC208" s="906"/>
      <c r="CD208" s="906"/>
      <c r="CE208" s="906"/>
      <c r="CF208" s="906"/>
      <c r="CG208" s="906"/>
      <c r="CH208" s="906"/>
      <c r="CI208" s="906"/>
      <c r="CJ208" s="906"/>
      <c r="CK208" s="906"/>
      <c r="CL208" s="906"/>
      <c r="CM208" s="906"/>
      <c r="CN208" s="906"/>
      <c r="CO208" s="906"/>
      <c r="CP208" s="906"/>
      <c r="CQ208" s="906"/>
      <c r="CR208" s="906"/>
      <c r="CS208" s="906"/>
      <c r="CT208" s="906"/>
      <c r="CU208" s="906"/>
      <c r="CV208" s="906"/>
      <c r="CW208" s="906"/>
      <c r="CX208" s="906"/>
      <c r="CY208" s="906"/>
      <c r="CZ208" s="906"/>
      <c r="DA208" s="906"/>
      <c r="DB208" s="906"/>
      <c r="DC208" s="906"/>
      <c r="DD208" s="906"/>
      <c r="DE208" s="906"/>
      <c r="DF208" s="906"/>
      <c r="DG208" s="906"/>
      <c r="DH208" s="906"/>
      <c r="DI208" s="906"/>
      <c r="DJ208" s="906"/>
      <c r="DK208" s="906"/>
      <c r="DL208" s="906"/>
      <c r="DM208" s="906"/>
      <c r="DN208" s="906"/>
      <c r="DO208" s="906"/>
      <c r="DP208" s="906"/>
      <c r="DQ208" s="906"/>
      <c r="DR208" s="906"/>
      <c r="DS208" s="906"/>
    </row>
    <row r="209" spans="9:123" s="854" customFormat="1">
      <c r="I209" s="895"/>
      <c r="J209" s="895"/>
      <c r="R209" s="906"/>
      <c r="S209" s="906"/>
      <c r="T209" s="906"/>
      <c r="U209" s="906"/>
      <c r="V209" s="906"/>
      <c r="W209" s="906"/>
      <c r="X209" s="906"/>
      <c r="Y209" s="906"/>
      <c r="Z209" s="906"/>
      <c r="AA209" s="906"/>
      <c r="AB209" s="906"/>
      <c r="AC209" s="906"/>
      <c r="AD209" s="906"/>
      <c r="AE209" s="906"/>
      <c r="AF209" s="906"/>
      <c r="AG209" s="906"/>
      <c r="AH209" s="906"/>
      <c r="AI209" s="906"/>
      <c r="AJ209" s="906"/>
      <c r="AK209" s="906"/>
      <c r="AL209" s="906"/>
      <c r="AM209" s="906"/>
      <c r="AN209" s="906"/>
      <c r="AO209" s="906"/>
      <c r="AP209" s="906"/>
      <c r="AQ209" s="906"/>
      <c r="AR209" s="906"/>
      <c r="AS209" s="906"/>
      <c r="AT209" s="906"/>
      <c r="AU209" s="906"/>
      <c r="AV209" s="906"/>
      <c r="AW209" s="906"/>
      <c r="AX209" s="906"/>
      <c r="AY209" s="906"/>
      <c r="AZ209" s="906"/>
      <c r="BA209" s="906"/>
      <c r="BB209" s="906"/>
      <c r="BC209" s="906"/>
      <c r="BD209" s="906"/>
      <c r="BE209" s="906"/>
      <c r="BF209" s="906"/>
      <c r="BG209" s="906"/>
      <c r="BH209" s="906"/>
      <c r="BI209" s="906"/>
      <c r="BJ209" s="906"/>
      <c r="BK209" s="906"/>
      <c r="BL209" s="906"/>
      <c r="BM209" s="906"/>
      <c r="BN209" s="906"/>
      <c r="BO209" s="906"/>
      <c r="BP209" s="906"/>
      <c r="BQ209" s="906"/>
      <c r="BR209" s="906"/>
      <c r="BS209" s="906"/>
      <c r="BT209" s="906"/>
      <c r="BU209" s="906"/>
      <c r="BV209" s="906"/>
      <c r="BW209" s="906"/>
      <c r="BX209" s="906"/>
      <c r="BY209" s="906"/>
      <c r="BZ209" s="906"/>
      <c r="CA209" s="906"/>
      <c r="CB209" s="906"/>
      <c r="CC209" s="906"/>
      <c r="CD209" s="906"/>
      <c r="CE209" s="906"/>
      <c r="CF209" s="906"/>
      <c r="CG209" s="906"/>
      <c r="CH209" s="906"/>
      <c r="CI209" s="906"/>
      <c r="CJ209" s="906"/>
      <c r="CK209" s="906"/>
      <c r="CL209" s="906"/>
      <c r="CM209" s="906"/>
      <c r="CN209" s="906"/>
      <c r="CO209" s="906"/>
      <c r="CP209" s="906"/>
      <c r="CQ209" s="906"/>
      <c r="CR209" s="906"/>
      <c r="CS209" s="906"/>
      <c r="CT209" s="906"/>
      <c r="CU209" s="906"/>
      <c r="CV209" s="906"/>
      <c r="CW209" s="906"/>
      <c r="CX209" s="906"/>
      <c r="CY209" s="906"/>
      <c r="CZ209" s="906"/>
      <c r="DA209" s="906"/>
      <c r="DB209" s="906"/>
      <c r="DC209" s="906"/>
      <c r="DD209" s="906"/>
      <c r="DE209" s="906"/>
      <c r="DF209" s="906"/>
      <c r="DG209" s="906"/>
      <c r="DH209" s="906"/>
      <c r="DI209" s="906"/>
      <c r="DJ209" s="906"/>
      <c r="DK209" s="906"/>
      <c r="DL209" s="906"/>
      <c r="DM209" s="906"/>
      <c r="DN209" s="906"/>
      <c r="DO209" s="906"/>
      <c r="DP209" s="906"/>
      <c r="DQ209" s="906"/>
      <c r="DR209" s="906"/>
      <c r="DS209" s="906"/>
    </row>
    <row r="210" spans="9:123" s="854" customFormat="1">
      <c r="I210" s="895"/>
      <c r="J210" s="895"/>
      <c r="R210" s="906"/>
      <c r="S210" s="906"/>
      <c r="T210" s="906"/>
      <c r="U210" s="906"/>
      <c r="V210" s="906"/>
      <c r="W210" s="906"/>
      <c r="X210" s="906"/>
      <c r="Y210" s="906"/>
      <c r="Z210" s="906"/>
      <c r="AA210" s="906"/>
      <c r="AB210" s="906"/>
      <c r="AC210" s="906"/>
      <c r="AD210" s="906"/>
      <c r="AE210" s="906"/>
      <c r="AF210" s="906"/>
      <c r="AG210" s="906"/>
      <c r="AH210" s="906"/>
      <c r="AI210" s="906"/>
      <c r="AJ210" s="906"/>
      <c r="AK210" s="906"/>
      <c r="AL210" s="906"/>
      <c r="AM210" s="906"/>
      <c r="AN210" s="906"/>
      <c r="AO210" s="906"/>
      <c r="AP210" s="906"/>
      <c r="AQ210" s="906"/>
      <c r="AR210" s="906"/>
      <c r="AS210" s="906"/>
      <c r="AT210" s="906"/>
      <c r="AU210" s="906"/>
      <c r="AV210" s="906"/>
      <c r="AW210" s="906"/>
      <c r="AX210" s="906"/>
      <c r="AY210" s="906"/>
      <c r="AZ210" s="906"/>
      <c r="BA210" s="906"/>
      <c r="BB210" s="906"/>
      <c r="BC210" s="906"/>
      <c r="BD210" s="906"/>
      <c r="BE210" s="906"/>
      <c r="BF210" s="906"/>
      <c r="BG210" s="906"/>
      <c r="BH210" s="906"/>
      <c r="BI210" s="906"/>
      <c r="BJ210" s="906"/>
      <c r="BK210" s="906"/>
      <c r="BL210" s="906"/>
      <c r="BM210" s="906"/>
      <c r="BN210" s="906"/>
      <c r="BO210" s="906"/>
      <c r="BP210" s="906"/>
      <c r="BQ210" s="906"/>
      <c r="BR210" s="906"/>
      <c r="BS210" s="906"/>
      <c r="BT210" s="906"/>
      <c r="BU210" s="906"/>
      <c r="BV210" s="906"/>
      <c r="BW210" s="906"/>
      <c r="BX210" s="906"/>
      <c r="BY210" s="906"/>
      <c r="BZ210" s="906"/>
      <c r="CA210" s="906"/>
      <c r="CB210" s="906"/>
      <c r="CC210" s="906"/>
      <c r="CD210" s="906"/>
      <c r="CE210" s="906"/>
      <c r="CF210" s="906"/>
      <c r="CG210" s="906"/>
      <c r="CH210" s="906"/>
      <c r="CI210" s="906"/>
      <c r="CJ210" s="906"/>
      <c r="CK210" s="906"/>
      <c r="CL210" s="906"/>
      <c r="CM210" s="906"/>
      <c r="CN210" s="906"/>
      <c r="CO210" s="906"/>
      <c r="CP210" s="906"/>
      <c r="CQ210" s="906"/>
      <c r="CR210" s="906"/>
      <c r="CS210" s="906"/>
      <c r="CT210" s="906"/>
      <c r="CU210" s="906"/>
      <c r="CV210" s="906"/>
      <c r="CW210" s="906"/>
      <c r="CX210" s="906"/>
      <c r="CY210" s="906"/>
      <c r="CZ210" s="906"/>
      <c r="DA210" s="906"/>
      <c r="DB210" s="906"/>
      <c r="DC210" s="906"/>
      <c r="DD210" s="906"/>
      <c r="DE210" s="906"/>
      <c r="DF210" s="906"/>
      <c r="DG210" s="906"/>
      <c r="DH210" s="906"/>
      <c r="DI210" s="906"/>
      <c r="DJ210" s="906"/>
      <c r="DK210" s="906"/>
      <c r="DL210" s="906"/>
      <c r="DM210" s="906"/>
      <c r="DN210" s="906"/>
      <c r="DO210" s="906"/>
      <c r="DP210" s="906"/>
      <c r="DQ210" s="906"/>
      <c r="DR210" s="906"/>
      <c r="DS210" s="906"/>
    </row>
    <row r="211" spans="9:123" s="854" customFormat="1">
      <c r="I211" s="895"/>
      <c r="J211" s="895"/>
      <c r="R211" s="906"/>
      <c r="S211" s="906"/>
      <c r="T211" s="906"/>
      <c r="U211" s="906"/>
      <c r="V211" s="906"/>
      <c r="W211" s="906"/>
      <c r="X211" s="906"/>
      <c r="Y211" s="906"/>
      <c r="Z211" s="906"/>
      <c r="AA211" s="906"/>
      <c r="AB211" s="906"/>
      <c r="AC211" s="906"/>
      <c r="AD211" s="906"/>
      <c r="AE211" s="906"/>
      <c r="AF211" s="906"/>
      <c r="AG211" s="906"/>
      <c r="AH211" s="906"/>
      <c r="AI211" s="906"/>
      <c r="AJ211" s="906"/>
      <c r="AK211" s="906"/>
      <c r="AL211" s="906"/>
      <c r="AM211" s="906"/>
      <c r="AN211" s="906"/>
      <c r="AO211" s="906"/>
      <c r="AP211" s="906"/>
      <c r="AQ211" s="906"/>
      <c r="AR211" s="906"/>
      <c r="AS211" s="906"/>
      <c r="AT211" s="906"/>
      <c r="AU211" s="906"/>
      <c r="AV211" s="906"/>
      <c r="AW211" s="906"/>
      <c r="AX211" s="906"/>
      <c r="AY211" s="906"/>
      <c r="AZ211" s="906"/>
      <c r="BA211" s="906"/>
      <c r="BB211" s="906"/>
      <c r="BC211" s="906"/>
      <c r="BD211" s="906"/>
      <c r="BE211" s="906"/>
      <c r="BF211" s="906"/>
      <c r="BG211" s="906"/>
      <c r="BH211" s="906"/>
      <c r="BI211" s="906"/>
      <c r="BJ211" s="906"/>
      <c r="BK211" s="906"/>
      <c r="BL211" s="906"/>
      <c r="BM211" s="906"/>
      <c r="BN211" s="906"/>
      <c r="BO211" s="906"/>
      <c r="BP211" s="906"/>
      <c r="BQ211" s="906"/>
      <c r="BR211" s="906"/>
      <c r="BS211" s="906"/>
      <c r="BT211" s="906"/>
      <c r="BU211" s="906"/>
      <c r="BV211" s="906"/>
      <c r="BW211" s="906"/>
      <c r="BX211" s="906"/>
      <c r="BY211" s="906"/>
      <c r="BZ211" s="906"/>
      <c r="CA211" s="906"/>
      <c r="CB211" s="906"/>
      <c r="CC211" s="906"/>
      <c r="CD211" s="906"/>
      <c r="CE211" s="906"/>
      <c r="CF211" s="906"/>
      <c r="CG211" s="906"/>
      <c r="CH211" s="906"/>
      <c r="CI211" s="906"/>
      <c r="CJ211" s="906"/>
      <c r="CK211" s="906"/>
      <c r="CL211" s="906"/>
      <c r="CM211" s="906"/>
      <c r="CN211" s="906"/>
      <c r="CO211" s="906"/>
      <c r="CP211" s="906"/>
      <c r="CQ211" s="906"/>
      <c r="CR211" s="906"/>
      <c r="CS211" s="906"/>
      <c r="CT211" s="906"/>
      <c r="CU211" s="906"/>
      <c r="CV211" s="906"/>
      <c r="CW211" s="906"/>
      <c r="CX211" s="906"/>
      <c r="CY211" s="906"/>
      <c r="CZ211" s="906"/>
      <c r="DA211" s="906"/>
      <c r="DB211" s="906"/>
      <c r="DC211" s="906"/>
      <c r="DD211" s="906"/>
      <c r="DE211" s="906"/>
      <c r="DF211" s="906"/>
      <c r="DG211" s="906"/>
      <c r="DH211" s="906"/>
      <c r="DI211" s="906"/>
      <c r="DJ211" s="906"/>
      <c r="DK211" s="906"/>
      <c r="DL211" s="906"/>
      <c r="DM211" s="906"/>
      <c r="DN211" s="906"/>
      <c r="DO211" s="906"/>
      <c r="DP211" s="906"/>
      <c r="DQ211" s="906"/>
      <c r="DR211" s="906"/>
      <c r="DS211" s="906"/>
    </row>
    <row r="212" spans="9:123" s="854" customFormat="1">
      <c r="I212" s="895"/>
      <c r="J212" s="895"/>
      <c r="R212" s="906"/>
      <c r="S212" s="906"/>
      <c r="T212" s="906"/>
      <c r="U212" s="906"/>
      <c r="V212" s="906"/>
      <c r="W212" s="906"/>
      <c r="X212" s="906"/>
      <c r="Y212" s="906"/>
      <c r="Z212" s="906"/>
      <c r="AA212" s="906"/>
      <c r="AB212" s="906"/>
      <c r="AC212" s="906"/>
      <c r="AD212" s="906"/>
      <c r="AE212" s="906"/>
      <c r="AF212" s="906"/>
      <c r="AG212" s="906"/>
      <c r="AH212" s="906"/>
      <c r="AI212" s="906"/>
      <c r="AJ212" s="906"/>
      <c r="AK212" s="906"/>
      <c r="AL212" s="906"/>
      <c r="AM212" s="906"/>
      <c r="AN212" s="906"/>
      <c r="AO212" s="906"/>
      <c r="AP212" s="906"/>
      <c r="AQ212" s="906"/>
      <c r="AR212" s="906"/>
      <c r="AS212" s="906"/>
      <c r="AT212" s="906"/>
      <c r="AU212" s="906"/>
      <c r="AV212" s="906"/>
      <c r="AW212" s="906"/>
      <c r="AX212" s="906"/>
      <c r="AY212" s="906"/>
      <c r="AZ212" s="906"/>
      <c r="BA212" s="906"/>
      <c r="BB212" s="906"/>
      <c r="BC212" s="906"/>
      <c r="BD212" s="906"/>
      <c r="BE212" s="906"/>
      <c r="BF212" s="906"/>
      <c r="BG212" s="906"/>
      <c r="BH212" s="906"/>
      <c r="BI212" s="906"/>
      <c r="BJ212" s="906"/>
      <c r="BK212" s="906"/>
      <c r="BL212" s="906"/>
      <c r="BM212" s="906"/>
      <c r="BN212" s="906"/>
      <c r="BO212" s="906"/>
      <c r="BP212" s="906"/>
      <c r="BQ212" s="906"/>
      <c r="BR212" s="906"/>
      <c r="BS212" s="906"/>
      <c r="BT212" s="906"/>
      <c r="BU212" s="906"/>
      <c r="BV212" s="906"/>
      <c r="BW212" s="906"/>
      <c r="BX212" s="906"/>
      <c r="BY212" s="906"/>
      <c r="BZ212" s="906"/>
      <c r="CA212" s="906"/>
      <c r="CB212" s="906"/>
      <c r="CC212" s="906"/>
      <c r="CD212" s="906"/>
      <c r="CE212" s="906"/>
      <c r="CF212" s="906"/>
      <c r="CG212" s="906"/>
      <c r="CH212" s="906"/>
      <c r="CI212" s="906"/>
      <c r="CJ212" s="906"/>
      <c r="CK212" s="906"/>
      <c r="CL212" s="906"/>
      <c r="CM212" s="906"/>
      <c r="CN212" s="906"/>
      <c r="CO212" s="906"/>
      <c r="CP212" s="906"/>
      <c r="CQ212" s="906"/>
      <c r="CR212" s="906"/>
      <c r="CS212" s="906"/>
      <c r="CT212" s="906"/>
      <c r="CU212" s="906"/>
      <c r="CV212" s="906"/>
      <c r="CW212" s="906"/>
      <c r="CX212" s="906"/>
      <c r="CY212" s="906"/>
      <c r="CZ212" s="906"/>
      <c r="DA212" s="906"/>
      <c r="DB212" s="906"/>
      <c r="DC212" s="906"/>
      <c r="DD212" s="906"/>
      <c r="DE212" s="906"/>
      <c r="DF212" s="906"/>
      <c r="DG212" s="906"/>
      <c r="DH212" s="906"/>
      <c r="DI212" s="906"/>
      <c r="DJ212" s="906"/>
      <c r="DK212" s="906"/>
      <c r="DL212" s="906"/>
      <c r="DM212" s="906"/>
      <c r="DN212" s="906"/>
      <c r="DO212" s="906"/>
      <c r="DP212" s="906"/>
      <c r="DQ212" s="906"/>
      <c r="DR212" s="906"/>
      <c r="DS212" s="906"/>
    </row>
    <row r="213" spans="9:123" s="854" customFormat="1">
      <c r="I213" s="895"/>
      <c r="J213" s="895"/>
      <c r="R213" s="906"/>
      <c r="S213" s="906"/>
      <c r="T213" s="906"/>
      <c r="U213" s="906"/>
      <c r="V213" s="906"/>
      <c r="W213" s="906"/>
      <c r="X213" s="906"/>
      <c r="Y213" s="906"/>
      <c r="Z213" s="906"/>
      <c r="AA213" s="906"/>
      <c r="AB213" s="906"/>
      <c r="AC213" s="906"/>
      <c r="AD213" s="906"/>
      <c r="AE213" s="906"/>
      <c r="AF213" s="906"/>
      <c r="AG213" s="906"/>
      <c r="AH213" s="906"/>
      <c r="AI213" s="906"/>
      <c r="AJ213" s="906"/>
      <c r="AK213" s="906"/>
      <c r="AL213" s="906"/>
      <c r="AM213" s="906"/>
      <c r="AN213" s="906"/>
      <c r="AO213" s="906"/>
      <c r="AP213" s="906"/>
      <c r="AQ213" s="906"/>
      <c r="AR213" s="906"/>
      <c r="AS213" s="906"/>
      <c r="AT213" s="906"/>
      <c r="AU213" s="906"/>
      <c r="AV213" s="906"/>
      <c r="AW213" s="906"/>
      <c r="AX213" s="906"/>
      <c r="AY213" s="906"/>
      <c r="AZ213" s="906"/>
      <c r="BA213" s="906"/>
      <c r="BB213" s="906"/>
      <c r="BC213" s="906"/>
      <c r="BD213" s="906"/>
      <c r="BE213" s="906"/>
      <c r="BF213" s="906"/>
      <c r="BG213" s="906"/>
      <c r="BH213" s="906"/>
      <c r="BI213" s="906"/>
      <c r="BJ213" s="906"/>
      <c r="BK213" s="906"/>
      <c r="BL213" s="906"/>
      <c r="BM213" s="906"/>
      <c r="BN213" s="906"/>
      <c r="BO213" s="906"/>
      <c r="BP213" s="906"/>
      <c r="BQ213" s="906"/>
      <c r="BR213" s="906"/>
      <c r="BS213" s="906"/>
      <c r="BT213" s="906"/>
      <c r="BU213" s="906"/>
      <c r="BV213" s="906"/>
      <c r="BW213" s="906"/>
      <c r="BX213" s="906"/>
      <c r="BY213" s="906"/>
      <c r="BZ213" s="906"/>
      <c r="CA213" s="906"/>
      <c r="CB213" s="906"/>
      <c r="CC213" s="906"/>
      <c r="CD213" s="906"/>
      <c r="CE213" s="906"/>
      <c r="CF213" s="906"/>
      <c r="CG213" s="906"/>
      <c r="CH213" s="906"/>
      <c r="CI213" s="906"/>
      <c r="CJ213" s="906"/>
      <c r="CK213" s="906"/>
      <c r="CL213" s="906"/>
      <c r="CM213" s="906"/>
      <c r="CN213" s="906"/>
      <c r="CO213" s="906"/>
      <c r="CP213" s="906"/>
      <c r="CQ213" s="906"/>
      <c r="CR213" s="906"/>
      <c r="CS213" s="906"/>
      <c r="CT213" s="906"/>
      <c r="CU213" s="906"/>
      <c r="CV213" s="906"/>
      <c r="CW213" s="906"/>
      <c r="CX213" s="906"/>
      <c r="CY213" s="906"/>
      <c r="CZ213" s="906"/>
      <c r="DA213" s="906"/>
      <c r="DB213" s="906"/>
      <c r="DC213" s="906"/>
      <c r="DD213" s="906"/>
      <c r="DE213" s="906"/>
      <c r="DF213" s="906"/>
      <c r="DG213" s="906"/>
      <c r="DH213" s="906"/>
      <c r="DI213" s="906"/>
      <c r="DJ213" s="906"/>
      <c r="DK213" s="906"/>
      <c r="DL213" s="906"/>
      <c r="DM213" s="906"/>
      <c r="DN213" s="906"/>
      <c r="DO213" s="906"/>
      <c r="DP213" s="906"/>
      <c r="DQ213" s="906"/>
      <c r="DR213" s="906"/>
      <c r="DS213" s="906"/>
    </row>
    <row r="214" spans="9:123" s="854" customFormat="1">
      <c r="I214" s="895"/>
      <c r="J214" s="895"/>
      <c r="R214" s="906"/>
      <c r="S214" s="906"/>
      <c r="T214" s="906"/>
      <c r="U214" s="906"/>
      <c r="V214" s="906"/>
      <c r="W214" s="906"/>
      <c r="X214" s="906"/>
      <c r="Y214" s="906"/>
      <c r="Z214" s="906"/>
      <c r="AA214" s="906"/>
      <c r="AB214" s="906"/>
      <c r="AC214" s="906"/>
      <c r="AD214" s="906"/>
      <c r="AE214" s="906"/>
      <c r="AF214" s="906"/>
      <c r="AG214" s="906"/>
      <c r="AH214" s="906"/>
      <c r="AI214" s="906"/>
      <c r="AJ214" s="906"/>
      <c r="AK214" s="906"/>
      <c r="AL214" s="906"/>
      <c r="AM214" s="906"/>
      <c r="AN214" s="906"/>
      <c r="AO214" s="906"/>
      <c r="AP214" s="906"/>
      <c r="AQ214" s="906"/>
      <c r="AR214" s="906"/>
      <c r="AS214" s="906"/>
      <c r="AT214" s="906"/>
      <c r="AU214" s="906"/>
      <c r="AV214" s="906"/>
      <c r="AW214" s="906"/>
      <c r="AX214" s="906"/>
      <c r="AY214" s="906"/>
      <c r="AZ214" s="906"/>
      <c r="BA214" s="906"/>
      <c r="BB214" s="906"/>
      <c r="BC214" s="906"/>
      <c r="BD214" s="906"/>
      <c r="BE214" s="906"/>
      <c r="BF214" s="906"/>
      <c r="BG214" s="906"/>
      <c r="BH214" s="906"/>
      <c r="BI214" s="906"/>
      <c r="BJ214" s="906"/>
      <c r="BK214" s="906"/>
      <c r="BL214" s="906"/>
      <c r="BM214" s="906"/>
      <c r="BN214" s="906"/>
      <c r="BO214" s="906"/>
      <c r="BP214" s="906"/>
      <c r="BQ214" s="906"/>
      <c r="BR214" s="906"/>
      <c r="BS214" s="906"/>
      <c r="BT214" s="906"/>
      <c r="BU214" s="906"/>
      <c r="BV214" s="906"/>
      <c r="BW214" s="906"/>
      <c r="BX214" s="906"/>
      <c r="BY214" s="906"/>
      <c r="BZ214" s="906"/>
      <c r="CA214" s="906"/>
      <c r="CB214" s="906"/>
      <c r="CC214" s="906"/>
      <c r="CD214" s="906"/>
      <c r="CE214" s="906"/>
      <c r="CF214" s="906"/>
      <c r="CG214" s="906"/>
      <c r="CH214" s="906"/>
      <c r="CI214" s="906"/>
      <c r="CJ214" s="906"/>
      <c r="CK214" s="906"/>
      <c r="CL214" s="906"/>
      <c r="CM214" s="906"/>
      <c r="CN214" s="906"/>
      <c r="CO214" s="906"/>
      <c r="CP214" s="906"/>
      <c r="CQ214" s="906"/>
      <c r="CR214" s="906"/>
      <c r="CS214" s="906"/>
      <c r="CT214" s="906"/>
      <c r="CU214" s="906"/>
      <c r="CV214" s="906"/>
      <c r="CW214" s="906"/>
      <c r="CX214" s="906"/>
      <c r="CY214" s="906"/>
      <c r="CZ214" s="906"/>
      <c r="DA214" s="906"/>
      <c r="DB214" s="906"/>
      <c r="DC214" s="906"/>
      <c r="DD214" s="906"/>
      <c r="DE214" s="906"/>
      <c r="DF214" s="906"/>
      <c r="DG214" s="906"/>
      <c r="DH214" s="906"/>
      <c r="DI214" s="906"/>
      <c r="DJ214" s="906"/>
      <c r="DK214" s="906"/>
      <c r="DL214" s="906"/>
      <c r="DM214" s="906"/>
      <c r="DN214" s="906"/>
      <c r="DO214" s="906"/>
      <c r="DP214" s="906"/>
      <c r="DQ214" s="906"/>
      <c r="DR214" s="906"/>
      <c r="DS214" s="906"/>
    </row>
    <row r="215" spans="9:123" s="854" customFormat="1">
      <c r="I215" s="895"/>
      <c r="J215" s="895"/>
      <c r="R215" s="906"/>
      <c r="S215" s="906"/>
      <c r="T215" s="906"/>
      <c r="U215" s="906"/>
      <c r="V215" s="906"/>
      <c r="W215" s="906"/>
      <c r="X215" s="906"/>
      <c r="Y215" s="906"/>
      <c r="Z215" s="906"/>
      <c r="AA215" s="906"/>
      <c r="AB215" s="906"/>
      <c r="AC215" s="906"/>
      <c r="AD215" s="906"/>
      <c r="AE215" s="906"/>
      <c r="AF215" s="906"/>
      <c r="AG215" s="906"/>
      <c r="AH215" s="906"/>
      <c r="AI215" s="906"/>
      <c r="AJ215" s="906"/>
      <c r="AK215" s="906"/>
      <c r="AL215" s="906"/>
      <c r="AM215" s="906"/>
      <c r="AN215" s="906"/>
      <c r="AO215" s="906"/>
      <c r="AP215" s="906"/>
      <c r="AQ215" s="906"/>
      <c r="AR215" s="906"/>
      <c r="AS215" s="906"/>
      <c r="AT215" s="906"/>
      <c r="AU215" s="906"/>
      <c r="AV215" s="906"/>
      <c r="AW215" s="906"/>
      <c r="AX215" s="906"/>
      <c r="AY215" s="906"/>
      <c r="AZ215" s="906"/>
      <c r="BA215" s="906"/>
      <c r="BB215" s="906"/>
      <c r="BC215" s="906"/>
      <c r="BD215" s="906"/>
      <c r="BE215" s="906"/>
      <c r="BF215" s="906"/>
      <c r="BG215" s="906"/>
      <c r="BH215" s="906"/>
      <c r="BI215" s="906"/>
      <c r="BJ215" s="906"/>
      <c r="BK215" s="906"/>
      <c r="BL215" s="906"/>
      <c r="BM215" s="906"/>
      <c r="BN215" s="906"/>
      <c r="BO215" s="906"/>
      <c r="BP215" s="906"/>
      <c r="BQ215" s="906"/>
      <c r="BR215" s="906"/>
      <c r="BS215" s="906"/>
      <c r="BT215" s="906"/>
      <c r="BU215" s="906"/>
      <c r="BV215" s="906"/>
      <c r="BW215" s="906"/>
      <c r="BX215" s="906"/>
      <c r="BY215" s="906"/>
      <c r="BZ215" s="906"/>
      <c r="CA215" s="906"/>
      <c r="CB215" s="906"/>
      <c r="CC215" s="906"/>
      <c r="CD215" s="906"/>
      <c r="CE215" s="906"/>
      <c r="CF215" s="906"/>
      <c r="CG215" s="906"/>
      <c r="CH215" s="906"/>
      <c r="CI215" s="906"/>
      <c r="CJ215" s="906"/>
      <c r="CK215" s="906"/>
      <c r="CL215" s="906"/>
      <c r="CM215" s="906"/>
      <c r="CN215" s="906"/>
      <c r="CO215" s="906"/>
      <c r="CP215" s="906"/>
      <c r="CQ215" s="906"/>
      <c r="CR215" s="906"/>
      <c r="CS215" s="906"/>
      <c r="CT215" s="906"/>
      <c r="CU215" s="906"/>
      <c r="CV215" s="906"/>
      <c r="CW215" s="906"/>
      <c r="CX215" s="906"/>
      <c r="CY215" s="906"/>
      <c r="CZ215" s="906"/>
      <c r="DA215" s="906"/>
      <c r="DB215" s="906"/>
      <c r="DC215" s="906"/>
      <c r="DD215" s="906"/>
      <c r="DE215" s="906"/>
      <c r="DF215" s="906"/>
      <c r="DG215" s="906"/>
      <c r="DH215" s="906"/>
      <c r="DI215" s="906"/>
      <c r="DJ215" s="906"/>
      <c r="DK215" s="906"/>
      <c r="DL215" s="906"/>
      <c r="DM215" s="906"/>
      <c r="DN215" s="906"/>
      <c r="DO215" s="906"/>
      <c r="DP215" s="906"/>
      <c r="DQ215" s="906"/>
      <c r="DR215" s="906"/>
      <c r="DS215" s="906"/>
    </row>
    <row r="216" spans="9:123" s="854" customFormat="1">
      <c r="I216" s="895"/>
      <c r="J216" s="895"/>
      <c r="R216" s="906"/>
      <c r="S216" s="906"/>
      <c r="T216" s="906"/>
      <c r="U216" s="906"/>
      <c r="V216" s="906"/>
      <c r="W216" s="906"/>
      <c r="X216" s="906"/>
      <c r="Y216" s="906"/>
      <c r="Z216" s="906"/>
      <c r="AA216" s="906"/>
      <c r="AB216" s="906"/>
      <c r="AC216" s="906"/>
      <c r="AD216" s="906"/>
      <c r="AE216" s="906"/>
      <c r="AF216" s="906"/>
      <c r="AG216" s="906"/>
      <c r="AH216" s="906"/>
      <c r="AI216" s="906"/>
      <c r="AJ216" s="906"/>
      <c r="AK216" s="906"/>
      <c r="AL216" s="906"/>
      <c r="AM216" s="906"/>
      <c r="AN216" s="906"/>
      <c r="AO216" s="906"/>
      <c r="AP216" s="906"/>
      <c r="AQ216" s="906"/>
      <c r="AR216" s="906"/>
      <c r="AS216" s="906"/>
      <c r="AT216" s="906"/>
      <c r="AU216" s="906"/>
      <c r="AV216" s="906"/>
      <c r="AW216" s="906"/>
      <c r="AX216" s="906"/>
      <c r="AY216" s="906"/>
      <c r="AZ216" s="906"/>
      <c r="BA216" s="906"/>
      <c r="BB216" s="906"/>
      <c r="BC216" s="906"/>
      <c r="BD216" s="906"/>
      <c r="BE216" s="906"/>
      <c r="BF216" s="906"/>
      <c r="BG216" s="906"/>
      <c r="BH216" s="906"/>
      <c r="BI216" s="906"/>
      <c r="BJ216" s="906"/>
      <c r="BK216" s="906"/>
      <c r="BL216" s="906"/>
      <c r="BM216" s="906"/>
      <c r="BN216" s="906"/>
      <c r="BO216" s="906"/>
      <c r="BP216" s="906"/>
      <c r="BQ216" s="906"/>
      <c r="BR216" s="906"/>
      <c r="BS216" s="906"/>
      <c r="BT216" s="906"/>
      <c r="BU216" s="906"/>
      <c r="BV216" s="906"/>
      <c r="BW216" s="906"/>
      <c r="BX216" s="906"/>
      <c r="BY216" s="906"/>
      <c r="BZ216" s="906"/>
      <c r="CA216" s="906"/>
      <c r="CB216" s="906"/>
      <c r="CC216" s="906"/>
      <c r="CD216" s="906"/>
      <c r="CE216" s="906"/>
      <c r="CF216" s="906"/>
      <c r="CG216" s="906"/>
      <c r="CH216" s="906"/>
      <c r="CI216" s="906"/>
      <c r="CJ216" s="906"/>
      <c r="CK216" s="906"/>
      <c r="CL216" s="906"/>
      <c r="CM216" s="906"/>
      <c r="CN216" s="906"/>
      <c r="CO216" s="906"/>
      <c r="CP216" s="906"/>
      <c r="CQ216" s="906"/>
      <c r="CR216" s="906"/>
      <c r="CS216" s="906"/>
      <c r="CT216" s="906"/>
      <c r="CU216" s="906"/>
      <c r="CV216" s="906"/>
      <c r="CW216" s="906"/>
      <c r="CX216" s="906"/>
      <c r="CY216" s="906"/>
      <c r="CZ216" s="906"/>
      <c r="DA216" s="906"/>
      <c r="DB216" s="906"/>
      <c r="DC216" s="906"/>
      <c r="DD216" s="906"/>
      <c r="DE216" s="906"/>
      <c r="DF216" s="906"/>
      <c r="DG216" s="906"/>
      <c r="DH216" s="906"/>
      <c r="DI216" s="906"/>
      <c r="DJ216" s="906"/>
      <c r="DK216" s="906"/>
      <c r="DL216" s="906"/>
      <c r="DM216" s="906"/>
      <c r="DN216" s="906"/>
      <c r="DO216" s="906"/>
      <c r="DP216" s="906"/>
      <c r="DQ216" s="906"/>
      <c r="DR216" s="906"/>
      <c r="DS216" s="906"/>
    </row>
    <row r="217" spans="9:123" s="854" customFormat="1">
      <c r="I217" s="895"/>
      <c r="J217" s="895"/>
      <c r="R217" s="906"/>
      <c r="S217" s="906"/>
      <c r="T217" s="906"/>
      <c r="U217" s="906"/>
      <c r="V217" s="906"/>
      <c r="W217" s="906"/>
      <c r="X217" s="906"/>
      <c r="Y217" s="906"/>
      <c r="Z217" s="906"/>
      <c r="AA217" s="906"/>
      <c r="AB217" s="906"/>
      <c r="AC217" s="906"/>
      <c r="AD217" s="906"/>
      <c r="AE217" s="906"/>
      <c r="AF217" s="906"/>
      <c r="AG217" s="906"/>
      <c r="AH217" s="906"/>
      <c r="AI217" s="906"/>
      <c r="AJ217" s="906"/>
      <c r="AK217" s="906"/>
      <c r="AL217" s="906"/>
      <c r="AM217" s="906"/>
      <c r="AN217" s="906"/>
      <c r="AO217" s="906"/>
      <c r="AP217" s="906"/>
      <c r="AQ217" s="906"/>
      <c r="AR217" s="906"/>
      <c r="AS217" s="906"/>
      <c r="AT217" s="906"/>
      <c r="AU217" s="906"/>
      <c r="AV217" s="906"/>
      <c r="AW217" s="906"/>
      <c r="AX217" s="906"/>
      <c r="AY217" s="906"/>
      <c r="AZ217" s="906"/>
      <c r="BA217" s="906"/>
      <c r="BB217" s="906"/>
      <c r="BC217" s="906"/>
      <c r="BD217" s="906"/>
      <c r="BE217" s="906"/>
      <c r="BF217" s="906"/>
      <c r="BG217" s="906"/>
      <c r="BH217" s="906"/>
      <c r="BI217" s="906"/>
      <c r="BJ217" s="906"/>
      <c r="BK217" s="906"/>
      <c r="BL217" s="906"/>
      <c r="BM217" s="906"/>
      <c r="BN217" s="906"/>
      <c r="BO217" s="906"/>
      <c r="BP217" s="906"/>
      <c r="BQ217" s="906"/>
      <c r="BR217" s="906"/>
      <c r="BS217" s="906"/>
      <c r="BT217" s="906"/>
      <c r="BU217" s="906"/>
      <c r="BV217" s="906"/>
      <c r="BW217" s="906"/>
      <c r="BX217" s="906"/>
      <c r="BY217" s="906"/>
      <c r="BZ217" s="906"/>
      <c r="CA217" s="906"/>
      <c r="CB217" s="906"/>
      <c r="CC217" s="906"/>
      <c r="CD217" s="906"/>
      <c r="CE217" s="906"/>
      <c r="CF217" s="906"/>
      <c r="CG217" s="906"/>
      <c r="CH217" s="906"/>
      <c r="CI217" s="906"/>
      <c r="CJ217" s="906"/>
      <c r="CK217" s="906"/>
      <c r="CL217" s="906"/>
      <c r="CM217" s="906"/>
      <c r="CN217" s="906"/>
      <c r="CO217" s="906"/>
      <c r="CP217" s="906"/>
      <c r="CQ217" s="906"/>
      <c r="CR217" s="906"/>
      <c r="CS217" s="906"/>
      <c r="CT217" s="906"/>
      <c r="CU217" s="906"/>
      <c r="CV217" s="906"/>
      <c r="CW217" s="906"/>
      <c r="CX217" s="906"/>
      <c r="CY217" s="906"/>
      <c r="CZ217" s="906"/>
      <c r="DA217" s="906"/>
      <c r="DB217" s="906"/>
      <c r="DC217" s="906"/>
      <c r="DD217" s="906"/>
      <c r="DE217" s="906"/>
      <c r="DF217" s="906"/>
      <c r="DG217" s="906"/>
      <c r="DH217" s="906"/>
      <c r="DI217" s="906"/>
      <c r="DJ217" s="906"/>
      <c r="DK217" s="906"/>
      <c r="DL217" s="906"/>
      <c r="DM217" s="906"/>
      <c r="DN217" s="906"/>
      <c r="DO217" s="906"/>
      <c r="DP217" s="906"/>
      <c r="DQ217" s="906"/>
      <c r="DR217" s="906"/>
      <c r="DS217" s="906"/>
    </row>
    <row r="218" spans="9:123" s="854" customFormat="1">
      <c r="I218" s="895"/>
      <c r="J218" s="895"/>
      <c r="R218" s="906"/>
      <c r="S218" s="906"/>
      <c r="T218" s="906"/>
      <c r="U218" s="906"/>
      <c r="V218" s="906"/>
      <c r="W218" s="906"/>
      <c r="X218" s="906"/>
      <c r="Y218" s="906"/>
      <c r="Z218" s="906"/>
      <c r="AA218" s="906"/>
      <c r="AB218" s="906"/>
      <c r="AC218" s="906"/>
      <c r="AD218" s="906"/>
      <c r="AE218" s="906"/>
      <c r="AF218" s="906"/>
      <c r="AG218" s="906"/>
      <c r="AH218" s="906"/>
      <c r="AI218" s="906"/>
      <c r="AJ218" s="906"/>
      <c r="AK218" s="906"/>
      <c r="AL218" s="906"/>
      <c r="AM218" s="906"/>
      <c r="AN218" s="906"/>
      <c r="AO218" s="906"/>
      <c r="AP218" s="906"/>
      <c r="AQ218" s="906"/>
      <c r="AR218" s="906"/>
      <c r="AS218" s="906"/>
      <c r="AT218" s="906"/>
      <c r="AU218" s="906"/>
      <c r="AV218" s="906"/>
      <c r="AW218" s="906"/>
      <c r="AX218" s="906"/>
      <c r="AY218" s="906"/>
      <c r="AZ218" s="906"/>
      <c r="BA218" s="906"/>
      <c r="BB218" s="906"/>
      <c r="BC218" s="906"/>
      <c r="BD218" s="906"/>
      <c r="BE218" s="906"/>
      <c r="BF218" s="906"/>
      <c r="BG218" s="906"/>
      <c r="BH218" s="906"/>
      <c r="BI218" s="906"/>
      <c r="BJ218" s="906"/>
      <c r="BK218" s="906"/>
      <c r="BL218" s="906"/>
      <c r="BM218" s="906"/>
      <c r="BN218" s="906"/>
      <c r="BO218" s="906"/>
      <c r="BP218" s="906"/>
      <c r="BQ218" s="906"/>
      <c r="BR218" s="906"/>
      <c r="BS218" s="906"/>
      <c r="BT218" s="906"/>
      <c r="BU218" s="906"/>
      <c r="BV218" s="906"/>
      <c r="BW218" s="906"/>
      <c r="BX218" s="906"/>
      <c r="BY218" s="906"/>
      <c r="BZ218" s="906"/>
      <c r="CA218" s="906"/>
      <c r="CB218" s="906"/>
      <c r="CC218" s="906"/>
      <c r="CD218" s="906"/>
      <c r="CE218" s="906"/>
      <c r="CF218" s="906"/>
      <c r="CG218" s="906"/>
      <c r="CH218" s="906"/>
      <c r="CI218" s="906"/>
      <c r="CJ218" s="906"/>
      <c r="CK218" s="906"/>
      <c r="CL218" s="906"/>
      <c r="CM218" s="906"/>
      <c r="CN218" s="906"/>
      <c r="CO218" s="906"/>
      <c r="CP218" s="906"/>
      <c r="CQ218" s="906"/>
      <c r="CR218" s="906"/>
      <c r="CS218" s="906"/>
      <c r="CT218" s="906"/>
      <c r="CU218" s="906"/>
      <c r="CV218" s="906"/>
      <c r="CW218" s="906"/>
      <c r="CX218" s="906"/>
      <c r="CY218" s="906"/>
      <c r="CZ218" s="906"/>
      <c r="DA218" s="906"/>
      <c r="DB218" s="906"/>
      <c r="DC218" s="906"/>
      <c r="DD218" s="906"/>
      <c r="DE218" s="906"/>
      <c r="DF218" s="906"/>
      <c r="DG218" s="906"/>
      <c r="DH218" s="906"/>
      <c r="DI218" s="906"/>
      <c r="DJ218" s="906"/>
      <c r="DK218" s="906"/>
      <c r="DL218" s="906"/>
      <c r="DM218" s="906"/>
      <c r="DN218" s="906"/>
      <c r="DO218" s="906"/>
      <c r="DP218" s="906"/>
      <c r="DQ218" s="906"/>
      <c r="DR218" s="906"/>
      <c r="DS218" s="906"/>
    </row>
    <row r="219" spans="9:123" s="854" customFormat="1">
      <c r="I219" s="895"/>
      <c r="J219" s="895"/>
      <c r="R219" s="906"/>
      <c r="S219" s="906"/>
      <c r="T219" s="906"/>
      <c r="U219" s="906"/>
      <c r="V219" s="906"/>
      <c r="W219" s="906"/>
      <c r="X219" s="906"/>
      <c r="Y219" s="906"/>
      <c r="Z219" s="906"/>
      <c r="AA219" s="906"/>
      <c r="AB219" s="906"/>
      <c r="AC219" s="906"/>
      <c r="AD219" s="906"/>
      <c r="AE219" s="906"/>
      <c r="AF219" s="906"/>
      <c r="AG219" s="906"/>
      <c r="AH219" s="906"/>
      <c r="AI219" s="906"/>
      <c r="AJ219" s="906"/>
      <c r="AK219" s="906"/>
      <c r="AL219" s="906"/>
      <c r="AM219" s="906"/>
      <c r="AN219" s="906"/>
      <c r="AO219" s="906"/>
      <c r="AP219" s="906"/>
      <c r="AQ219" s="906"/>
      <c r="AR219" s="906"/>
      <c r="AS219" s="906"/>
      <c r="AT219" s="906"/>
      <c r="AU219" s="906"/>
      <c r="AV219" s="906"/>
      <c r="AW219" s="906"/>
      <c r="AX219" s="906"/>
      <c r="AY219" s="906"/>
      <c r="AZ219" s="906"/>
      <c r="BA219" s="906"/>
      <c r="BB219" s="906"/>
      <c r="BC219" s="906"/>
      <c r="BD219" s="906"/>
      <c r="BE219" s="906"/>
      <c r="BF219" s="906"/>
      <c r="BG219" s="906"/>
      <c r="BH219" s="906"/>
      <c r="BI219" s="906"/>
      <c r="BJ219" s="906"/>
      <c r="BK219" s="906"/>
      <c r="BL219" s="906"/>
      <c r="BM219" s="906"/>
      <c r="BN219" s="906"/>
      <c r="BO219" s="906"/>
      <c r="BP219" s="906"/>
      <c r="BQ219" s="906"/>
      <c r="BR219" s="906"/>
      <c r="BS219" s="906"/>
      <c r="BT219" s="906"/>
      <c r="BU219" s="906"/>
      <c r="BV219" s="906"/>
      <c r="BW219" s="906"/>
      <c r="BX219" s="906"/>
      <c r="BY219" s="906"/>
      <c r="BZ219" s="906"/>
      <c r="CA219" s="906"/>
      <c r="CB219" s="906"/>
      <c r="CC219" s="906"/>
      <c r="CD219" s="906"/>
      <c r="CE219" s="906"/>
      <c r="CF219" s="906"/>
      <c r="CG219" s="906"/>
      <c r="CH219" s="906"/>
      <c r="CI219" s="906"/>
      <c r="CJ219" s="906"/>
      <c r="CK219" s="906"/>
      <c r="CL219" s="906"/>
      <c r="CM219" s="906"/>
      <c r="CN219" s="906"/>
      <c r="CO219" s="906"/>
      <c r="CP219" s="906"/>
      <c r="CQ219" s="906"/>
      <c r="CR219" s="906"/>
      <c r="CS219" s="906"/>
      <c r="CT219" s="906"/>
      <c r="CU219" s="906"/>
      <c r="CV219" s="906"/>
      <c r="CW219" s="906"/>
      <c r="CX219" s="906"/>
      <c r="CY219" s="906"/>
      <c r="CZ219" s="906"/>
      <c r="DA219" s="906"/>
      <c r="DB219" s="906"/>
      <c r="DC219" s="906"/>
      <c r="DD219" s="906"/>
      <c r="DE219" s="906"/>
      <c r="DF219" s="906"/>
      <c r="DG219" s="906"/>
      <c r="DH219" s="906"/>
      <c r="DI219" s="906"/>
      <c r="DJ219" s="906"/>
      <c r="DK219" s="906"/>
      <c r="DL219" s="906"/>
      <c r="DM219" s="906"/>
      <c r="DN219" s="906"/>
      <c r="DO219" s="906"/>
      <c r="DP219" s="906"/>
      <c r="DQ219" s="906"/>
      <c r="DR219" s="906"/>
      <c r="DS219" s="906"/>
    </row>
    <row r="220" spans="9:123" s="854" customFormat="1">
      <c r="I220" s="895"/>
      <c r="J220" s="895"/>
      <c r="R220" s="906"/>
      <c r="S220" s="906"/>
      <c r="T220" s="906"/>
      <c r="U220" s="906"/>
      <c r="V220" s="906"/>
      <c r="W220" s="906"/>
      <c r="X220" s="906"/>
      <c r="Y220" s="906"/>
      <c r="Z220" s="906"/>
      <c r="AA220" s="906"/>
      <c r="AB220" s="906"/>
      <c r="AC220" s="906"/>
      <c r="AD220" s="906"/>
      <c r="AE220" s="906"/>
      <c r="AF220" s="906"/>
      <c r="AG220" s="906"/>
      <c r="AH220" s="906"/>
      <c r="AI220" s="906"/>
      <c r="AJ220" s="906"/>
      <c r="AK220" s="906"/>
      <c r="AL220" s="906"/>
      <c r="AM220" s="906"/>
      <c r="AN220" s="906"/>
      <c r="AO220" s="906"/>
      <c r="AP220" s="906"/>
      <c r="AQ220" s="906"/>
      <c r="AR220" s="906"/>
      <c r="AS220" s="906"/>
      <c r="AT220" s="906"/>
      <c r="AU220" s="906"/>
      <c r="AV220" s="906"/>
      <c r="AW220" s="906"/>
      <c r="AX220" s="906"/>
      <c r="AY220" s="906"/>
      <c r="AZ220" s="906"/>
      <c r="BA220" s="906"/>
      <c r="BB220" s="906"/>
      <c r="BC220" s="906"/>
      <c r="BD220" s="906"/>
      <c r="BE220" s="906"/>
      <c r="BF220" s="906"/>
      <c r="BG220" s="906"/>
      <c r="BH220" s="906"/>
      <c r="BI220" s="906"/>
      <c r="BJ220" s="906"/>
      <c r="BK220" s="906"/>
      <c r="BL220" s="906"/>
      <c r="BM220" s="906"/>
      <c r="BN220" s="906"/>
      <c r="BO220" s="906"/>
      <c r="BP220" s="906"/>
      <c r="BQ220" s="906"/>
      <c r="BR220" s="906"/>
      <c r="BS220" s="906"/>
      <c r="BT220" s="906"/>
      <c r="BU220" s="906"/>
      <c r="BV220" s="906"/>
      <c r="BW220" s="906"/>
      <c r="BX220" s="906"/>
      <c r="BY220" s="906"/>
      <c r="BZ220" s="906"/>
      <c r="CA220" s="906"/>
      <c r="CB220" s="906"/>
      <c r="CC220" s="906"/>
      <c r="CD220" s="906"/>
      <c r="CE220" s="906"/>
      <c r="CF220" s="906"/>
      <c r="CG220" s="906"/>
      <c r="CH220" s="906"/>
      <c r="CI220" s="906"/>
      <c r="CJ220" s="906"/>
      <c r="CK220" s="906"/>
      <c r="CL220" s="906"/>
      <c r="CM220" s="906"/>
      <c r="CN220" s="906"/>
      <c r="CO220" s="906"/>
      <c r="CP220" s="906"/>
      <c r="CQ220" s="906"/>
      <c r="CR220" s="906"/>
      <c r="CS220" s="906"/>
      <c r="CT220" s="906"/>
      <c r="CU220" s="906"/>
      <c r="CV220" s="906"/>
      <c r="CW220" s="906"/>
      <c r="CX220" s="906"/>
      <c r="CY220" s="906"/>
      <c r="CZ220" s="906"/>
      <c r="DA220" s="906"/>
      <c r="DB220" s="906"/>
      <c r="DC220" s="906"/>
      <c r="DD220" s="906"/>
      <c r="DE220" s="906"/>
      <c r="DF220" s="906"/>
      <c r="DG220" s="906"/>
      <c r="DH220" s="906"/>
      <c r="DI220" s="906"/>
      <c r="DJ220" s="906"/>
      <c r="DK220" s="906"/>
      <c r="DL220" s="906"/>
      <c r="DM220" s="906"/>
      <c r="DN220" s="906"/>
      <c r="DO220" s="906"/>
      <c r="DP220" s="906"/>
      <c r="DQ220" s="906"/>
      <c r="DR220" s="906"/>
      <c r="DS220" s="906"/>
    </row>
    <row r="221" spans="9:123" s="854" customFormat="1">
      <c r="I221" s="895"/>
      <c r="J221" s="895"/>
      <c r="R221" s="906"/>
      <c r="S221" s="906"/>
      <c r="T221" s="906"/>
      <c r="U221" s="906"/>
      <c r="V221" s="906"/>
      <c r="W221" s="906"/>
      <c r="X221" s="906"/>
      <c r="Y221" s="906"/>
      <c r="Z221" s="906"/>
      <c r="AA221" s="906"/>
      <c r="AB221" s="906"/>
      <c r="AC221" s="906"/>
      <c r="AD221" s="906"/>
      <c r="AE221" s="906"/>
      <c r="AF221" s="906"/>
      <c r="AG221" s="906"/>
      <c r="AH221" s="906"/>
      <c r="AI221" s="906"/>
      <c r="AJ221" s="906"/>
      <c r="AK221" s="906"/>
      <c r="AL221" s="906"/>
      <c r="AM221" s="906"/>
      <c r="AN221" s="906"/>
      <c r="AO221" s="906"/>
      <c r="AP221" s="906"/>
      <c r="AQ221" s="906"/>
      <c r="AR221" s="906"/>
      <c r="AS221" s="906"/>
      <c r="AT221" s="906"/>
      <c r="AU221" s="906"/>
      <c r="AV221" s="906"/>
      <c r="AW221" s="906"/>
      <c r="AX221" s="906"/>
      <c r="AY221" s="906"/>
      <c r="AZ221" s="906"/>
      <c r="BA221" s="906"/>
      <c r="BB221" s="906"/>
      <c r="BC221" s="906"/>
      <c r="BD221" s="906"/>
      <c r="BE221" s="906"/>
      <c r="BF221" s="906"/>
      <c r="BG221" s="906"/>
      <c r="BH221" s="906"/>
      <c r="BI221" s="906"/>
      <c r="BJ221" s="906"/>
      <c r="BK221" s="906"/>
      <c r="BL221" s="906"/>
      <c r="BM221" s="906"/>
      <c r="BN221" s="906"/>
      <c r="BO221" s="906"/>
      <c r="BP221" s="906"/>
      <c r="BQ221" s="906"/>
      <c r="BR221" s="906"/>
      <c r="BS221" s="906"/>
      <c r="BT221" s="906"/>
      <c r="BU221" s="906"/>
      <c r="BV221" s="906"/>
      <c r="BW221" s="906"/>
      <c r="BX221" s="906"/>
      <c r="BY221" s="906"/>
      <c r="BZ221" s="906"/>
      <c r="CA221" s="906"/>
      <c r="CB221" s="906"/>
      <c r="CC221" s="906"/>
      <c r="CD221" s="906"/>
      <c r="CE221" s="906"/>
      <c r="CF221" s="906"/>
      <c r="CG221" s="906"/>
      <c r="CH221" s="906"/>
      <c r="CI221" s="906"/>
      <c r="CJ221" s="906"/>
      <c r="CK221" s="906"/>
      <c r="CL221" s="906"/>
      <c r="CM221" s="906"/>
      <c r="CN221" s="906"/>
      <c r="CO221" s="906"/>
      <c r="CP221" s="906"/>
      <c r="CQ221" s="906"/>
      <c r="CR221" s="906"/>
      <c r="CS221" s="906"/>
      <c r="CT221" s="906"/>
      <c r="CU221" s="906"/>
      <c r="CV221" s="906"/>
      <c r="CW221" s="906"/>
      <c r="CX221" s="906"/>
      <c r="CY221" s="906"/>
      <c r="CZ221" s="906"/>
      <c r="DA221" s="906"/>
      <c r="DB221" s="906"/>
      <c r="DC221" s="906"/>
      <c r="DD221" s="906"/>
      <c r="DE221" s="906"/>
      <c r="DF221" s="906"/>
      <c r="DG221" s="906"/>
      <c r="DH221" s="906"/>
      <c r="DI221" s="906"/>
      <c r="DJ221" s="906"/>
      <c r="DK221" s="906"/>
      <c r="DL221" s="906"/>
      <c r="DM221" s="906"/>
      <c r="DN221" s="906"/>
      <c r="DO221" s="906"/>
      <c r="DP221" s="906"/>
      <c r="DQ221" s="906"/>
      <c r="DR221" s="906"/>
      <c r="DS221" s="906"/>
    </row>
    <row r="222" spans="9:123" s="854" customFormat="1">
      <c r="I222" s="895"/>
      <c r="J222" s="895"/>
      <c r="R222" s="906"/>
      <c r="S222" s="906"/>
      <c r="T222" s="906"/>
      <c r="U222" s="906"/>
      <c r="V222" s="906"/>
      <c r="W222" s="906"/>
      <c r="X222" s="906"/>
      <c r="Y222" s="906"/>
      <c r="Z222" s="906"/>
      <c r="AA222" s="906"/>
      <c r="AB222" s="906"/>
      <c r="AC222" s="906"/>
      <c r="AD222" s="906"/>
      <c r="AE222" s="906"/>
      <c r="AF222" s="906"/>
      <c r="AG222" s="906"/>
      <c r="AH222" s="906"/>
      <c r="AI222" s="906"/>
      <c r="AJ222" s="906"/>
      <c r="AK222" s="906"/>
      <c r="AL222" s="906"/>
      <c r="AM222" s="906"/>
      <c r="AN222" s="906"/>
      <c r="AO222" s="906"/>
      <c r="AP222" s="906"/>
      <c r="AQ222" s="906"/>
      <c r="AR222" s="906"/>
      <c r="AS222" s="906"/>
      <c r="AT222" s="906"/>
      <c r="AU222" s="906"/>
      <c r="AV222" s="906"/>
      <c r="AW222" s="906"/>
      <c r="AX222" s="906"/>
      <c r="AY222" s="906"/>
      <c r="AZ222" s="906"/>
      <c r="BA222" s="906"/>
      <c r="BB222" s="906"/>
      <c r="BC222" s="906"/>
      <c r="BD222" s="906"/>
      <c r="BE222" s="906"/>
      <c r="BF222" s="906"/>
      <c r="BG222" s="906"/>
      <c r="BH222" s="906"/>
      <c r="BI222" s="906"/>
      <c r="BJ222" s="906"/>
      <c r="BK222" s="906"/>
      <c r="BL222" s="906"/>
      <c r="BM222" s="906"/>
      <c r="BN222" s="906"/>
      <c r="BO222" s="906"/>
      <c r="BP222" s="906"/>
      <c r="BQ222" s="906"/>
      <c r="BR222" s="906"/>
      <c r="BS222" s="906"/>
      <c r="BT222" s="906"/>
      <c r="BU222" s="906"/>
      <c r="BV222" s="906"/>
      <c r="BW222" s="906"/>
      <c r="BX222" s="906"/>
      <c r="BY222" s="906"/>
      <c r="BZ222" s="906"/>
      <c r="CA222" s="906"/>
      <c r="CB222" s="906"/>
      <c r="CC222" s="906"/>
      <c r="CD222" s="906"/>
      <c r="CE222" s="906"/>
      <c r="CF222" s="906"/>
      <c r="CG222" s="906"/>
      <c r="CH222" s="906"/>
      <c r="CI222" s="906"/>
      <c r="CJ222" s="906"/>
      <c r="CK222" s="906"/>
      <c r="CL222" s="906"/>
      <c r="CM222" s="906"/>
      <c r="CN222" s="906"/>
      <c r="CO222" s="906"/>
      <c r="CP222" s="906"/>
      <c r="CQ222" s="906"/>
      <c r="CR222" s="906"/>
      <c r="CS222" s="906"/>
      <c r="CT222" s="906"/>
      <c r="CU222" s="906"/>
      <c r="CV222" s="906"/>
      <c r="CW222" s="906"/>
      <c r="CX222" s="906"/>
      <c r="CY222" s="906"/>
      <c r="CZ222" s="906"/>
      <c r="DA222" s="906"/>
      <c r="DB222" s="906"/>
      <c r="DC222" s="906"/>
      <c r="DD222" s="906"/>
      <c r="DE222" s="906"/>
      <c r="DF222" s="906"/>
      <c r="DG222" s="906"/>
      <c r="DH222" s="906"/>
      <c r="DI222" s="906"/>
      <c r="DJ222" s="906"/>
      <c r="DK222" s="906"/>
      <c r="DL222" s="906"/>
      <c r="DM222" s="906"/>
      <c r="DN222" s="906"/>
      <c r="DO222" s="906"/>
      <c r="DP222" s="906"/>
      <c r="DQ222" s="906"/>
      <c r="DR222" s="906"/>
      <c r="DS222" s="906"/>
    </row>
    <row r="223" spans="9:123" s="854" customFormat="1">
      <c r="I223" s="895"/>
      <c r="J223" s="895"/>
      <c r="R223" s="906"/>
      <c r="S223" s="906"/>
      <c r="T223" s="906"/>
      <c r="U223" s="906"/>
      <c r="V223" s="906"/>
      <c r="W223" s="906"/>
      <c r="X223" s="906"/>
      <c r="Y223" s="906"/>
      <c r="Z223" s="906"/>
      <c r="AA223" s="906"/>
      <c r="AB223" s="906"/>
      <c r="AC223" s="906"/>
      <c r="AD223" s="906"/>
      <c r="AE223" s="906"/>
      <c r="AF223" s="906"/>
      <c r="AG223" s="906"/>
      <c r="AH223" s="906"/>
      <c r="AI223" s="906"/>
      <c r="AJ223" s="906"/>
      <c r="AK223" s="906"/>
      <c r="AL223" s="906"/>
      <c r="AM223" s="906"/>
      <c r="AN223" s="906"/>
      <c r="AO223" s="906"/>
      <c r="AP223" s="906"/>
      <c r="AQ223" s="906"/>
      <c r="AR223" s="906"/>
      <c r="AS223" s="906"/>
      <c r="AT223" s="906"/>
      <c r="AU223" s="906"/>
      <c r="AV223" s="906"/>
      <c r="AW223" s="906"/>
      <c r="AX223" s="906"/>
      <c r="AY223" s="906"/>
      <c r="AZ223" s="906"/>
      <c r="BA223" s="906"/>
      <c r="BB223" s="906"/>
      <c r="BC223" s="906"/>
      <c r="BD223" s="906"/>
      <c r="BE223" s="906"/>
      <c r="BF223" s="906"/>
      <c r="BG223" s="906"/>
      <c r="BH223" s="906"/>
      <c r="BI223" s="906"/>
      <c r="BJ223" s="906"/>
      <c r="BK223" s="906"/>
      <c r="BL223" s="906"/>
      <c r="BM223" s="906"/>
      <c r="BN223" s="906"/>
      <c r="BO223" s="906"/>
      <c r="BP223" s="906"/>
      <c r="BQ223" s="906"/>
      <c r="BR223" s="906"/>
      <c r="BS223" s="906"/>
      <c r="BT223" s="906"/>
      <c r="BU223" s="906"/>
      <c r="BV223" s="906"/>
      <c r="BW223" s="906"/>
      <c r="BX223" s="906"/>
      <c r="BY223" s="906"/>
      <c r="BZ223" s="906"/>
      <c r="CA223" s="906"/>
      <c r="CB223" s="906"/>
      <c r="CC223" s="906"/>
      <c r="CD223" s="906"/>
      <c r="CE223" s="906"/>
      <c r="CF223" s="906"/>
      <c r="CG223" s="906"/>
      <c r="CH223" s="906"/>
      <c r="CI223" s="906"/>
      <c r="CJ223" s="906"/>
      <c r="CK223" s="906"/>
      <c r="CL223" s="906"/>
      <c r="CM223" s="906"/>
      <c r="CN223" s="906"/>
      <c r="CO223" s="906"/>
      <c r="CP223" s="906"/>
      <c r="CQ223" s="906"/>
      <c r="CR223" s="906"/>
      <c r="CS223" s="906"/>
      <c r="CT223" s="906"/>
      <c r="CU223" s="906"/>
      <c r="CV223" s="906"/>
      <c r="CW223" s="906"/>
      <c r="CX223" s="906"/>
      <c r="CY223" s="906"/>
      <c r="CZ223" s="906"/>
      <c r="DA223" s="906"/>
      <c r="DB223" s="906"/>
      <c r="DC223" s="906"/>
      <c r="DD223" s="906"/>
      <c r="DE223" s="906"/>
      <c r="DF223" s="906"/>
      <c r="DG223" s="906"/>
      <c r="DH223" s="906"/>
      <c r="DI223" s="906"/>
      <c r="DJ223" s="906"/>
      <c r="DK223" s="906"/>
      <c r="DL223" s="906"/>
      <c r="DM223" s="906"/>
      <c r="DN223" s="906"/>
      <c r="DO223" s="906"/>
      <c r="DP223" s="906"/>
      <c r="DQ223" s="906"/>
      <c r="DR223" s="906"/>
      <c r="DS223" s="906"/>
    </row>
    <row r="224" spans="9:123" s="854" customFormat="1">
      <c r="I224" s="895"/>
      <c r="J224" s="895"/>
      <c r="R224" s="906"/>
      <c r="S224" s="906"/>
      <c r="T224" s="906"/>
      <c r="U224" s="906"/>
      <c r="V224" s="906"/>
      <c r="W224" s="906"/>
      <c r="X224" s="906"/>
      <c r="Y224" s="906"/>
      <c r="Z224" s="906"/>
      <c r="AA224" s="906"/>
      <c r="AB224" s="906"/>
      <c r="AC224" s="906"/>
      <c r="AD224" s="906"/>
      <c r="AE224" s="906"/>
      <c r="AF224" s="906"/>
      <c r="AG224" s="906"/>
      <c r="AH224" s="906"/>
      <c r="AI224" s="906"/>
      <c r="AJ224" s="906"/>
      <c r="AK224" s="906"/>
      <c r="AL224" s="906"/>
      <c r="AM224" s="906"/>
      <c r="AN224" s="906"/>
      <c r="AO224" s="906"/>
      <c r="AP224" s="906"/>
      <c r="AQ224" s="906"/>
      <c r="AR224" s="906"/>
      <c r="AS224" s="906"/>
      <c r="AT224" s="906"/>
      <c r="AU224" s="906"/>
      <c r="AV224" s="906"/>
      <c r="AW224" s="906"/>
      <c r="AX224" s="906"/>
      <c r="AY224" s="906"/>
      <c r="AZ224" s="906"/>
      <c r="BA224" s="906"/>
      <c r="BB224" s="906"/>
      <c r="BC224" s="906"/>
      <c r="BD224" s="906"/>
      <c r="BE224" s="906"/>
      <c r="BF224" s="906"/>
      <c r="BG224" s="906"/>
      <c r="BH224" s="906"/>
      <c r="BI224" s="906"/>
      <c r="BJ224" s="906"/>
      <c r="BK224" s="906"/>
      <c r="BL224" s="906"/>
      <c r="BM224" s="906"/>
      <c r="BN224" s="906"/>
      <c r="BO224" s="906"/>
      <c r="BP224" s="906"/>
      <c r="BQ224" s="906"/>
      <c r="BR224" s="906"/>
      <c r="BS224" s="906"/>
      <c r="BT224" s="906"/>
      <c r="BU224" s="906"/>
      <c r="BV224" s="906"/>
      <c r="BW224" s="906"/>
      <c r="BX224" s="906"/>
      <c r="BY224" s="906"/>
      <c r="BZ224" s="906"/>
      <c r="CA224" s="906"/>
      <c r="CB224" s="906"/>
      <c r="CC224" s="906"/>
      <c r="CD224" s="906"/>
      <c r="CE224" s="906"/>
      <c r="CF224" s="906"/>
      <c r="CG224" s="906"/>
      <c r="CH224" s="906"/>
      <c r="CI224" s="906"/>
      <c r="CJ224" s="906"/>
      <c r="CK224" s="906"/>
      <c r="CL224" s="906"/>
      <c r="CM224" s="906"/>
      <c r="CN224" s="906"/>
      <c r="CO224" s="906"/>
      <c r="CP224" s="906"/>
      <c r="CQ224" s="906"/>
      <c r="CR224" s="906"/>
      <c r="CS224" s="906"/>
      <c r="CT224" s="906"/>
      <c r="CU224" s="906"/>
      <c r="CV224" s="906"/>
      <c r="CW224" s="906"/>
      <c r="CX224" s="906"/>
      <c r="CY224" s="906"/>
      <c r="CZ224" s="906"/>
      <c r="DA224" s="906"/>
      <c r="DB224" s="906"/>
      <c r="DC224" s="906"/>
      <c r="DD224" s="906"/>
      <c r="DE224" s="906"/>
      <c r="DF224" s="906"/>
      <c r="DG224" s="906"/>
      <c r="DH224" s="906"/>
      <c r="DI224" s="906"/>
      <c r="DJ224" s="906"/>
      <c r="DK224" s="906"/>
      <c r="DL224" s="906"/>
      <c r="DM224" s="906"/>
      <c r="DN224" s="906"/>
      <c r="DO224" s="906"/>
      <c r="DP224" s="906"/>
      <c r="DQ224" s="906"/>
      <c r="DR224" s="906"/>
      <c r="DS224" s="906"/>
    </row>
    <row r="225" spans="9:123" s="854" customFormat="1">
      <c r="I225" s="895"/>
      <c r="J225" s="895"/>
      <c r="R225" s="906"/>
      <c r="S225" s="906"/>
      <c r="T225" s="906"/>
      <c r="U225" s="906"/>
      <c r="V225" s="906"/>
      <c r="W225" s="906"/>
      <c r="X225" s="906"/>
      <c r="Y225" s="906"/>
      <c r="Z225" s="906"/>
      <c r="AA225" s="906"/>
      <c r="AB225" s="906"/>
      <c r="AC225" s="906"/>
      <c r="AD225" s="906"/>
      <c r="AE225" s="906"/>
      <c r="AF225" s="906"/>
      <c r="AG225" s="906"/>
      <c r="AH225" s="906"/>
      <c r="AI225" s="906"/>
      <c r="AJ225" s="906"/>
      <c r="AK225" s="906"/>
      <c r="AL225" s="906"/>
      <c r="AM225" s="906"/>
      <c r="AN225" s="906"/>
      <c r="AO225" s="906"/>
      <c r="AP225" s="906"/>
      <c r="AQ225" s="906"/>
      <c r="AR225" s="906"/>
      <c r="AS225" s="906"/>
      <c r="AT225" s="906"/>
      <c r="AU225" s="906"/>
      <c r="AV225" s="906"/>
      <c r="AW225" s="906"/>
      <c r="AX225" s="906"/>
      <c r="AY225" s="906"/>
      <c r="AZ225" s="906"/>
      <c r="BA225" s="906"/>
      <c r="BB225" s="906"/>
      <c r="BC225" s="906"/>
      <c r="BD225" s="906"/>
      <c r="BE225" s="906"/>
      <c r="BF225" s="906"/>
      <c r="BG225" s="906"/>
      <c r="BH225" s="906"/>
      <c r="BI225" s="906"/>
      <c r="BJ225" s="906"/>
      <c r="BK225" s="906"/>
      <c r="BL225" s="906"/>
      <c r="BM225" s="906"/>
      <c r="BN225" s="906"/>
      <c r="BO225" s="906"/>
      <c r="BP225" s="906"/>
      <c r="BQ225" s="906"/>
      <c r="BR225" s="906"/>
      <c r="BS225" s="906"/>
      <c r="BT225" s="906"/>
      <c r="BU225" s="906"/>
      <c r="BV225" s="906"/>
      <c r="BW225" s="906"/>
      <c r="BX225" s="906"/>
      <c r="BY225" s="906"/>
      <c r="BZ225" s="906"/>
      <c r="CA225" s="906"/>
      <c r="CB225" s="906"/>
      <c r="CC225" s="906"/>
      <c r="CD225" s="906"/>
      <c r="CE225" s="906"/>
      <c r="CF225" s="906"/>
      <c r="CG225" s="906"/>
      <c r="CH225" s="906"/>
      <c r="CI225" s="906"/>
      <c r="CJ225" s="906"/>
      <c r="CK225" s="906"/>
      <c r="CL225" s="906"/>
      <c r="CM225" s="906"/>
      <c r="CN225" s="906"/>
      <c r="CO225" s="906"/>
      <c r="CP225" s="906"/>
      <c r="CQ225" s="906"/>
      <c r="CR225" s="906"/>
      <c r="CS225" s="906"/>
      <c r="CT225" s="906"/>
      <c r="CU225" s="906"/>
      <c r="CV225" s="906"/>
      <c r="CW225" s="906"/>
      <c r="CX225" s="906"/>
      <c r="CY225" s="906"/>
      <c r="CZ225" s="906"/>
      <c r="DA225" s="906"/>
      <c r="DB225" s="906"/>
      <c r="DC225" s="906"/>
      <c r="DD225" s="906"/>
      <c r="DE225" s="906"/>
      <c r="DF225" s="906"/>
      <c r="DG225" s="906"/>
      <c r="DH225" s="906"/>
      <c r="DI225" s="906"/>
      <c r="DJ225" s="906"/>
      <c r="DK225" s="906"/>
      <c r="DL225" s="906"/>
      <c r="DM225" s="906"/>
      <c r="DN225" s="906"/>
      <c r="DO225" s="906"/>
      <c r="DP225" s="906"/>
      <c r="DQ225" s="906"/>
      <c r="DR225" s="906"/>
      <c r="DS225" s="906"/>
    </row>
    <row r="226" spans="9:123" s="854" customFormat="1">
      <c r="I226" s="895"/>
      <c r="J226" s="895"/>
      <c r="R226" s="906"/>
      <c r="S226" s="906"/>
      <c r="T226" s="906"/>
      <c r="U226" s="906"/>
      <c r="V226" s="906"/>
      <c r="W226" s="906"/>
      <c r="X226" s="906"/>
      <c r="Y226" s="906"/>
      <c r="Z226" s="906"/>
      <c r="AA226" s="906"/>
      <c r="AB226" s="906"/>
      <c r="AC226" s="906"/>
      <c r="AD226" s="906"/>
      <c r="AE226" s="906"/>
      <c r="AF226" s="906"/>
      <c r="AG226" s="906"/>
      <c r="AH226" s="906"/>
      <c r="AI226" s="906"/>
      <c r="AJ226" s="906"/>
      <c r="AK226" s="906"/>
      <c r="AL226" s="906"/>
      <c r="AM226" s="906"/>
      <c r="AN226" s="906"/>
      <c r="AO226" s="906"/>
      <c r="AP226" s="906"/>
      <c r="AQ226" s="906"/>
      <c r="AR226" s="906"/>
      <c r="AS226" s="906"/>
      <c r="AT226" s="906"/>
      <c r="AU226" s="906"/>
      <c r="AV226" s="906"/>
      <c r="AW226" s="906"/>
      <c r="AX226" s="906"/>
      <c r="AY226" s="906"/>
      <c r="AZ226" s="906"/>
      <c r="BA226" s="906"/>
      <c r="BB226" s="906"/>
      <c r="BC226" s="906"/>
      <c r="BD226" s="906"/>
      <c r="BE226" s="906"/>
      <c r="BF226" s="906"/>
      <c r="BG226" s="906"/>
      <c r="BH226" s="906"/>
      <c r="BI226" s="906"/>
      <c r="BJ226" s="906"/>
      <c r="BK226" s="906"/>
      <c r="BL226" s="906"/>
      <c r="BM226" s="906"/>
      <c r="BN226" s="906"/>
      <c r="BO226" s="906"/>
      <c r="BP226" s="906"/>
      <c r="BQ226" s="906"/>
      <c r="BR226" s="906"/>
      <c r="BS226" s="906"/>
      <c r="BT226" s="906"/>
      <c r="BU226" s="906"/>
      <c r="BV226" s="906"/>
      <c r="BW226" s="906"/>
      <c r="BX226" s="906"/>
      <c r="BY226" s="906"/>
      <c r="BZ226" s="906"/>
      <c r="CA226" s="906"/>
      <c r="CB226" s="906"/>
      <c r="CC226" s="906"/>
      <c r="CD226" s="906"/>
      <c r="CE226" s="906"/>
      <c r="CF226" s="906"/>
      <c r="CG226" s="906"/>
      <c r="CH226" s="906"/>
      <c r="CI226" s="906"/>
      <c r="CJ226" s="906"/>
      <c r="CK226" s="906"/>
      <c r="CL226" s="906"/>
      <c r="CM226" s="906"/>
      <c r="CN226" s="906"/>
      <c r="CO226" s="906"/>
      <c r="CP226" s="906"/>
      <c r="CQ226" s="906"/>
      <c r="CR226" s="906"/>
      <c r="CS226" s="906"/>
      <c r="CT226" s="906"/>
      <c r="CU226" s="906"/>
      <c r="CV226" s="906"/>
      <c r="CW226" s="906"/>
      <c r="CX226" s="906"/>
      <c r="CY226" s="906"/>
      <c r="CZ226" s="906"/>
      <c r="DA226" s="906"/>
      <c r="DB226" s="906"/>
      <c r="DC226" s="906"/>
      <c r="DD226" s="906"/>
      <c r="DE226" s="906"/>
      <c r="DF226" s="906"/>
      <c r="DG226" s="906"/>
      <c r="DH226" s="906"/>
      <c r="DI226" s="906"/>
      <c r="DJ226" s="906"/>
      <c r="DK226" s="906"/>
      <c r="DL226" s="906"/>
      <c r="DM226" s="906"/>
      <c r="DN226" s="906"/>
      <c r="DO226" s="906"/>
      <c r="DP226" s="906"/>
      <c r="DQ226" s="906"/>
      <c r="DR226" s="906"/>
      <c r="DS226" s="906"/>
    </row>
    <row r="227" spans="9:123" s="854" customFormat="1">
      <c r="I227" s="895"/>
      <c r="J227" s="895"/>
      <c r="R227" s="906"/>
      <c r="S227" s="906"/>
      <c r="T227" s="906"/>
      <c r="U227" s="906"/>
      <c r="V227" s="906"/>
      <c r="W227" s="906"/>
      <c r="X227" s="906"/>
      <c r="Y227" s="906"/>
      <c r="Z227" s="906"/>
      <c r="AA227" s="906"/>
      <c r="AB227" s="906"/>
      <c r="AC227" s="906"/>
      <c r="AD227" s="906"/>
      <c r="AE227" s="906"/>
      <c r="AF227" s="906"/>
      <c r="AG227" s="906"/>
      <c r="AH227" s="906"/>
      <c r="AI227" s="906"/>
      <c r="AJ227" s="906"/>
      <c r="AK227" s="906"/>
      <c r="AL227" s="906"/>
      <c r="AM227" s="906"/>
      <c r="AN227" s="906"/>
      <c r="AO227" s="906"/>
      <c r="AP227" s="906"/>
      <c r="AQ227" s="906"/>
      <c r="AR227" s="906"/>
      <c r="AS227" s="906"/>
      <c r="AT227" s="906"/>
      <c r="AU227" s="906"/>
      <c r="AV227" s="906"/>
      <c r="AW227" s="906"/>
      <c r="AX227" s="906"/>
      <c r="AY227" s="906"/>
      <c r="AZ227" s="906"/>
      <c r="BA227" s="906"/>
      <c r="BB227" s="906"/>
      <c r="BC227" s="906"/>
      <c r="BD227" s="906"/>
      <c r="BE227" s="906"/>
      <c r="BF227" s="906"/>
      <c r="BG227" s="906"/>
      <c r="BH227" s="906"/>
      <c r="BI227" s="906"/>
      <c r="BJ227" s="906"/>
      <c r="BK227" s="906"/>
      <c r="BL227" s="906"/>
      <c r="BM227" s="906"/>
      <c r="BN227" s="906"/>
      <c r="BO227" s="906"/>
      <c r="BP227" s="906"/>
      <c r="BQ227" s="906"/>
      <c r="BR227" s="906"/>
      <c r="BS227" s="906"/>
      <c r="BT227" s="906"/>
      <c r="BU227" s="906"/>
      <c r="BV227" s="906"/>
      <c r="BW227" s="906"/>
      <c r="BX227" s="906"/>
      <c r="BY227" s="906"/>
      <c r="BZ227" s="906"/>
      <c r="CA227" s="906"/>
      <c r="CB227" s="906"/>
      <c r="CC227" s="906"/>
      <c r="CD227" s="906"/>
      <c r="CE227" s="906"/>
      <c r="CF227" s="906"/>
      <c r="CG227" s="906"/>
      <c r="CH227" s="906"/>
      <c r="CI227" s="906"/>
      <c r="CJ227" s="906"/>
      <c r="CK227" s="906"/>
      <c r="CL227" s="906"/>
      <c r="CM227" s="906"/>
      <c r="CN227" s="906"/>
      <c r="CO227" s="906"/>
      <c r="CP227" s="906"/>
      <c r="CQ227" s="906"/>
      <c r="CR227" s="906"/>
      <c r="CS227" s="906"/>
      <c r="CT227" s="906"/>
      <c r="CU227" s="906"/>
      <c r="CV227" s="906"/>
      <c r="CW227" s="906"/>
      <c r="CX227" s="906"/>
      <c r="CY227" s="906"/>
      <c r="CZ227" s="906"/>
      <c r="DA227" s="906"/>
      <c r="DB227" s="906"/>
      <c r="DC227" s="906"/>
      <c r="DD227" s="906"/>
      <c r="DE227" s="906"/>
      <c r="DF227" s="906"/>
      <c r="DG227" s="906"/>
      <c r="DH227" s="906"/>
      <c r="DI227" s="906"/>
      <c r="DJ227" s="906"/>
      <c r="DK227" s="906"/>
      <c r="DL227" s="906"/>
      <c r="DM227" s="906"/>
      <c r="DN227" s="906"/>
      <c r="DO227" s="906"/>
      <c r="DP227" s="906"/>
      <c r="DQ227" s="906"/>
      <c r="DR227" s="906"/>
      <c r="DS227" s="906"/>
    </row>
    <row r="228" spans="9:123" s="854" customFormat="1">
      <c r="I228" s="895"/>
      <c r="J228" s="895"/>
      <c r="R228" s="906"/>
      <c r="S228" s="906"/>
      <c r="T228" s="906"/>
      <c r="U228" s="906"/>
      <c r="V228" s="906"/>
      <c r="W228" s="906"/>
      <c r="X228" s="906"/>
      <c r="Y228" s="906"/>
      <c r="Z228" s="906"/>
      <c r="AA228" s="906"/>
      <c r="AB228" s="906"/>
      <c r="AC228" s="906"/>
      <c r="AD228" s="906"/>
      <c r="AE228" s="906"/>
      <c r="AF228" s="906"/>
      <c r="AG228" s="906"/>
      <c r="AH228" s="906"/>
      <c r="AI228" s="906"/>
      <c r="AJ228" s="906"/>
      <c r="AK228" s="906"/>
      <c r="AL228" s="906"/>
      <c r="AM228" s="906"/>
      <c r="AN228" s="906"/>
      <c r="AO228" s="906"/>
      <c r="AP228" s="906"/>
      <c r="AQ228" s="906"/>
      <c r="AR228" s="906"/>
      <c r="AS228" s="906"/>
      <c r="AT228" s="906"/>
      <c r="AU228" s="906"/>
      <c r="AV228" s="906"/>
      <c r="AW228" s="906"/>
      <c r="AX228" s="906"/>
      <c r="AY228" s="906"/>
      <c r="AZ228" s="906"/>
      <c r="BA228" s="906"/>
      <c r="BB228" s="906"/>
      <c r="BC228" s="906"/>
      <c r="BD228" s="906"/>
      <c r="BE228" s="906"/>
      <c r="BF228" s="906"/>
      <c r="BG228" s="906"/>
      <c r="BH228" s="906"/>
      <c r="BI228" s="906"/>
      <c r="BJ228" s="906"/>
      <c r="BK228" s="906"/>
      <c r="BL228" s="906"/>
      <c r="BM228" s="906"/>
      <c r="BN228" s="906"/>
      <c r="BO228" s="906"/>
      <c r="BP228" s="906"/>
      <c r="BQ228" s="906"/>
      <c r="BR228" s="906"/>
      <c r="BS228" s="906"/>
      <c r="BT228" s="906"/>
      <c r="BU228" s="906"/>
      <c r="BV228" s="906"/>
      <c r="BW228" s="906"/>
      <c r="BX228" s="906"/>
      <c r="BY228" s="906"/>
      <c r="BZ228" s="906"/>
      <c r="CA228" s="906"/>
      <c r="CB228" s="906"/>
      <c r="CC228" s="906"/>
      <c r="CD228" s="906"/>
      <c r="CE228" s="906"/>
      <c r="CF228" s="906"/>
      <c r="CG228" s="906"/>
      <c r="CH228" s="906"/>
      <c r="CI228" s="906"/>
      <c r="CJ228" s="906"/>
      <c r="CK228" s="906"/>
      <c r="CL228" s="906"/>
      <c r="CM228" s="906"/>
      <c r="CN228" s="906"/>
      <c r="CO228" s="906"/>
      <c r="CP228" s="906"/>
      <c r="CQ228" s="906"/>
      <c r="CR228" s="906"/>
      <c r="CS228" s="906"/>
      <c r="CT228" s="906"/>
      <c r="CU228" s="906"/>
      <c r="CV228" s="906"/>
      <c r="CW228" s="906"/>
      <c r="CX228" s="906"/>
      <c r="CY228" s="906"/>
      <c r="CZ228" s="906"/>
      <c r="DA228" s="906"/>
      <c r="DB228" s="906"/>
      <c r="DC228" s="906"/>
      <c r="DD228" s="906"/>
      <c r="DE228" s="906"/>
      <c r="DF228" s="906"/>
      <c r="DG228" s="906"/>
      <c r="DH228" s="906"/>
      <c r="DI228" s="906"/>
      <c r="DJ228" s="906"/>
      <c r="DK228" s="906"/>
      <c r="DL228" s="906"/>
      <c r="DM228" s="906"/>
      <c r="DN228" s="906"/>
      <c r="DO228" s="906"/>
      <c r="DP228" s="906"/>
      <c r="DQ228" s="906"/>
      <c r="DR228" s="906"/>
      <c r="DS228" s="906"/>
    </row>
    <row r="229" spans="9:123" s="854" customFormat="1">
      <c r="I229" s="895"/>
      <c r="J229" s="895"/>
      <c r="R229" s="906"/>
      <c r="S229" s="906"/>
      <c r="T229" s="906"/>
      <c r="U229" s="906"/>
      <c r="V229" s="906"/>
      <c r="W229" s="906"/>
      <c r="X229" s="906"/>
      <c r="Y229" s="906"/>
      <c r="Z229" s="906"/>
      <c r="AA229" s="906"/>
      <c r="AB229" s="906"/>
      <c r="AC229" s="906"/>
      <c r="AD229" s="906"/>
      <c r="AE229" s="906"/>
      <c r="AF229" s="906"/>
      <c r="AG229" s="906"/>
      <c r="AH229" s="906"/>
      <c r="AI229" s="906"/>
      <c r="AJ229" s="906"/>
      <c r="AK229" s="906"/>
      <c r="AL229" s="906"/>
      <c r="AM229" s="906"/>
      <c r="AN229" s="906"/>
      <c r="AO229" s="906"/>
      <c r="AP229" s="906"/>
      <c r="AQ229" s="906"/>
      <c r="AR229" s="906"/>
      <c r="AS229" s="906"/>
      <c r="AT229" s="906"/>
      <c r="AU229" s="906"/>
      <c r="AV229" s="906"/>
      <c r="AW229" s="906"/>
      <c r="AX229" s="906"/>
      <c r="AY229" s="906"/>
      <c r="AZ229" s="906"/>
      <c r="BA229" s="906"/>
      <c r="BB229" s="906"/>
      <c r="BC229" s="906"/>
      <c r="BD229" s="906"/>
      <c r="BE229" s="906"/>
      <c r="BF229" s="906"/>
      <c r="BG229" s="906"/>
      <c r="BH229" s="906"/>
      <c r="BI229" s="906"/>
      <c r="BJ229" s="906"/>
      <c r="BK229" s="906"/>
      <c r="BL229" s="906"/>
      <c r="BM229" s="906"/>
      <c r="BN229" s="906"/>
      <c r="BO229" s="906"/>
      <c r="BP229" s="906"/>
      <c r="BQ229" s="906"/>
      <c r="BR229" s="906"/>
      <c r="BS229" s="906"/>
      <c r="BT229" s="906"/>
      <c r="BU229" s="906"/>
      <c r="BV229" s="906"/>
      <c r="BW229" s="906"/>
      <c r="BX229" s="906"/>
      <c r="BY229" s="906"/>
      <c r="BZ229" s="906"/>
      <c r="CA229" s="906"/>
      <c r="CB229" s="906"/>
      <c r="CC229" s="906"/>
      <c r="CD229" s="906"/>
      <c r="CE229" s="906"/>
      <c r="CF229" s="906"/>
      <c r="CG229" s="906"/>
      <c r="CH229" s="906"/>
      <c r="CI229" s="906"/>
      <c r="CJ229" s="906"/>
      <c r="CK229" s="906"/>
      <c r="CL229" s="906"/>
      <c r="CM229" s="906"/>
      <c r="CN229" s="906"/>
      <c r="CO229" s="906"/>
      <c r="CP229" s="906"/>
      <c r="CQ229" s="906"/>
      <c r="CR229" s="906"/>
      <c r="CS229" s="906"/>
      <c r="CT229" s="906"/>
      <c r="CU229" s="906"/>
      <c r="CV229" s="906"/>
      <c r="CW229" s="906"/>
      <c r="CX229" s="906"/>
      <c r="CY229" s="906"/>
      <c r="CZ229" s="906"/>
      <c r="DA229" s="906"/>
      <c r="DB229" s="906"/>
      <c r="DC229" s="906"/>
      <c r="DD229" s="906"/>
      <c r="DE229" s="906"/>
      <c r="DF229" s="906"/>
      <c r="DG229" s="906"/>
      <c r="DH229" s="906"/>
      <c r="DI229" s="906"/>
      <c r="DJ229" s="906"/>
      <c r="DK229" s="906"/>
      <c r="DL229" s="906"/>
      <c r="DM229" s="906"/>
      <c r="DN229" s="906"/>
      <c r="DO229" s="906"/>
      <c r="DP229" s="906"/>
      <c r="DQ229" s="906"/>
      <c r="DR229" s="906"/>
      <c r="DS229" s="906"/>
    </row>
    <row r="230" spans="9:123" s="854" customFormat="1">
      <c r="I230" s="895"/>
      <c r="J230" s="895"/>
      <c r="R230" s="906"/>
      <c r="S230" s="906"/>
      <c r="T230" s="906"/>
      <c r="U230" s="906"/>
      <c r="V230" s="906"/>
      <c r="W230" s="906"/>
      <c r="X230" s="906"/>
      <c r="Y230" s="906"/>
      <c r="Z230" s="906"/>
      <c r="AA230" s="906"/>
      <c r="AB230" s="906"/>
      <c r="AC230" s="906"/>
      <c r="AD230" s="906"/>
      <c r="AE230" s="906"/>
      <c r="AF230" s="906"/>
      <c r="AG230" s="906"/>
      <c r="AH230" s="906"/>
      <c r="AI230" s="906"/>
      <c r="AJ230" s="906"/>
      <c r="AK230" s="906"/>
      <c r="AL230" s="906"/>
      <c r="AM230" s="906"/>
      <c r="AN230" s="906"/>
      <c r="AO230" s="906"/>
      <c r="AP230" s="906"/>
      <c r="AQ230" s="906"/>
      <c r="AR230" s="906"/>
      <c r="AS230" s="906"/>
      <c r="AT230" s="906"/>
      <c r="AU230" s="906"/>
      <c r="AV230" s="906"/>
      <c r="AW230" s="906"/>
      <c r="AX230" s="906"/>
      <c r="AY230" s="906"/>
      <c r="AZ230" s="906"/>
      <c r="BA230" s="906"/>
      <c r="BB230" s="906"/>
      <c r="BC230" s="906"/>
      <c r="BD230" s="906"/>
      <c r="BE230" s="906"/>
      <c r="BF230" s="906"/>
      <c r="BG230" s="906"/>
      <c r="BH230" s="906"/>
      <c r="BI230" s="906"/>
      <c r="BJ230" s="906"/>
      <c r="BK230" s="906"/>
      <c r="BL230" s="906"/>
      <c r="BM230" s="906"/>
      <c r="BN230" s="906"/>
      <c r="BO230" s="906"/>
      <c r="BP230" s="906"/>
      <c r="BQ230" s="906"/>
      <c r="BR230" s="906"/>
      <c r="BS230" s="906"/>
      <c r="BT230" s="906"/>
      <c r="BU230" s="906"/>
      <c r="BV230" s="906"/>
      <c r="BW230" s="906"/>
      <c r="BX230" s="906"/>
      <c r="BY230" s="906"/>
      <c r="BZ230" s="906"/>
      <c r="CA230" s="906"/>
      <c r="CB230" s="906"/>
      <c r="CC230" s="906"/>
      <c r="CD230" s="906"/>
      <c r="CE230" s="906"/>
      <c r="CF230" s="906"/>
      <c r="CG230" s="906"/>
      <c r="CH230" s="906"/>
      <c r="CI230" s="906"/>
      <c r="CJ230" s="906"/>
      <c r="CK230" s="906"/>
      <c r="CL230" s="906"/>
      <c r="CM230" s="906"/>
      <c r="CN230" s="906"/>
      <c r="CO230" s="906"/>
      <c r="CP230" s="906"/>
      <c r="CQ230" s="906"/>
      <c r="CR230" s="906"/>
      <c r="CS230" s="906"/>
      <c r="CT230" s="906"/>
      <c r="CU230" s="906"/>
      <c r="CV230" s="906"/>
      <c r="CW230" s="906"/>
      <c r="CX230" s="906"/>
      <c r="CY230" s="906"/>
      <c r="CZ230" s="906"/>
      <c r="DA230" s="906"/>
      <c r="DB230" s="906"/>
      <c r="DC230" s="906"/>
      <c r="DD230" s="906"/>
      <c r="DE230" s="906"/>
      <c r="DF230" s="906"/>
      <c r="DG230" s="906"/>
      <c r="DH230" s="906"/>
      <c r="DI230" s="906"/>
      <c r="DJ230" s="906"/>
      <c r="DK230" s="906"/>
      <c r="DL230" s="906"/>
      <c r="DM230" s="906"/>
      <c r="DN230" s="906"/>
      <c r="DO230" s="906"/>
      <c r="DP230" s="906"/>
      <c r="DQ230" s="906"/>
      <c r="DR230" s="906"/>
      <c r="DS230" s="906"/>
    </row>
    <row r="231" spans="9:123" s="854" customFormat="1">
      <c r="I231" s="895"/>
      <c r="J231" s="895"/>
      <c r="R231" s="906"/>
      <c r="S231" s="906"/>
      <c r="T231" s="906"/>
      <c r="U231" s="906"/>
      <c r="V231" s="906"/>
      <c r="W231" s="906"/>
      <c r="X231" s="906"/>
      <c r="Y231" s="906"/>
      <c r="Z231" s="906"/>
      <c r="AA231" s="906"/>
      <c r="AB231" s="906"/>
      <c r="AC231" s="906"/>
      <c r="AD231" s="906"/>
      <c r="AE231" s="906"/>
      <c r="AF231" s="906"/>
      <c r="AG231" s="906"/>
      <c r="AH231" s="906"/>
      <c r="AI231" s="906"/>
      <c r="AJ231" s="906"/>
      <c r="AK231" s="906"/>
      <c r="AL231" s="906"/>
      <c r="AM231" s="906"/>
      <c r="AN231" s="906"/>
      <c r="AO231" s="906"/>
      <c r="AP231" s="906"/>
      <c r="AQ231" s="906"/>
      <c r="AR231" s="906"/>
      <c r="AS231" s="906"/>
      <c r="AT231" s="906"/>
      <c r="AU231" s="906"/>
      <c r="AV231" s="906"/>
      <c r="AW231" s="906"/>
      <c r="AX231" s="906"/>
      <c r="AY231" s="906"/>
      <c r="AZ231" s="906"/>
      <c r="BA231" s="906"/>
      <c r="BB231" s="906"/>
      <c r="BC231" s="906"/>
      <c r="BD231" s="906"/>
      <c r="BE231" s="906"/>
      <c r="BF231" s="906"/>
      <c r="BG231" s="906"/>
      <c r="BH231" s="906"/>
      <c r="BI231" s="906"/>
      <c r="BJ231" s="906"/>
      <c r="BK231" s="906"/>
      <c r="BL231" s="906"/>
      <c r="BM231" s="906"/>
      <c r="BN231" s="906"/>
      <c r="BO231" s="906"/>
      <c r="BP231" s="906"/>
      <c r="BQ231" s="906"/>
      <c r="BR231" s="906"/>
      <c r="BS231" s="906"/>
      <c r="BT231" s="906"/>
      <c r="BU231" s="906"/>
      <c r="BV231" s="906"/>
      <c r="BW231" s="906"/>
      <c r="BX231" s="906"/>
      <c r="BY231" s="906"/>
      <c r="BZ231" s="906"/>
      <c r="CA231" s="906"/>
      <c r="CB231" s="906"/>
      <c r="CC231" s="906"/>
      <c r="CD231" s="906"/>
      <c r="CE231" s="906"/>
      <c r="CF231" s="906"/>
      <c r="CG231" s="906"/>
      <c r="CH231" s="906"/>
      <c r="CI231" s="906"/>
      <c r="CJ231" s="906"/>
      <c r="CK231" s="906"/>
      <c r="CL231" s="906"/>
      <c r="CM231" s="906"/>
      <c r="CN231" s="906"/>
      <c r="CO231" s="906"/>
      <c r="CP231" s="906"/>
      <c r="CQ231" s="906"/>
      <c r="CR231" s="906"/>
      <c r="CS231" s="906"/>
      <c r="CT231" s="906"/>
      <c r="CU231" s="906"/>
      <c r="CV231" s="906"/>
      <c r="CW231" s="906"/>
      <c r="CX231" s="906"/>
      <c r="CY231" s="906"/>
      <c r="CZ231" s="906"/>
      <c r="DA231" s="906"/>
      <c r="DB231" s="906"/>
      <c r="DC231" s="906"/>
      <c r="DD231" s="906"/>
      <c r="DE231" s="906"/>
      <c r="DF231" s="906"/>
      <c r="DG231" s="906"/>
      <c r="DH231" s="906"/>
      <c r="DI231" s="906"/>
      <c r="DJ231" s="906"/>
      <c r="DK231" s="906"/>
      <c r="DL231" s="906"/>
      <c r="DM231" s="906"/>
      <c r="DN231" s="906"/>
      <c r="DO231" s="906"/>
      <c r="DP231" s="906"/>
      <c r="DQ231" s="906"/>
      <c r="DR231" s="906"/>
      <c r="DS231" s="906"/>
    </row>
    <row r="232" spans="9:123" s="854" customFormat="1">
      <c r="I232" s="895"/>
      <c r="J232" s="895"/>
      <c r="R232" s="906"/>
      <c r="S232" s="906"/>
      <c r="T232" s="906"/>
      <c r="U232" s="906"/>
      <c r="V232" s="906"/>
      <c r="W232" s="906"/>
      <c r="X232" s="906"/>
      <c r="Y232" s="906"/>
      <c r="Z232" s="906"/>
      <c r="AA232" s="906"/>
      <c r="AB232" s="906"/>
      <c r="AC232" s="906"/>
      <c r="AD232" s="906"/>
      <c r="AE232" s="906"/>
      <c r="AF232" s="906"/>
      <c r="AG232" s="906"/>
      <c r="AH232" s="906"/>
      <c r="AI232" s="906"/>
      <c r="AJ232" s="906"/>
      <c r="AK232" s="906"/>
      <c r="AL232" s="906"/>
      <c r="AM232" s="906"/>
      <c r="AN232" s="906"/>
      <c r="AO232" s="906"/>
      <c r="AP232" s="906"/>
      <c r="AQ232" s="906"/>
      <c r="AR232" s="906"/>
      <c r="AS232" s="906"/>
      <c r="AT232" s="906"/>
      <c r="AU232" s="906"/>
      <c r="AV232" s="906"/>
      <c r="AW232" s="906"/>
      <c r="AX232" s="906"/>
      <c r="AY232" s="906"/>
      <c r="AZ232" s="906"/>
      <c r="BA232" s="906"/>
      <c r="BB232" s="906"/>
      <c r="BC232" s="906"/>
      <c r="BD232" s="906"/>
      <c r="BE232" s="906"/>
      <c r="BF232" s="906"/>
      <c r="BG232" s="906"/>
      <c r="BH232" s="906"/>
      <c r="BI232" s="906"/>
      <c r="BJ232" s="906"/>
      <c r="BK232" s="906"/>
      <c r="BL232" s="906"/>
      <c r="BM232" s="906"/>
      <c r="BN232" s="906"/>
      <c r="BO232" s="906"/>
      <c r="BP232" s="906"/>
      <c r="BQ232" s="906"/>
      <c r="BR232" s="906"/>
      <c r="BS232" s="906"/>
      <c r="BT232" s="906"/>
      <c r="BU232" s="906"/>
      <c r="BV232" s="906"/>
      <c r="BW232" s="906"/>
      <c r="BX232" s="906"/>
      <c r="BY232" s="906"/>
      <c r="BZ232" s="906"/>
      <c r="CA232" s="906"/>
      <c r="CB232" s="906"/>
      <c r="CC232" s="906"/>
      <c r="CD232" s="906"/>
      <c r="CE232" s="906"/>
      <c r="CF232" s="906"/>
      <c r="CG232" s="906"/>
      <c r="CH232" s="906"/>
      <c r="CI232" s="906"/>
      <c r="CJ232" s="906"/>
      <c r="CK232" s="906"/>
      <c r="CL232" s="906"/>
      <c r="CM232" s="906"/>
      <c r="CN232" s="906"/>
      <c r="CO232" s="906"/>
      <c r="CP232" s="906"/>
      <c r="CQ232" s="906"/>
      <c r="CR232" s="906"/>
      <c r="CS232" s="906"/>
      <c r="CT232" s="906"/>
      <c r="CU232" s="906"/>
      <c r="CV232" s="906"/>
      <c r="CW232" s="906"/>
      <c r="CX232" s="906"/>
      <c r="CY232" s="906"/>
      <c r="CZ232" s="906"/>
      <c r="DA232" s="906"/>
      <c r="DB232" s="906"/>
      <c r="DC232" s="906"/>
      <c r="DD232" s="906"/>
      <c r="DE232" s="906"/>
      <c r="DF232" s="906"/>
      <c r="DG232" s="906"/>
      <c r="DH232" s="906"/>
      <c r="DI232" s="906"/>
      <c r="DJ232" s="906"/>
      <c r="DK232" s="906"/>
      <c r="DL232" s="906"/>
      <c r="DM232" s="906"/>
      <c r="DN232" s="906"/>
      <c r="DO232" s="906"/>
      <c r="DP232" s="906"/>
      <c r="DQ232" s="906"/>
      <c r="DR232" s="906"/>
      <c r="DS232" s="906"/>
    </row>
    <row r="233" spans="9:123" s="854" customFormat="1">
      <c r="I233" s="895"/>
      <c r="J233" s="895"/>
      <c r="R233" s="906"/>
      <c r="S233" s="906"/>
      <c r="T233" s="906"/>
      <c r="U233" s="906"/>
      <c r="V233" s="906"/>
      <c r="W233" s="906"/>
      <c r="X233" s="906"/>
      <c r="Y233" s="906"/>
      <c r="Z233" s="906"/>
      <c r="AA233" s="906"/>
      <c r="AB233" s="906"/>
      <c r="AC233" s="906"/>
      <c r="AD233" s="906"/>
      <c r="AE233" s="906"/>
      <c r="AF233" s="906"/>
      <c r="AG233" s="906"/>
      <c r="AH233" s="906"/>
      <c r="AI233" s="906"/>
      <c r="AJ233" s="906"/>
      <c r="AK233" s="906"/>
      <c r="AL233" s="906"/>
      <c r="AM233" s="906"/>
      <c r="AN233" s="906"/>
      <c r="AO233" s="906"/>
      <c r="AP233" s="906"/>
      <c r="AQ233" s="906"/>
      <c r="AR233" s="906"/>
      <c r="AS233" s="906"/>
      <c r="AT233" s="906"/>
      <c r="AU233" s="906"/>
      <c r="AV233" s="906"/>
      <c r="AW233" s="906"/>
      <c r="AX233" s="906"/>
      <c r="AY233" s="906"/>
      <c r="AZ233" s="906"/>
      <c r="BA233" s="906"/>
      <c r="BB233" s="906"/>
      <c r="BC233" s="906"/>
      <c r="BD233" s="906"/>
      <c r="BE233" s="906"/>
      <c r="BF233" s="906"/>
      <c r="BG233" s="906"/>
      <c r="BH233" s="906"/>
      <c r="BI233" s="906"/>
      <c r="BJ233" s="906"/>
      <c r="BK233" s="906"/>
      <c r="BL233" s="906"/>
      <c r="BM233" s="906"/>
      <c r="BN233" s="906"/>
      <c r="BO233" s="906"/>
      <c r="BP233" s="906"/>
      <c r="BQ233" s="906"/>
      <c r="BR233" s="906"/>
      <c r="BS233" s="906"/>
      <c r="BT233" s="906"/>
      <c r="BU233" s="906"/>
      <c r="BV233" s="906"/>
      <c r="BW233" s="906"/>
      <c r="BX233" s="906"/>
      <c r="BY233" s="906"/>
      <c r="BZ233" s="906"/>
      <c r="CA233" s="906"/>
      <c r="CB233" s="906"/>
      <c r="CC233" s="906"/>
      <c r="CD233" s="906"/>
      <c r="CE233" s="906"/>
      <c r="CF233" s="906"/>
      <c r="CG233" s="906"/>
      <c r="CH233" s="906"/>
      <c r="CI233" s="906"/>
      <c r="CJ233" s="906"/>
      <c r="CK233" s="906"/>
      <c r="CL233" s="906"/>
      <c r="CM233" s="906"/>
      <c r="CN233" s="906"/>
      <c r="CO233" s="906"/>
      <c r="CP233" s="906"/>
      <c r="CQ233" s="906"/>
      <c r="CR233" s="906"/>
      <c r="CS233" s="906"/>
      <c r="CT233" s="906"/>
      <c r="CU233" s="906"/>
      <c r="CV233" s="906"/>
      <c r="CW233" s="906"/>
      <c r="CX233" s="906"/>
      <c r="CY233" s="906"/>
      <c r="CZ233" s="906"/>
      <c r="DA233" s="906"/>
      <c r="DB233" s="906"/>
      <c r="DC233" s="906"/>
      <c r="DD233" s="906"/>
      <c r="DE233" s="906"/>
      <c r="DF233" s="906"/>
      <c r="DG233" s="906"/>
      <c r="DH233" s="906"/>
      <c r="DI233" s="906"/>
      <c r="DJ233" s="906"/>
      <c r="DK233" s="906"/>
      <c r="DL233" s="906"/>
      <c r="DM233" s="906"/>
      <c r="DN233" s="906"/>
      <c r="DO233" s="906"/>
      <c r="DP233" s="906"/>
      <c r="DQ233" s="906"/>
      <c r="DR233" s="906"/>
      <c r="DS233" s="906"/>
    </row>
    <row r="234" spans="9:123" s="854" customFormat="1">
      <c r="I234" s="895"/>
      <c r="J234" s="895"/>
      <c r="R234" s="906"/>
      <c r="S234" s="906"/>
      <c r="T234" s="906"/>
      <c r="U234" s="906"/>
      <c r="V234" s="906"/>
      <c r="W234" s="906"/>
      <c r="X234" s="906"/>
      <c r="Y234" s="906"/>
      <c r="Z234" s="906"/>
      <c r="AA234" s="906"/>
      <c r="AB234" s="906"/>
      <c r="AC234" s="906"/>
      <c r="AD234" s="906"/>
      <c r="AE234" s="906"/>
      <c r="AF234" s="906"/>
      <c r="AG234" s="906"/>
      <c r="AH234" s="906"/>
      <c r="AI234" s="906"/>
      <c r="AJ234" s="906"/>
      <c r="AK234" s="906"/>
      <c r="AL234" s="906"/>
      <c r="AM234" s="906"/>
      <c r="AN234" s="906"/>
      <c r="AO234" s="906"/>
      <c r="AP234" s="906"/>
      <c r="AQ234" s="906"/>
      <c r="AR234" s="906"/>
      <c r="AS234" s="906"/>
      <c r="AT234" s="906"/>
      <c r="AU234" s="906"/>
      <c r="AV234" s="906"/>
      <c r="AW234" s="906"/>
      <c r="AX234" s="906"/>
      <c r="AY234" s="906"/>
      <c r="AZ234" s="906"/>
      <c r="BA234" s="906"/>
      <c r="BB234" s="906"/>
      <c r="BC234" s="906"/>
      <c r="BD234" s="906"/>
      <c r="BE234" s="906"/>
      <c r="BF234" s="906"/>
      <c r="BG234" s="906"/>
      <c r="BH234" s="906"/>
      <c r="BI234" s="906"/>
      <c r="BJ234" s="906"/>
      <c r="BK234" s="906"/>
      <c r="BL234" s="906"/>
      <c r="BM234" s="906"/>
      <c r="BN234" s="906"/>
      <c r="BO234" s="906"/>
      <c r="BP234" s="906"/>
      <c r="BQ234" s="906"/>
      <c r="BR234" s="906"/>
      <c r="BS234" s="906"/>
      <c r="BT234" s="906"/>
      <c r="BU234" s="906"/>
      <c r="BV234" s="906"/>
      <c r="BW234" s="906"/>
      <c r="BX234" s="906"/>
      <c r="BY234" s="906"/>
      <c r="BZ234" s="906"/>
      <c r="CA234" s="906"/>
      <c r="CB234" s="906"/>
      <c r="CC234" s="906"/>
      <c r="CD234" s="906"/>
      <c r="CE234" s="906"/>
      <c r="CF234" s="906"/>
      <c r="CG234" s="906"/>
      <c r="CH234" s="906"/>
      <c r="CI234" s="906"/>
      <c r="CJ234" s="906"/>
      <c r="CK234" s="906"/>
      <c r="CL234" s="906"/>
      <c r="CM234" s="906"/>
      <c r="CN234" s="906"/>
      <c r="CO234" s="906"/>
      <c r="CP234" s="906"/>
      <c r="CQ234" s="906"/>
      <c r="CR234" s="906"/>
      <c r="CS234" s="906"/>
      <c r="CT234" s="906"/>
      <c r="CU234" s="906"/>
      <c r="CV234" s="906"/>
      <c r="CW234" s="906"/>
      <c r="CX234" s="906"/>
      <c r="CY234" s="906"/>
      <c r="CZ234" s="906"/>
      <c r="DA234" s="906"/>
      <c r="DB234" s="906"/>
      <c r="DC234" s="906"/>
      <c r="DD234" s="906"/>
      <c r="DE234" s="906"/>
      <c r="DF234" s="906"/>
      <c r="DG234" s="906"/>
      <c r="DH234" s="906"/>
      <c r="DI234" s="906"/>
      <c r="DJ234" s="906"/>
      <c r="DK234" s="906"/>
      <c r="DL234" s="906"/>
      <c r="DM234" s="906"/>
      <c r="DN234" s="906"/>
      <c r="DO234" s="906"/>
      <c r="DP234" s="906"/>
      <c r="DQ234" s="906"/>
      <c r="DR234" s="906"/>
      <c r="DS234" s="906"/>
    </row>
    <row r="235" spans="9:123" s="854" customFormat="1">
      <c r="I235" s="895"/>
      <c r="J235" s="895"/>
      <c r="R235" s="906"/>
      <c r="S235" s="906"/>
      <c r="T235" s="906"/>
      <c r="U235" s="906"/>
      <c r="V235" s="906"/>
      <c r="W235" s="906"/>
      <c r="X235" s="906"/>
      <c r="Y235" s="906"/>
      <c r="Z235" s="906"/>
      <c r="AA235" s="906"/>
      <c r="AB235" s="906"/>
      <c r="AC235" s="906"/>
      <c r="AD235" s="906"/>
      <c r="AE235" s="906"/>
      <c r="AF235" s="906"/>
      <c r="AG235" s="906"/>
      <c r="AH235" s="906"/>
      <c r="AI235" s="906"/>
      <c r="AJ235" s="906"/>
      <c r="AK235" s="906"/>
      <c r="AL235" s="906"/>
      <c r="AM235" s="906"/>
      <c r="AN235" s="906"/>
      <c r="AO235" s="906"/>
      <c r="AP235" s="906"/>
      <c r="AQ235" s="906"/>
      <c r="AR235" s="906"/>
      <c r="AS235" s="906"/>
      <c r="AT235" s="906"/>
      <c r="AU235" s="906"/>
      <c r="AV235" s="906"/>
      <c r="AW235" s="906"/>
      <c r="AX235" s="906"/>
      <c r="AY235" s="906"/>
      <c r="AZ235" s="906"/>
      <c r="BA235" s="906"/>
      <c r="BB235" s="906"/>
      <c r="BC235" s="906"/>
      <c r="BD235" s="906"/>
      <c r="BE235" s="906"/>
      <c r="BF235" s="906"/>
      <c r="BG235" s="906"/>
      <c r="BH235" s="906"/>
      <c r="BI235" s="906"/>
      <c r="BJ235" s="906"/>
      <c r="BK235" s="906"/>
      <c r="BL235" s="906"/>
      <c r="BM235" s="906"/>
      <c r="BN235" s="906"/>
      <c r="BO235" s="906"/>
      <c r="BP235" s="906"/>
      <c r="BQ235" s="906"/>
      <c r="BR235" s="906"/>
      <c r="BS235" s="906"/>
      <c r="BT235" s="906"/>
      <c r="BU235" s="906"/>
      <c r="BV235" s="906"/>
      <c r="BW235" s="906"/>
      <c r="BX235" s="906"/>
      <c r="BY235" s="906"/>
      <c r="BZ235" s="906"/>
      <c r="CA235" s="906"/>
      <c r="CB235" s="906"/>
      <c r="CC235" s="906"/>
      <c r="CD235" s="906"/>
      <c r="CE235" s="906"/>
      <c r="CF235" s="906"/>
      <c r="CG235" s="906"/>
      <c r="CH235" s="906"/>
      <c r="CI235" s="906"/>
      <c r="CJ235" s="906"/>
      <c r="CK235" s="906"/>
      <c r="CL235" s="906"/>
      <c r="CM235" s="906"/>
      <c r="CN235" s="906"/>
      <c r="CO235" s="906"/>
      <c r="CP235" s="906"/>
      <c r="CQ235" s="906"/>
      <c r="CR235" s="906"/>
      <c r="CS235" s="906"/>
      <c r="CT235" s="906"/>
      <c r="CU235" s="906"/>
      <c r="CV235" s="906"/>
      <c r="CW235" s="906"/>
      <c r="CX235" s="906"/>
      <c r="CY235" s="906"/>
      <c r="CZ235" s="906"/>
      <c r="DA235" s="906"/>
      <c r="DB235" s="906"/>
      <c r="DC235" s="906"/>
      <c r="DD235" s="906"/>
      <c r="DE235" s="906"/>
      <c r="DF235" s="906"/>
      <c r="DG235" s="906"/>
      <c r="DH235" s="906"/>
      <c r="DI235" s="906"/>
      <c r="DJ235" s="906"/>
      <c r="DK235" s="906"/>
      <c r="DL235" s="906"/>
      <c r="DM235" s="906"/>
      <c r="DN235" s="906"/>
      <c r="DO235" s="906"/>
      <c r="DP235" s="906"/>
      <c r="DQ235" s="906"/>
      <c r="DR235" s="906"/>
      <c r="DS235" s="906"/>
    </row>
    <row r="236" spans="9:123" s="854" customFormat="1">
      <c r="I236" s="895"/>
      <c r="J236" s="895"/>
      <c r="R236" s="906"/>
      <c r="S236" s="906"/>
      <c r="T236" s="906"/>
      <c r="U236" s="906"/>
      <c r="V236" s="906"/>
      <c r="W236" s="906"/>
      <c r="X236" s="906"/>
      <c r="Y236" s="906"/>
      <c r="Z236" s="906"/>
      <c r="AA236" s="906"/>
      <c r="AB236" s="906"/>
      <c r="AC236" s="906"/>
      <c r="AD236" s="906"/>
      <c r="AE236" s="906"/>
      <c r="AF236" s="906"/>
      <c r="AG236" s="906"/>
      <c r="AH236" s="906"/>
      <c r="AI236" s="906"/>
      <c r="AJ236" s="906"/>
      <c r="AK236" s="906"/>
      <c r="AL236" s="906"/>
      <c r="AM236" s="906"/>
      <c r="AN236" s="906"/>
      <c r="AO236" s="906"/>
      <c r="AP236" s="906"/>
      <c r="AQ236" s="906"/>
      <c r="AR236" s="906"/>
      <c r="AS236" s="906"/>
      <c r="AT236" s="906"/>
      <c r="AU236" s="906"/>
      <c r="AV236" s="906"/>
      <c r="AW236" s="906"/>
      <c r="AX236" s="906"/>
      <c r="AY236" s="906"/>
      <c r="AZ236" s="906"/>
      <c r="BA236" s="906"/>
      <c r="BB236" s="906"/>
      <c r="BC236" s="906"/>
      <c r="BD236" s="906"/>
      <c r="BE236" s="906"/>
      <c r="BF236" s="906"/>
      <c r="BG236" s="906"/>
      <c r="BH236" s="906"/>
      <c r="BI236" s="906"/>
      <c r="BJ236" s="906"/>
      <c r="BK236" s="906"/>
      <c r="BL236" s="906"/>
      <c r="BM236" s="906"/>
      <c r="BN236" s="906"/>
      <c r="BO236" s="906"/>
      <c r="BP236" s="906"/>
      <c r="BQ236" s="906"/>
      <c r="BR236" s="906"/>
      <c r="BS236" s="906"/>
      <c r="BT236" s="906"/>
      <c r="BU236" s="906"/>
      <c r="BV236" s="906"/>
      <c r="BW236" s="906"/>
      <c r="BX236" s="906"/>
      <c r="BY236" s="906"/>
      <c r="BZ236" s="906"/>
      <c r="CA236" s="906"/>
      <c r="CB236" s="906"/>
      <c r="CC236" s="906"/>
      <c r="CD236" s="906"/>
      <c r="CE236" s="906"/>
      <c r="CF236" s="906"/>
      <c r="CG236" s="906"/>
      <c r="CH236" s="906"/>
      <c r="CI236" s="906"/>
      <c r="CJ236" s="906"/>
      <c r="CK236" s="906"/>
      <c r="CL236" s="906"/>
      <c r="CM236" s="906"/>
      <c r="CN236" s="906"/>
      <c r="CO236" s="906"/>
      <c r="CP236" s="906"/>
      <c r="CQ236" s="906"/>
      <c r="CR236" s="906"/>
      <c r="CS236" s="906"/>
      <c r="CT236" s="906"/>
      <c r="CU236" s="906"/>
      <c r="CV236" s="906"/>
      <c r="CW236" s="906"/>
      <c r="CX236" s="906"/>
      <c r="CY236" s="906"/>
      <c r="CZ236" s="906"/>
      <c r="DA236" s="906"/>
      <c r="DB236" s="906"/>
      <c r="DC236" s="906"/>
      <c r="DD236" s="906"/>
      <c r="DE236" s="906"/>
      <c r="DF236" s="906"/>
      <c r="DG236" s="906"/>
      <c r="DH236" s="906"/>
      <c r="DI236" s="906"/>
      <c r="DJ236" s="906"/>
      <c r="DK236" s="906"/>
      <c r="DL236" s="906"/>
      <c r="DM236" s="906"/>
      <c r="DN236" s="906"/>
      <c r="DO236" s="906"/>
      <c r="DP236" s="906"/>
      <c r="DQ236" s="906"/>
      <c r="DR236" s="906"/>
      <c r="DS236" s="906"/>
    </row>
    <row r="237" spans="9:123" s="854" customFormat="1">
      <c r="I237" s="895"/>
      <c r="J237" s="895"/>
      <c r="R237" s="906"/>
      <c r="S237" s="906"/>
      <c r="T237" s="906"/>
      <c r="U237" s="906"/>
      <c r="V237" s="906"/>
      <c r="W237" s="906"/>
      <c r="X237" s="906"/>
      <c r="Y237" s="906"/>
      <c r="Z237" s="906"/>
      <c r="AA237" s="906"/>
      <c r="AB237" s="906"/>
      <c r="AC237" s="906"/>
      <c r="AD237" s="906"/>
      <c r="AE237" s="906"/>
      <c r="AF237" s="906"/>
      <c r="AG237" s="906"/>
      <c r="AH237" s="906"/>
      <c r="AI237" s="906"/>
      <c r="AJ237" s="906"/>
      <c r="AK237" s="906"/>
      <c r="AL237" s="906"/>
      <c r="AM237" s="906"/>
      <c r="AN237" s="906"/>
      <c r="AO237" s="906"/>
      <c r="AP237" s="906"/>
      <c r="AQ237" s="906"/>
      <c r="AR237" s="906"/>
      <c r="AS237" s="906"/>
      <c r="AT237" s="906"/>
      <c r="AU237" s="906"/>
      <c r="AV237" s="906"/>
      <c r="AW237" s="906"/>
      <c r="AX237" s="906"/>
      <c r="AY237" s="906"/>
      <c r="AZ237" s="906"/>
      <c r="BA237" s="906"/>
      <c r="BB237" s="906"/>
      <c r="BC237" s="906"/>
      <c r="BD237" s="906"/>
      <c r="BE237" s="906"/>
      <c r="BF237" s="906"/>
      <c r="BG237" s="906"/>
      <c r="BH237" s="906"/>
      <c r="BI237" s="906"/>
      <c r="BJ237" s="906"/>
      <c r="BK237" s="906"/>
      <c r="BL237" s="906"/>
      <c r="BM237" s="906"/>
      <c r="BN237" s="906"/>
      <c r="BO237" s="906"/>
      <c r="BP237" s="906"/>
      <c r="BQ237" s="906"/>
      <c r="BR237" s="906"/>
      <c r="BS237" s="906"/>
      <c r="BT237" s="906"/>
      <c r="BU237" s="906"/>
      <c r="BV237" s="906"/>
      <c r="BW237" s="906"/>
      <c r="BX237" s="906"/>
      <c r="BY237" s="906"/>
      <c r="BZ237" s="906"/>
      <c r="CA237" s="906"/>
      <c r="CB237" s="906"/>
      <c r="CC237" s="906"/>
      <c r="CD237" s="906"/>
      <c r="CE237" s="906"/>
      <c r="CF237" s="906"/>
      <c r="CG237" s="906"/>
      <c r="CH237" s="906"/>
      <c r="CI237" s="906"/>
      <c r="CJ237" s="906"/>
      <c r="CK237" s="906"/>
      <c r="CL237" s="906"/>
      <c r="CM237" s="906"/>
      <c r="CN237" s="906"/>
      <c r="CO237" s="906"/>
      <c r="CP237" s="906"/>
      <c r="CQ237" s="906"/>
      <c r="CR237" s="906"/>
      <c r="CS237" s="906"/>
      <c r="CT237" s="906"/>
      <c r="CU237" s="906"/>
      <c r="CV237" s="906"/>
      <c r="CW237" s="906"/>
      <c r="CX237" s="906"/>
      <c r="CY237" s="906"/>
      <c r="CZ237" s="906"/>
      <c r="DA237" s="906"/>
      <c r="DB237" s="906"/>
      <c r="DC237" s="906"/>
      <c r="DD237" s="906"/>
      <c r="DE237" s="906"/>
      <c r="DF237" s="906"/>
      <c r="DG237" s="906"/>
      <c r="DH237" s="906"/>
      <c r="DI237" s="906"/>
      <c r="DJ237" s="906"/>
      <c r="DK237" s="906"/>
      <c r="DL237" s="906"/>
      <c r="DM237" s="906"/>
      <c r="DN237" s="906"/>
      <c r="DO237" s="906"/>
      <c r="DP237" s="906"/>
      <c r="DQ237" s="906"/>
      <c r="DR237" s="906"/>
      <c r="DS237" s="906"/>
    </row>
    <row r="238" spans="9:123" s="854" customFormat="1">
      <c r="I238" s="895"/>
      <c r="J238" s="895"/>
      <c r="R238" s="906"/>
      <c r="S238" s="906"/>
      <c r="T238" s="906"/>
      <c r="U238" s="906"/>
      <c r="V238" s="906"/>
      <c r="W238" s="906"/>
      <c r="X238" s="906"/>
      <c r="Y238" s="906"/>
      <c r="Z238" s="906"/>
      <c r="AA238" s="906"/>
      <c r="AB238" s="906"/>
      <c r="AC238" s="906"/>
      <c r="AD238" s="906"/>
      <c r="AE238" s="906"/>
      <c r="AF238" s="906"/>
      <c r="AG238" s="906"/>
      <c r="AH238" s="906"/>
      <c r="AI238" s="906"/>
      <c r="AJ238" s="906"/>
      <c r="AK238" s="906"/>
      <c r="AL238" s="906"/>
      <c r="AM238" s="906"/>
      <c r="AN238" s="906"/>
      <c r="AO238" s="906"/>
      <c r="AP238" s="906"/>
      <c r="AQ238" s="906"/>
      <c r="AR238" s="906"/>
      <c r="AS238" s="906"/>
      <c r="AT238" s="906"/>
      <c r="AU238" s="906"/>
      <c r="AV238" s="906"/>
      <c r="AW238" s="906"/>
      <c r="AX238" s="906"/>
      <c r="AY238" s="906"/>
      <c r="AZ238" s="906"/>
      <c r="BA238" s="906"/>
      <c r="BB238" s="906"/>
      <c r="BC238" s="906"/>
      <c r="BD238" s="906"/>
      <c r="BE238" s="906"/>
      <c r="BF238" s="906"/>
      <c r="BG238" s="906"/>
      <c r="BH238" s="906"/>
      <c r="BI238" s="906"/>
      <c r="BJ238" s="906"/>
      <c r="BK238" s="906"/>
      <c r="BL238" s="906"/>
      <c r="BM238" s="906"/>
      <c r="BN238" s="906"/>
      <c r="BO238" s="906"/>
      <c r="BP238" s="906"/>
      <c r="BQ238" s="906"/>
      <c r="BR238" s="906"/>
      <c r="BS238" s="906"/>
      <c r="BT238" s="906"/>
      <c r="BU238" s="906"/>
      <c r="BV238" s="906"/>
      <c r="BW238" s="906"/>
      <c r="BX238" s="906"/>
      <c r="BY238" s="906"/>
      <c r="BZ238" s="906"/>
      <c r="CA238" s="906"/>
      <c r="CB238" s="906"/>
      <c r="CC238" s="906"/>
      <c r="CD238" s="906"/>
      <c r="CE238" s="906"/>
      <c r="CF238" s="906"/>
      <c r="CG238" s="906"/>
      <c r="CH238" s="906"/>
      <c r="CI238" s="906"/>
      <c r="CJ238" s="906"/>
      <c r="CK238" s="906"/>
      <c r="CL238" s="906"/>
      <c r="CM238" s="906"/>
      <c r="CN238" s="906"/>
      <c r="CO238" s="906"/>
      <c r="CP238" s="906"/>
      <c r="CQ238" s="906"/>
      <c r="CR238" s="906"/>
      <c r="CS238" s="906"/>
      <c r="CT238" s="906"/>
      <c r="CU238" s="906"/>
      <c r="CV238" s="906"/>
      <c r="CW238" s="906"/>
      <c r="CX238" s="906"/>
      <c r="CY238" s="906"/>
      <c r="CZ238" s="906"/>
      <c r="DA238" s="906"/>
      <c r="DB238" s="906"/>
      <c r="DC238" s="906"/>
      <c r="DD238" s="906"/>
      <c r="DE238" s="906"/>
      <c r="DF238" s="906"/>
      <c r="DG238" s="906"/>
      <c r="DH238" s="906"/>
      <c r="DI238" s="906"/>
      <c r="DJ238" s="906"/>
      <c r="DK238" s="906"/>
      <c r="DL238" s="906"/>
      <c r="DM238" s="906"/>
      <c r="DN238" s="906"/>
      <c r="DO238" s="906"/>
      <c r="DP238" s="906"/>
      <c r="DQ238" s="906"/>
      <c r="DR238" s="906"/>
      <c r="DS238" s="906"/>
    </row>
    <row r="239" spans="9:123" s="854" customFormat="1">
      <c r="I239" s="895"/>
      <c r="J239" s="895"/>
      <c r="R239" s="906"/>
      <c r="S239" s="906"/>
      <c r="T239" s="906"/>
      <c r="U239" s="906"/>
      <c r="V239" s="906"/>
      <c r="W239" s="906"/>
      <c r="X239" s="906"/>
      <c r="Y239" s="906"/>
      <c r="Z239" s="906"/>
      <c r="AA239" s="906"/>
      <c r="AB239" s="906"/>
      <c r="AC239" s="906"/>
      <c r="AD239" s="906"/>
      <c r="AE239" s="906"/>
      <c r="AF239" s="906"/>
      <c r="AG239" s="906"/>
      <c r="AH239" s="906"/>
      <c r="AI239" s="906"/>
      <c r="AJ239" s="906"/>
      <c r="AK239" s="906"/>
      <c r="AL239" s="906"/>
      <c r="AM239" s="906"/>
      <c r="AN239" s="906"/>
      <c r="AO239" s="906"/>
      <c r="AP239" s="906"/>
      <c r="AQ239" s="906"/>
      <c r="AR239" s="906"/>
      <c r="AS239" s="906"/>
      <c r="AT239" s="906"/>
      <c r="AU239" s="906"/>
      <c r="AV239" s="906"/>
      <c r="AW239" s="906"/>
      <c r="AX239" s="906"/>
      <c r="AY239" s="906"/>
      <c r="AZ239" s="906"/>
      <c r="BA239" s="906"/>
      <c r="BB239" s="906"/>
      <c r="BC239" s="906"/>
      <c r="BD239" s="906"/>
      <c r="BE239" s="906"/>
      <c r="BF239" s="906"/>
      <c r="BG239" s="906"/>
      <c r="BH239" s="906"/>
      <c r="BI239" s="906"/>
      <c r="BJ239" s="906"/>
      <c r="BK239" s="906"/>
      <c r="BL239" s="906"/>
      <c r="BM239" s="906"/>
      <c r="BN239" s="906"/>
      <c r="BO239" s="906"/>
      <c r="BP239" s="906"/>
      <c r="BQ239" s="906"/>
      <c r="BR239" s="906"/>
      <c r="BS239" s="906"/>
      <c r="BT239" s="906"/>
      <c r="BU239" s="906"/>
      <c r="BV239" s="906"/>
      <c r="BW239" s="906"/>
      <c r="BX239" s="906"/>
      <c r="BY239" s="906"/>
      <c r="BZ239" s="906"/>
      <c r="CA239" s="906"/>
      <c r="CB239" s="906"/>
      <c r="CC239" s="906"/>
      <c r="CD239" s="906"/>
      <c r="CE239" s="906"/>
      <c r="CF239" s="906"/>
      <c r="CG239" s="906"/>
      <c r="CH239" s="906"/>
      <c r="CI239" s="906"/>
      <c r="CJ239" s="906"/>
      <c r="CK239" s="906"/>
      <c r="CL239" s="906"/>
      <c r="CM239" s="906"/>
      <c r="CN239" s="906"/>
      <c r="CO239" s="906"/>
      <c r="CP239" s="906"/>
      <c r="CQ239" s="906"/>
      <c r="CR239" s="906"/>
      <c r="CS239" s="906"/>
      <c r="CT239" s="906"/>
      <c r="CU239" s="906"/>
      <c r="CV239" s="906"/>
      <c r="CW239" s="906"/>
      <c r="CX239" s="906"/>
      <c r="CY239" s="906"/>
      <c r="CZ239" s="906"/>
      <c r="DA239" s="906"/>
      <c r="DB239" s="906"/>
      <c r="DC239" s="906"/>
      <c r="DD239" s="906"/>
      <c r="DE239" s="906"/>
      <c r="DF239" s="906"/>
      <c r="DG239" s="906"/>
      <c r="DH239" s="906"/>
      <c r="DI239" s="906"/>
      <c r="DJ239" s="906"/>
      <c r="DK239" s="906"/>
      <c r="DL239" s="906"/>
      <c r="DM239" s="906"/>
      <c r="DN239" s="906"/>
      <c r="DO239" s="906"/>
      <c r="DP239" s="906"/>
      <c r="DQ239" s="906"/>
      <c r="DR239" s="906"/>
      <c r="DS239" s="906"/>
    </row>
    <row r="240" spans="9:123" s="854" customFormat="1">
      <c r="I240" s="895"/>
      <c r="J240" s="895"/>
      <c r="R240" s="906"/>
      <c r="S240" s="906"/>
      <c r="T240" s="906"/>
      <c r="U240" s="906"/>
      <c r="V240" s="906"/>
      <c r="W240" s="906"/>
      <c r="X240" s="906"/>
      <c r="Y240" s="906"/>
      <c r="Z240" s="906"/>
      <c r="AA240" s="906"/>
      <c r="AB240" s="906"/>
      <c r="AC240" s="906"/>
      <c r="AD240" s="906"/>
      <c r="AE240" s="906"/>
      <c r="AF240" s="906"/>
      <c r="AG240" s="906"/>
      <c r="AH240" s="906"/>
      <c r="AI240" s="906"/>
      <c r="AJ240" s="906"/>
      <c r="AK240" s="906"/>
      <c r="AL240" s="906"/>
      <c r="AM240" s="906"/>
      <c r="AN240" s="906"/>
      <c r="AO240" s="906"/>
      <c r="AP240" s="906"/>
      <c r="AQ240" s="906"/>
      <c r="AR240" s="906"/>
      <c r="AS240" s="906"/>
      <c r="AT240" s="906"/>
      <c r="AU240" s="906"/>
      <c r="AV240" s="906"/>
      <c r="AW240" s="906"/>
      <c r="AX240" s="906"/>
      <c r="AY240" s="906"/>
      <c r="AZ240" s="906"/>
      <c r="BA240" s="906"/>
      <c r="BB240" s="906"/>
      <c r="BC240" s="906"/>
      <c r="BD240" s="906"/>
      <c r="BE240" s="906"/>
      <c r="BF240" s="906"/>
      <c r="BG240" s="906"/>
      <c r="BH240" s="906"/>
      <c r="BI240" s="906"/>
      <c r="BJ240" s="906"/>
      <c r="BK240" s="906"/>
      <c r="BL240" s="906"/>
      <c r="BM240" s="906"/>
      <c r="BN240" s="906"/>
      <c r="BO240" s="906"/>
      <c r="BP240" s="906"/>
      <c r="BQ240" s="906"/>
      <c r="BR240" s="906"/>
      <c r="BS240" s="906"/>
      <c r="BT240" s="906"/>
      <c r="BU240" s="906"/>
      <c r="BV240" s="906"/>
      <c r="BW240" s="906"/>
      <c r="BX240" s="906"/>
      <c r="BY240" s="906"/>
      <c r="BZ240" s="906"/>
      <c r="CA240" s="906"/>
      <c r="CB240" s="906"/>
      <c r="CC240" s="906"/>
      <c r="CD240" s="906"/>
      <c r="CE240" s="906"/>
      <c r="CF240" s="906"/>
      <c r="CG240" s="906"/>
      <c r="CH240" s="906"/>
      <c r="CI240" s="906"/>
      <c r="CJ240" s="906"/>
      <c r="CK240" s="906"/>
      <c r="CL240" s="906"/>
      <c r="CM240" s="906"/>
      <c r="CN240" s="906"/>
      <c r="CO240" s="906"/>
      <c r="CP240" s="906"/>
      <c r="CQ240" s="906"/>
      <c r="CR240" s="906"/>
      <c r="CS240" s="906"/>
      <c r="CT240" s="906"/>
      <c r="CU240" s="906"/>
      <c r="CV240" s="906"/>
      <c r="CW240" s="906"/>
      <c r="CX240" s="906"/>
      <c r="CY240" s="906"/>
      <c r="CZ240" s="906"/>
      <c r="DA240" s="906"/>
      <c r="DB240" s="906"/>
      <c r="DC240" s="906"/>
      <c r="DD240" s="906"/>
      <c r="DE240" s="906"/>
      <c r="DF240" s="906"/>
      <c r="DG240" s="906"/>
      <c r="DH240" s="906"/>
      <c r="DI240" s="906"/>
      <c r="DJ240" s="906"/>
      <c r="DK240" s="906"/>
      <c r="DL240" s="906"/>
      <c r="DM240" s="906"/>
      <c r="DN240" s="906"/>
      <c r="DO240" s="906"/>
      <c r="DP240" s="906"/>
      <c r="DQ240" s="906"/>
      <c r="DR240" s="906"/>
      <c r="DS240" s="906"/>
    </row>
    <row r="241" spans="9:123" s="854" customFormat="1">
      <c r="I241" s="895"/>
      <c r="J241" s="895"/>
      <c r="R241" s="906"/>
      <c r="S241" s="906"/>
      <c r="T241" s="906"/>
      <c r="U241" s="906"/>
      <c r="V241" s="906"/>
      <c r="W241" s="906"/>
      <c r="X241" s="906"/>
      <c r="Y241" s="906"/>
      <c r="Z241" s="906"/>
      <c r="AA241" s="906"/>
      <c r="AB241" s="906"/>
      <c r="AC241" s="906"/>
      <c r="AD241" s="906"/>
      <c r="AE241" s="906"/>
      <c r="AF241" s="906"/>
      <c r="AG241" s="906"/>
      <c r="AH241" s="906"/>
      <c r="AI241" s="906"/>
      <c r="AJ241" s="906"/>
      <c r="AK241" s="906"/>
      <c r="AL241" s="906"/>
      <c r="AM241" s="906"/>
      <c r="AN241" s="906"/>
      <c r="AO241" s="906"/>
      <c r="AP241" s="906"/>
      <c r="AQ241" s="906"/>
      <c r="AR241" s="906"/>
      <c r="AS241" s="906"/>
      <c r="AT241" s="906"/>
      <c r="AU241" s="906"/>
      <c r="AV241" s="906"/>
      <c r="AW241" s="906"/>
      <c r="AX241" s="906"/>
      <c r="AY241" s="906"/>
      <c r="AZ241" s="906"/>
      <c r="BA241" s="906"/>
      <c r="BB241" s="906"/>
      <c r="BC241" s="906"/>
      <c r="BD241" s="906"/>
      <c r="BE241" s="906"/>
      <c r="BF241" s="906"/>
      <c r="BG241" s="906"/>
      <c r="BH241" s="906"/>
      <c r="BI241" s="906"/>
      <c r="BJ241" s="906"/>
      <c r="BK241" s="906"/>
      <c r="BL241" s="906"/>
      <c r="BM241" s="906"/>
      <c r="BN241" s="906"/>
      <c r="BO241" s="906"/>
      <c r="BP241" s="906"/>
      <c r="BQ241" s="906"/>
      <c r="BR241" s="906"/>
      <c r="BS241" s="906"/>
      <c r="BT241" s="906"/>
      <c r="BU241" s="906"/>
      <c r="BV241" s="906"/>
      <c r="BW241" s="906"/>
      <c r="BX241" s="906"/>
      <c r="BY241" s="906"/>
      <c r="BZ241" s="906"/>
      <c r="CA241" s="906"/>
      <c r="CB241" s="906"/>
      <c r="CC241" s="906"/>
      <c r="CD241" s="906"/>
      <c r="CE241" s="906"/>
      <c r="CF241" s="906"/>
      <c r="CG241" s="906"/>
      <c r="CH241" s="906"/>
      <c r="CI241" s="906"/>
      <c r="CJ241" s="906"/>
      <c r="CK241" s="906"/>
      <c r="CL241" s="906"/>
      <c r="CM241" s="906"/>
      <c r="CN241" s="906"/>
      <c r="CO241" s="906"/>
      <c r="CP241" s="906"/>
      <c r="CQ241" s="906"/>
      <c r="CR241" s="906"/>
      <c r="CS241" s="906"/>
      <c r="CT241" s="906"/>
      <c r="CU241" s="906"/>
      <c r="CV241" s="906"/>
      <c r="CW241" s="906"/>
      <c r="CX241" s="906"/>
      <c r="CY241" s="906"/>
      <c r="CZ241" s="906"/>
      <c r="DA241" s="906"/>
      <c r="DB241" s="906"/>
      <c r="DC241" s="906"/>
      <c r="DD241" s="906"/>
      <c r="DE241" s="906"/>
      <c r="DF241" s="906"/>
      <c r="DG241" s="906"/>
      <c r="DH241" s="906"/>
      <c r="DI241" s="906"/>
      <c r="DJ241" s="906"/>
      <c r="DK241" s="906"/>
      <c r="DL241" s="906"/>
      <c r="DM241" s="906"/>
      <c r="DN241" s="906"/>
      <c r="DO241" s="906"/>
      <c r="DP241" s="906"/>
      <c r="DQ241" s="906"/>
      <c r="DR241" s="906"/>
      <c r="DS241" s="906"/>
    </row>
    <row r="242" spans="9:123" s="854" customFormat="1">
      <c r="I242" s="895"/>
      <c r="J242" s="895"/>
      <c r="R242" s="906"/>
      <c r="S242" s="906"/>
      <c r="T242" s="906"/>
      <c r="U242" s="906"/>
      <c r="V242" s="906"/>
      <c r="W242" s="906"/>
      <c r="X242" s="906"/>
      <c r="Y242" s="906"/>
      <c r="Z242" s="906"/>
      <c r="AA242" s="906"/>
      <c r="AB242" s="906"/>
      <c r="AC242" s="906"/>
      <c r="AD242" s="906"/>
      <c r="AE242" s="906"/>
      <c r="AF242" s="906"/>
      <c r="AG242" s="906"/>
      <c r="AH242" s="906"/>
      <c r="AI242" s="906"/>
      <c r="AJ242" s="906"/>
      <c r="AK242" s="906"/>
      <c r="AL242" s="906"/>
      <c r="AM242" s="906"/>
      <c r="AN242" s="906"/>
      <c r="AO242" s="906"/>
      <c r="AP242" s="906"/>
      <c r="AQ242" s="906"/>
      <c r="AR242" s="906"/>
      <c r="AS242" s="906"/>
      <c r="AT242" s="906"/>
      <c r="AU242" s="906"/>
      <c r="AV242" s="906"/>
      <c r="AW242" s="906"/>
      <c r="AX242" s="906"/>
      <c r="AY242" s="906"/>
      <c r="AZ242" s="906"/>
      <c r="BA242" s="906"/>
      <c r="BB242" s="906"/>
      <c r="BC242" s="906"/>
      <c r="BD242" s="906"/>
      <c r="BE242" s="906"/>
      <c r="BF242" s="906"/>
      <c r="BG242" s="906"/>
      <c r="BH242" s="906"/>
      <c r="BI242" s="906"/>
      <c r="BJ242" s="906"/>
      <c r="BK242" s="906"/>
      <c r="BL242" s="906"/>
      <c r="BM242" s="906"/>
      <c r="BN242" s="906"/>
      <c r="BO242" s="906"/>
      <c r="BP242" s="906"/>
      <c r="BQ242" s="906"/>
      <c r="BR242" s="906"/>
      <c r="BS242" s="906"/>
      <c r="BT242" s="906"/>
      <c r="BU242" s="906"/>
      <c r="BV242" s="906"/>
      <c r="BW242" s="906"/>
      <c r="BX242" s="906"/>
      <c r="BY242" s="906"/>
      <c r="BZ242" s="906"/>
      <c r="CA242" s="906"/>
      <c r="CB242" s="906"/>
      <c r="CC242" s="906"/>
      <c r="CD242" s="906"/>
      <c r="CE242" s="906"/>
      <c r="CF242" s="906"/>
      <c r="CG242" s="906"/>
      <c r="CH242" s="906"/>
      <c r="CI242" s="906"/>
      <c r="CJ242" s="906"/>
      <c r="CK242" s="906"/>
      <c r="CL242" s="906"/>
      <c r="CM242" s="906"/>
      <c r="CN242" s="906"/>
      <c r="CO242" s="906"/>
      <c r="CP242" s="906"/>
      <c r="CQ242" s="906"/>
      <c r="CR242" s="906"/>
      <c r="CS242" s="906"/>
      <c r="CT242" s="906"/>
      <c r="CU242" s="906"/>
      <c r="CV242" s="906"/>
      <c r="CW242" s="906"/>
      <c r="CX242" s="906"/>
      <c r="CY242" s="906"/>
      <c r="CZ242" s="906"/>
      <c r="DA242" s="906"/>
      <c r="DB242" s="906"/>
      <c r="DC242" s="906"/>
      <c r="DD242" s="906"/>
      <c r="DE242" s="906"/>
      <c r="DF242" s="906"/>
      <c r="DG242" s="906"/>
      <c r="DH242" s="906"/>
      <c r="DI242" s="906"/>
      <c r="DJ242" s="906"/>
      <c r="DK242" s="906"/>
      <c r="DL242" s="906"/>
      <c r="DM242" s="906"/>
      <c r="DN242" s="906"/>
      <c r="DO242" s="906"/>
      <c r="DP242" s="906"/>
      <c r="DQ242" s="906"/>
      <c r="DR242" s="906"/>
      <c r="DS242" s="906"/>
    </row>
    <row r="243" spans="9:123" s="854" customFormat="1">
      <c r="I243" s="895"/>
      <c r="J243" s="895"/>
      <c r="R243" s="906"/>
      <c r="S243" s="906"/>
      <c r="T243" s="906"/>
      <c r="U243" s="906"/>
      <c r="V243" s="906"/>
      <c r="W243" s="906"/>
      <c r="X243" s="906"/>
      <c r="Y243" s="906"/>
      <c r="Z243" s="906"/>
      <c r="AA243" s="906"/>
      <c r="AB243" s="906"/>
      <c r="AC243" s="906"/>
      <c r="AD243" s="906"/>
      <c r="AE243" s="906"/>
      <c r="AF243" s="906"/>
      <c r="AG243" s="906"/>
      <c r="AH243" s="906"/>
      <c r="AI243" s="906"/>
      <c r="AJ243" s="906"/>
      <c r="AK243" s="906"/>
      <c r="AL243" s="906"/>
      <c r="AM243" s="906"/>
      <c r="AN243" s="906"/>
      <c r="AO243" s="906"/>
      <c r="AP243" s="906"/>
      <c r="AQ243" s="906"/>
      <c r="AR243" s="906"/>
      <c r="AS243" s="906"/>
      <c r="AT243" s="906"/>
      <c r="AU243" s="906"/>
      <c r="AV243" s="906"/>
      <c r="AW243" s="906"/>
      <c r="AX243" s="906"/>
      <c r="AY243" s="906"/>
      <c r="AZ243" s="906"/>
      <c r="BA243" s="906"/>
      <c r="BB243" s="906"/>
      <c r="BC243" s="906"/>
      <c r="BD243" s="906"/>
      <c r="BE243" s="906"/>
      <c r="BF243" s="906"/>
      <c r="BG243" s="906"/>
      <c r="BH243" s="906"/>
      <c r="BI243" s="906"/>
      <c r="BJ243" s="906"/>
      <c r="BK243" s="906"/>
      <c r="BL243" s="906"/>
      <c r="BM243" s="906"/>
      <c r="BN243" s="906"/>
      <c r="BO243" s="906"/>
      <c r="BP243" s="906"/>
      <c r="BQ243" s="906"/>
      <c r="BR243" s="906"/>
      <c r="BS243" s="906"/>
      <c r="BT243" s="906"/>
      <c r="BU243" s="906"/>
      <c r="BV243" s="906"/>
      <c r="BW243" s="906"/>
      <c r="BX243" s="906"/>
      <c r="BY243" s="906"/>
      <c r="BZ243" s="906"/>
      <c r="CA243" s="906"/>
      <c r="CB243" s="906"/>
      <c r="CC243" s="906"/>
      <c r="CD243" s="906"/>
      <c r="CE243" s="906"/>
      <c r="CF243" s="906"/>
      <c r="CG243" s="906"/>
      <c r="CH243" s="906"/>
      <c r="CI243" s="906"/>
      <c r="CJ243" s="906"/>
      <c r="CK243" s="906"/>
      <c r="CL243" s="906"/>
      <c r="CM243" s="906"/>
      <c r="CN243" s="906"/>
      <c r="CO243" s="906"/>
      <c r="CP243" s="906"/>
      <c r="CQ243" s="906"/>
      <c r="CR243" s="906"/>
      <c r="CS243" s="906"/>
      <c r="CT243" s="906"/>
      <c r="CU243" s="906"/>
      <c r="CV243" s="906"/>
      <c r="CW243" s="906"/>
      <c r="CX243" s="906"/>
      <c r="CY243" s="906"/>
      <c r="CZ243" s="906"/>
      <c r="DA243" s="906"/>
      <c r="DB243" s="906"/>
      <c r="DC243" s="906"/>
      <c r="DD243" s="906"/>
      <c r="DE243" s="906"/>
      <c r="DF243" s="906"/>
      <c r="DG243" s="906"/>
      <c r="DH243" s="906"/>
      <c r="DI243" s="906"/>
      <c r="DJ243" s="906"/>
      <c r="DK243" s="906"/>
      <c r="DL243" s="906"/>
      <c r="DM243" s="906"/>
      <c r="DN243" s="906"/>
      <c r="DO243" s="906"/>
      <c r="DP243" s="906"/>
      <c r="DQ243" s="906"/>
      <c r="DR243" s="906"/>
      <c r="DS243" s="906"/>
    </row>
    <row r="244" spans="9:123" s="854" customFormat="1">
      <c r="I244" s="895"/>
      <c r="J244" s="895"/>
      <c r="R244" s="906"/>
      <c r="S244" s="906"/>
      <c r="T244" s="906"/>
      <c r="U244" s="906"/>
      <c r="V244" s="906"/>
      <c r="W244" s="906"/>
      <c r="X244" s="906"/>
      <c r="Y244" s="906"/>
      <c r="Z244" s="906"/>
      <c r="AA244" s="906"/>
      <c r="AB244" s="906"/>
      <c r="AC244" s="906"/>
      <c r="AD244" s="906"/>
      <c r="AE244" s="906"/>
      <c r="AF244" s="906"/>
      <c r="AG244" s="906"/>
      <c r="AH244" s="906"/>
      <c r="AI244" s="906"/>
      <c r="AJ244" s="906"/>
      <c r="AK244" s="906"/>
      <c r="AL244" s="906"/>
      <c r="AM244" s="906"/>
      <c r="AN244" s="906"/>
      <c r="AO244" s="906"/>
      <c r="AP244" s="906"/>
      <c r="AQ244" s="906"/>
      <c r="AR244" s="906"/>
      <c r="AS244" s="906"/>
      <c r="AT244" s="906"/>
      <c r="AU244" s="906"/>
      <c r="AV244" s="906"/>
      <c r="AW244" s="906"/>
      <c r="AX244" s="906"/>
      <c r="AY244" s="906"/>
      <c r="AZ244" s="906"/>
      <c r="BA244" s="906"/>
      <c r="BB244" s="906"/>
      <c r="BC244" s="906"/>
      <c r="BD244" s="906"/>
      <c r="BE244" s="906"/>
      <c r="BF244" s="906"/>
      <c r="BG244" s="906"/>
      <c r="BH244" s="906"/>
      <c r="BI244" s="906"/>
      <c r="BJ244" s="906"/>
      <c r="BK244" s="906"/>
      <c r="BL244" s="906"/>
      <c r="BM244" s="906"/>
      <c r="BN244" s="906"/>
      <c r="BO244" s="906"/>
      <c r="BP244" s="906"/>
      <c r="BQ244" s="906"/>
      <c r="BR244" s="906"/>
      <c r="BS244" s="906"/>
      <c r="BT244" s="906"/>
      <c r="BU244" s="906"/>
      <c r="BV244" s="906"/>
      <c r="BW244" s="906"/>
      <c r="BX244" s="906"/>
      <c r="BY244" s="906"/>
      <c r="BZ244" s="906"/>
      <c r="CA244" s="906"/>
      <c r="CB244" s="906"/>
      <c r="CC244" s="906"/>
      <c r="CD244" s="906"/>
      <c r="CE244" s="906"/>
      <c r="CF244" s="906"/>
      <c r="CG244" s="906"/>
      <c r="CH244" s="906"/>
      <c r="CI244" s="906"/>
      <c r="CJ244" s="906"/>
      <c r="CK244" s="906"/>
      <c r="CL244" s="906"/>
      <c r="CM244" s="906"/>
      <c r="CN244" s="906"/>
      <c r="CO244" s="906"/>
      <c r="CP244" s="906"/>
      <c r="CQ244" s="906"/>
      <c r="CR244" s="906"/>
      <c r="CS244" s="906"/>
      <c r="CT244" s="906"/>
      <c r="CU244" s="906"/>
      <c r="CV244" s="906"/>
      <c r="CW244" s="906"/>
      <c r="CX244" s="906"/>
      <c r="CY244" s="906"/>
      <c r="CZ244" s="906"/>
      <c r="DA244" s="906"/>
      <c r="DB244" s="906"/>
      <c r="DC244" s="906"/>
      <c r="DD244" s="906"/>
      <c r="DE244" s="906"/>
      <c r="DF244" s="906"/>
      <c r="DG244" s="906"/>
      <c r="DH244" s="906"/>
      <c r="DI244" s="906"/>
      <c r="DJ244" s="906"/>
      <c r="DK244" s="906"/>
      <c r="DL244" s="906"/>
      <c r="DM244" s="906"/>
      <c r="DN244" s="906"/>
      <c r="DO244" s="906"/>
      <c r="DP244" s="906"/>
      <c r="DQ244" s="906"/>
      <c r="DR244" s="906"/>
      <c r="DS244" s="906"/>
    </row>
    <row r="245" spans="9:123" s="854" customFormat="1">
      <c r="I245" s="895"/>
      <c r="J245" s="895"/>
      <c r="R245" s="906"/>
      <c r="S245" s="906"/>
      <c r="T245" s="906"/>
      <c r="U245" s="906"/>
      <c r="V245" s="906"/>
      <c r="W245" s="906"/>
      <c r="X245" s="906"/>
      <c r="Y245" s="906"/>
      <c r="Z245" s="906"/>
      <c r="AA245" s="906"/>
      <c r="AB245" s="906"/>
      <c r="AC245" s="906"/>
      <c r="AD245" s="906"/>
      <c r="AE245" s="906"/>
      <c r="AF245" s="906"/>
      <c r="AG245" s="906"/>
      <c r="AH245" s="906"/>
      <c r="AI245" s="906"/>
      <c r="AJ245" s="906"/>
      <c r="AK245" s="906"/>
      <c r="AL245" s="906"/>
      <c r="AM245" s="906"/>
      <c r="AN245" s="906"/>
      <c r="AO245" s="906"/>
      <c r="AP245" s="906"/>
      <c r="AQ245" s="906"/>
      <c r="AR245" s="906"/>
      <c r="AS245" s="906"/>
      <c r="AT245" s="906"/>
      <c r="AU245" s="906"/>
      <c r="AV245" s="906"/>
      <c r="AW245" s="906"/>
      <c r="AX245" s="906"/>
      <c r="AY245" s="906"/>
      <c r="AZ245" s="906"/>
      <c r="BA245" s="906"/>
      <c r="BB245" s="906"/>
      <c r="BC245" s="906"/>
      <c r="BD245" s="906"/>
      <c r="BE245" s="906"/>
      <c r="BF245" s="906"/>
      <c r="BG245" s="906"/>
      <c r="BH245" s="906"/>
      <c r="BI245" s="906"/>
      <c r="BJ245" s="906"/>
      <c r="BK245" s="906"/>
      <c r="BL245" s="906"/>
      <c r="BM245" s="906"/>
      <c r="BN245" s="906"/>
      <c r="BO245" s="906"/>
      <c r="BP245" s="906"/>
      <c r="BQ245" s="906"/>
      <c r="BR245" s="906"/>
      <c r="BS245" s="906"/>
      <c r="BT245" s="906"/>
      <c r="BU245" s="906"/>
      <c r="BV245" s="906"/>
      <c r="BW245" s="906"/>
      <c r="BX245" s="906"/>
      <c r="BY245" s="906"/>
      <c r="BZ245" s="906"/>
      <c r="CA245" s="906"/>
      <c r="CB245" s="906"/>
      <c r="CC245" s="906"/>
      <c r="CD245" s="906"/>
      <c r="CE245" s="906"/>
      <c r="CF245" s="906"/>
      <c r="CG245" s="906"/>
      <c r="CH245" s="906"/>
      <c r="CI245" s="906"/>
      <c r="CJ245" s="906"/>
      <c r="CK245" s="906"/>
      <c r="CL245" s="906"/>
      <c r="CM245" s="906"/>
      <c r="CN245" s="906"/>
      <c r="CO245" s="906"/>
      <c r="CP245" s="906"/>
      <c r="CQ245" s="906"/>
      <c r="CR245" s="906"/>
      <c r="CS245" s="906"/>
      <c r="CT245" s="906"/>
      <c r="CU245" s="906"/>
      <c r="CV245" s="906"/>
      <c r="CW245" s="906"/>
      <c r="CX245" s="906"/>
      <c r="CY245" s="906"/>
      <c r="CZ245" s="906"/>
      <c r="DA245" s="906"/>
      <c r="DB245" s="906"/>
      <c r="DC245" s="906"/>
      <c r="DD245" s="906"/>
      <c r="DE245" s="906"/>
      <c r="DF245" s="906"/>
      <c r="DG245" s="906"/>
      <c r="DH245" s="906"/>
      <c r="DI245" s="906"/>
      <c r="DJ245" s="906"/>
      <c r="DK245" s="906"/>
      <c r="DL245" s="906"/>
      <c r="DM245" s="906"/>
      <c r="DN245" s="906"/>
      <c r="DO245" s="906"/>
      <c r="DP245" s="906"/>
      <c r="DQ245" s="906"/>
      <c r="DR245" s="906"/>
      <c r="DS245" s="906"/>
    </row>
    <row r="246" spans="9:123" s="854" customFormat="1">
      <c r="I246" s="895"/>
      <c r="J246" s="895"/>
      <c r="R246" s="906"/>
      <c r="S246" s="906"/>
      <c r="T246" s="906"/>
      <c r="U246" s="906"/>
      <c r="V246" s="906"/>
      <c r="W246" s="906"/>
      <c r="X246" s="906"/>
      <c r="Y246" s="906"/>
      <c r="Z246" s="906"/>
      <c r="AA246" s="906"/>
      <c r="AB246" s="906"/>
      <c r="AC246" s="906"/>
      <c r="AD246" s="906"/>
      <c r="AE246" s="906"/>
      <c r="AF246" s="906"/>
      <c r="AG246" s="906"/>
      <c r="AH246" s="906"/>
      <c r="AI246" s="906"/>
      <c r="AJ246" s="906"/>
      <c r="AK246" s="906"/>
      <c r="AL246" s="906"/>
      <c r="AM246" s="906"/>
      <c r="AN246" s="906"/>
      <c r="AO246" s="906"/>
      <c r="AP246" s="906"/>
      <c r="AQ246" s="906"/>
      <c r="AR246" s="906"/>
      <c r="AS246" s="906"/>
      <c r="AT246" s="906"/>
      <c r="AU246" s="906"/>
      <c r="AV246" s="906"/>
      <c r="AW246" s="906"/>
      <c r="AX246" s="906"/>
      <c r="AY246" s="906"/>
      <c r="AZ246" s="906"/>
      <c r="BA246" s="906"/>
      <c r="BB246" s="906"/>
      <c r="BC246" s="906"/>
      <c r="BD246" s="906"/>
      <c r="BE246" s="906"/>
      <c r="BF246" s="906"/>
      <c r="BG246" s="906"/>
      <c r="BH246" s="906"/>
      <c r="BI246" s="906"/>
      <c r="BJ246" s="906"/>
      <c r="BK246" s="906"/>
      <c r="BL246" s="906"/>
      <c r="BM246" s="906"/>
      <c r="BN246" s="906"/>
      <c r="BO246" s="906"/>
      <c r="BP246" s="906"/>
      <c r="BQ246" s="906"/>
      <c r="BR246" s="906"/>
      <c r="BS246" s="906"/>
      <c r="BT246" s="906"/>
      <c r="BU246" s="906"/>
      <c r="BV246" s="906"/>
      <c r="BW246" s="906"/>
      <c r="BX246" s="906"/>
      <c r="BY246" s="906"/>
      <c r="BZ246" s="906"/>
      <c r="CA246" s="906"/>
      <c r="CB246" s="906"/>
      <c r="CC246" s="906"/>
      <c r="CD246" s="906"/>
      <c r="CE246" s="906"/>
      <c r="CF246" s="906"/>
      <c r="CG246" s="906"/>
      <c r="CH246" s="906"/>
      <c r="CI246" s="906"/>
      <c r="CJ246" s="906"/>
      <c r="CK246" s="906"/>
      <c r="CL246" s="906"/>
      <c r="CM246" s="906"/>
      <c r="CN246" s="906"/>
      <c r="CO246" s="906"/>
      <c r="CP246" s="906"/>
      <c r="CQ246" s="906"/>
      <c r="CR246" s="906"/>
      <c r="CS246" s="906"/>
      <c r="CT246" s="906"/>
      <c r="CU246" s="906"/>
      <c r="CV246" s="906"/>
      <c r="CW246" s="906"/>
      <c r="CX246" s="906"/>
      <c r="CY246" s="906"/>
      <c r="CZ246" s="906"/>
      <c r="DA246" s="906"/>
      <c r="DB246" s="906"/>
      <c r="DC246" s="906"/>
      <c r="DD246" s="906"/>
      <c r="DE246" s="906"/>
      <c r="DF246" s="906"/>
      <c r="DG246" s="906"/>
      <c r="DH246" s="906"/>
      <c r="DI246" s="906"/>
      <c r="DJ246" s="906"/>
      <c r="DK246" s="906"/>
      <c r="DL246" s="906"/>
      <c r="DM246" s="906"/>
      <c r="DN246" s="906"/>
      <c r="DO246" s="906"/>
      <c r="DP246" s="906"/>
      <c r="DQ246" s="906"/>
      <c r="DR246" s="906"/>
      <c r="DS246" s="906"/>
    </row>
    <row r="247" spans="9:123" s="854" customFormat="1">
      <c r="I247" s="895"/>
      <c r="J247" s="895"/>
      <c r="R247" s="906"/>
      <c r="S247" s="906"/>
      <c r="T247" s="906"/>
      <c r="U247" s="906"/>
      <c r="V247" s="906"/>
      <c r="W247" s="906"/>
      <c r="X247" s="906"/>
      <c r="Y247" s="906"/>
      <c r="Z247" s="906"/>
      <c r="AA247" s="906"/>
      <c r="AB247" s="906"/>
      <c r="AC247" s="906"/>
      <c r="AD247" s="906"/>
      <c r="AE247" s="906"/>
      <c r="AF247" s="906"/>
      <c r="AG247" s="906"/>
      <c r="AH247" s="906"/>
      <c r="AI247" s="906"/>
      <c r="AJ247" s="906"/>
      <c r="AK247" s="906"/>
      <c r="AL247" s="906"/>
      <c r="AM247" s="906"/>
      <c r="AN247" s="906"/>
      <c r="AO247" s="906"/>
      <c r="AP247" s="906"/>
      <c r="AQ247" s="906"/>
      <c r="AR247" s="906"/>
      <c r="AS247" s="906"/>
      <c r="AT247" s="906"/>
      <c r="AU247" s="906"/>
      <c r="AV247" s="906"/>
      <c r="AW247" s="906"/>
      <c r="AX247" s="906"/>
      <c r="AY247" s="906"/>
      <c r="AZ247" s="906"/>
      <c r="BA247" s="906"/>
      <c r="BB247" s="906"/>
      <c r="BC247" s="906"/>
      <c r="BD247" s="906"/>
      <c r="BE247" s="906"/>
      <c r="BF247" s="906"/>
      <c r="BG247" s="906"/>
      <c r="BH247" s="906"/>
      <c r="BI247" s="906"/>
      <c r="BJ247" s="906"/>
      <c r="BK247" s="906"/>
      <c r="BL247" s="906"/>
      <c r="BM247" s="906"/>
      <c r="BN247" s="906"/>
      <c r="BO247" s="906"/>
      <c r="BP247" s="906"/>
      <c r="BQ247" s="906"/>
      <c r="BR247" s="906"/>
      <c r="BS247" s="906"/>
      <c r="BT247" s="906"/>
      <c r="BU247" s="906"/>
      <c r="BV247" s="906"/>
      <c r="BW247" s="906"/>
      <c r="BX247" s="906"/>
      <c r="BY247" s="906"/>
      <c r="BZ247" s="906"/>
      <c r="CA247" s="906"/>
      <c r="CB247" s="906"/>
      <c r="CC247" s="906"/>
      <c r="CD247" s="906"/>
      <c r="CE247" s="906"/>
      <c r="CF247" s="906"/>
      <c r="CG247" s="906"/>
      <c r="CH247" s="906"/>
      <c r="CI247" s="906"/>
      <c r="CJ247" s="906"/>
      <c r="CK247" s="906"/>
      <c r="CL247" s="906"/>
      <c r="CM247" s="906"/>
      <c r="CN247" s="906"/>
      <c r="CO247" s="906"/>
      <c r="CP247" s="906"/>
      <c r="CQ247" s="906"/>
      <c r="CR247" s="906"/>
      <c r="CS247" s="906"/>
      <c r="CT247" s="906"/>
      <c r="CU247" s="906"/>
      <c r="CV247" s="906"/>
      <c r="CW247" s="906"/>
      <c r="CX247" s="906"/>
      <c r="CY247" s="906"/>
      <c r="CZ247" s="906"/>
      <c r="DA247" s="906"/>
      <c r="DB247" s="906"/>
      <c r="DC247" s="906"/>
      <c r="DD247" s="906"/>
      <c r="DE247" s="906"/>
      <c r="DF247" s="906"/>
      <c r="DG247" s="906"/>
      <c r="DH247" s="906"/>
      <c r="DI247" s="906"/>
      <c r="DJ247" s="906"/>
      <c r="DK247" s="906"/>
      <c r="DL247" s="906"/>
      <c r="DM247" s="906"/>
      <c r="DN247" s="906"/>
      <c r="DO247" s="906"/>
      <c r="DP247" s="906"/>
      <c r="DQ247" s="906"/>
      <c r="DR247" s="906"/>
      <c r="DS247" s="906"/>
    </row>
    <row r="248" spans="9:123" s="854" customFormat="1">
      <c r="I248" s="895"/>
      <c r="J248" s="895"/>
      <c r="R248" s="906"/>
      <c r="S248" s="906"/>
      <c r="T248" s="906"/>
      <c r="U248" s="906"/>
      <c r="V248" s="906"/>
      <c r="W248" s="906"/>
      <c r="X248" s="906"/>
      <c r="Y248" s="906"/>
      <c r="Z248" s="906"/>
      <c r="AA248" s="906"/>
      <c r="AB248" s="906"/>
      <c r="AC248" s="906"/>
      <c r="AD248" s="906"/>
      <c r="AE248" s="906"/>
      <c r="AF248" s="906"/>
      <c r="AG248" s="906"/>
      <c r="AH248" s="906"/>
      <c r="AI248" s="906"/>
      <c r="AJ248" s="906"/>
      <c r="AK248" s="906"/>
      <c r="AL248" s="906"/>
      <c r="AM248" s="906"/>
      <c r="AN248" s="906"/>
      <c r="AO248" s="906"/>
      <c r="AP248" s="906"/>
      <c r="AQ248" s="906"/>
      <c r="AR248" s="906"/>
      <c r="AS248" s="906"/>
      <c r="AT248" s="906"/>
      <c r="AU248" s="906"/>
      <c r="AV248" s="906"/>
      <c r="AW248" s="906"/>
      <c r="AX248" s="906"/>
      <c r="AY248" s="906"/>
      <c r="AZ248" s="906"/>
      <c r="BA248" s="906"/>
      <c r="BB248" s="906"/>
      <c r="BC248" s="906"/>
      <c r="BD248" s="906"/>
      <c r="BE248" s="906"/>
      <c r="BF248" s="906"/>
      <c r="BG248" s="906"/>
      <c r="BH248" s="906"/>
      <c r="BI248" s="906"/>
      <c r="BJ248" s="906"/>
      <c r="BK248" s="906"/>
      <c r="BL248" s="906"/>
      <c r="BM248" s="906"/>
      <c r="BN248" s="906"/>
      <c r="BO248" s="906"/>
      <c r="BP248" s="906"/>
      <c r="BQ248" s="906"/>
      <c r="BR248" s="906"/>
      <c r="BS248" s="906"/>
      <c r="BT248" s="906"/>
      <c r="BU248" s="906"/>
      <c r="BV248" s="906"/>
      <c r="BW248" s="906"/>
      <c r="BX248" s="906"/>
      <c r="BY248" s="906"/>
      <c r="BZ248" s="906"/>
      <c r="CA248" s="906"/>
      <c r="CB248" s="906"/>
      <c r="CC248" s="906"/>
      <c r="CD248" s="906"/>
      <c r="CE248" s="906"/>
      <c r="CF248" s="906"/>
      <c r="CG248" s="906"/>
      <c r="CH248" s="906"/>
      <c r="CI248" s="906"/>
      <c r="CJ248" s="906"/>
      <c r="CK248" s="906"/>
      <c r="CL248" s="906"/>
      <c r="CM248" s="906"/>
      <c r="CN248" s="906"/>
      <c r="CO248" s="906"/>
      <c r="CP248" s="906"/>
      <c r="CQ248" s="906"/>
      <c r="CR248" s="906"/>
      <c r="CS248" s="906"/>
      <c r="CT248" s="906"/>
      <c r="CU248" s="906"/>
      <c r="CV248" s="906"/>
      <c r="CW248" s="906"/>
      <c r="CX248" s="906"/>
      <c r="CY248" s="906"/>
      <c r="CZ248" s="906"/>
      <c r="DA248" s="906"/>
      <c r="DB248" s="906"/>
      <c r="DC248" s="906"/>
      <c r="DD248" s="906"/>
      <c r="DE248" s="906"/>
      <c r="DF248" s="906"/>
      <c r="DG248" s="906"/>
      <c r="DH248" s="906"/>
      <c r="DI248" s="906"/>
      <c r="DJ248" s="906"/>
      <c r="DK248" s="906"/>
      <c r="DL248" s="906"/>
      <c r="DM248" s="906"/>
      <c r="DN248" s="906"/>
      <c r="DO248" s="906"/>
      <c r="DP248" s="906"/>
      <c r="DQ248" s="906"/>
      <c r="DR248" s="906"/>
      <c r="DS248" s="906"/>
    </row>
    <row r="249" spans="9:123" s="854" customFormat="1">
      <c r="I249" s="895"/>
      <c r="J249" s="895"/>
      <c r="R249" s="906"/>
      <c r="S249" s="906"/>
      <c r="T249" s="906"/>
      <c r="U249" s="906"/>
      <c r="V249" s="906"/>
      <c r="W249" s="906"/>
      <c r="X249" s="906"/>
      <c r="Y249" s="906"/>
      <c r="Z249" s="906"/>
      <c r="AA249" s="906"/>
      <c r="AB249" s="906"/>
      <c r="AC249" s="906"/>
      <c r="AD249" s="906"/>
      <c r="AE249" s="906"/>
      <c r="AF249" s="906"/>
      <c r="AG249" s="906"/>
      <c r="AH249" s="906"/>
      <c r="AI249" s="906"/>
      <c r="AJ249" s="906"/>
      <c r="AK249" s="906"/>
      <c r="AL249" s="906"/>
      <c r="AM249" s="906"/>
      <c r="AN249" s="906"/>
      <c r="AO249" s="906"/>
      <c r="AP249" s="906"/>
      <c r="AQ249" s="906"/>
      <c r="AR249" s="906"/>
      <c r="AS249" s="906"/>
      <c r="AT249" s="906"/>
      <c r="AU249" s="906"/>
      <c r="AV249" s="906"/>
      <c r="AW249" s="906"/>
      <c r="AX249" s="906"/>
      <c r="AY249" s="906"/>
      <c r="AZ249" s="906"/>
      <c r="BA249" s="906"/>
      <c r="BB249" s="906"/>
      <c r="BC249" s="906"/>
      <c r="BD249" s="906"/>
      <c r="BE249" s="906"/>
      <c r="BF249" s="906"/>
      <c r="BG249" s="906"/>
      <c r="BH249" s="906"/>
      <c r="BI249" s="906"/>
      <c r="BJ249" s="906"/>
      <c r="BK249" s="906"/>
      <c r="BL249" s="906"/>
      <c r="BM249" s="906"/>
      <c r="BN249" s="906"/>
      <c r="BO249" s="906"/>
      <c r="BP249" s="906"/>
      <c r="BQ249" s="906"/>
      <c r="BR249" s="906"/>
      <c r="BS249" s="906"/>
      <c r="BT249" s="906"/>
      <c r="BU249" s="906"/>
      <c r="BV249" s="906"/>
      <c r="BW249" s="906"/>
      <c r="BX249" s="906"/>
      <c r="BY249" s="906"/>
      <c r="BZ249" s="906"/>
      <c r="CA249" s="906"/>
      <c r="CB249" s="906"/>
      <c r="CC249" s="906"/>
      <c r="CD249" s="906"/>
      <c r="CE249" s="906"/>
      <c r="CF249" s="906"/>
      <c r="CG249" s="906"/>
      <c r="CH249" s="906"/>
      <c r="CI249" s="906"/>
      <c r="CJ249" s="906"/>
      <c r="CK249" s="906"/>
      <c r="CL249" s="906"/>
      <c r="CM249" s="906"/>
      <c r="CN249" s="906"/>
      <c r="CO249" s="906"/>
      <c r="CP249" s="906"/>
      <c r="CQ249" s="906"/>
      <c r="CR249" s="906"/>
      <c r="CS249" s="906"/>
      <c r="CT249" s="906"/>
      <c r="CU249" s="906"/>
      <c r="CV249" s="906"/>
      <c r="CW249" s="906"/>
      <c r="CX249" s="906"/>
      <c r="CY249" s="906"/>
      <c r="CZ249" s="906"/>
      <c r="DA249" s="906"/>
      <c r="DB249" s="906"/>
      <c r="DC249" s="906"/>
      <c r="DD249" s="906"/>
      <c r="DE249" s="906"/>
      <c r="DF249" s="906"/>
      <c r="DG249" s="906"/>
      <c r="DH249" s="906"/>
      <c r="DI249" s="906"/>
      <c r="DJ249" s="906"/>
      <c r="DK249" s="906"/>
      <c r="DL249" s="906"/>
      <c r="DM249" s="906"/>
      <c r="DN249" s="906"/>
      <c r="DO249" s="906"/>
      <c r="DP249" s="906"/>
      <c r="DQ249" s="906"/>
      <c r="DR249" s="906"/>
      <c r="DS249" s="906"/>
    </row>
    <row r="250" spans="9:123" s="854" customFormat="1">
      <c r="I250" s="895"/>
      <c r="J250" s="895"/>
      <c r="R250" s="906"/>
      <c r="S250" s="906"/>
      <c r="T250" s="906"/>
      <c r="U250" s="906"/>
      <c r="V250" s="906"/>
      <c r="W250" s="906"/>
      <c r="X250" s="906"/>
      <c r="Y250" s="906"/>
      <c r="Z250" s="906"/>
      <c r="AA250" s="906"/>
      <c r="AB250" s="906"/>
      <c r="AC250" s="906"/>
      <c r="AD250" s="906"/>
      <c r="AE250" s="906"/>
      <c r="AF250" s="906"/>
      <c r="AG250" s="906"/>
      <c r="AH250" s="906"/>
      <c r="AI250" s="906"/>
      <c r="AJ250" s="906"/>
      <c r="AK250" s="906"/>
      <c r="AL250" s="906"/>
      <c r="AM250" s="906"/>
      <c r="AN250" s="906"/>
      <c r="AO250" s="906"/>
      <c r="AP250" s="906"/>
      <c r="AQ250" s="906"/>
      <c r="AR250" s="906"/>
      <c r="AS250" s="906"/>
      <c r="AT250" s="906"/>
      <c r="AU250" s="906"/>
      <c r="AV250" s="906"/>
      <c r="AW250" s="906"/>
      <c r="AX250" s="906"/>
      <c r="AY250" s="906"/>
      <c r="AZ250" s="906"/>
      <c r="BA250" s="906"/>
      <c r="BB250" s="906"/>
      <c r="BC250" s="906"/>
      <c r="BD250" s="906"/>
      <c r="BE250" s="906"/>
      <c r="BF250" s="906"/>
      <c r="BG250" s="906"/>
      <c r="BH250" s="906"/>
      <c r="BI250" s="906"/>
      <c r="BJ250" s="906"/>
      <c r="BK250" s="906"/>
      <c r="BL250" s="906"/>
      <c r="BM250" s="906"/>
      <c r="BN250" s="906"/>
      <c r="BO250" s="906"/>
      <c r="BP250" s="906"/>
      <c r="BQ250" s="906"/>
      <c r="BR250" s="906"/>
      <c r="BS250" s="906"/>
      <c r="BT250" s="906"/>
      <c r="BU250" s="906"/>
      <c r="BV250" s="906"/>
      <c r="BW250" s="906"/>
      <c r="BX250" s="906"/>
      <c r="BY250" s="906"/>
      <c r="BZ250" s="906"/>
      <c r="CA250" s="906"/>
      <c r="CB250" s="906"/>
      <c r="CC250" s="906"/>
      <c r="CD250" s="906"/>
      <c r="CE250" s="906"/>
      <c r="CF250" s="906"/>
      <c r="CG250" s="906"/>
      <c r="CH250" s="906"/>
      <c r="CI250" s="906"/>
      <c r="CJ250" s="906"/>
      <c r="CK250" s="906"/>
      <c r="CL250" s="906"/>
      <c r="CM250" s="906"/>
      <c r="CN250" s="906"/>
      <c r="CO250" s="906"/>
      <c r="CP250" s="906"/>
      <c r="CQ250" s="906"/>
      <c r="CR250" s="906"/>
      <c r="CS250" s="906"/>
      <c r="CT250" s="906"/>
      <c r="CU250" s="906"/>
      <c r="CV250" s="906"/>
      <c r="CW250" s="906"/>
      <c r="CX250" s="906"/>
      <c r="CY250" s="906"/>
      <c r="CZ250" s="906"/>
      <c r="DA250" s="906"/>
      <c r="DB250" s="906"/>
      <c r="DC250" s="906"/>
      <c r="DD250" s="906"/>
      <c r="DE250" s="906"/>
      <c r="DF250" s="906"/>
      <c r="DG250" s="906"/>
      <c r="DH250" s="906"/>
      <c r="DI250" s="906"/>
      <c r="DJ250" s="906"/>
      <c r="DK250" s="906"/>
      <c r="DL250" s="906"/>
      <c r="DM250" s="906"/>
      <c r="DN250" s="906"/>
      <c r="DO250" s="906"/>
      <c r="DP250" s="906"/>
      <c r="DQ250" s="906"/>
      <c r="DR250" s="906"/>
      <c r="DS250" s="906"/>
    </row>
    <row r="251" spans="9:123" s="854" customFormat="1">
      <c r="I251" s="895"/>
      <c r="J251" s="895"/>
      <c r="R251" s="906"/>
      <c r="S251" s="906"/>
      <c r="T251" s="906"/>
      <c r="U251" s="906"/>
      <c r="V251" s="906"/>
      <c r="W251" s="906"/>
      <c r="X251" s="906"/>
      <c r="Y251" s="906"/>
      <c r="Z251" s="906"/>
      <c r="AA251" s="906"/>
      <c r="AB251" s="906"/>
      <c r="AC251" s="906"/>
      <c r="AD251" s="906"/>
      <c r="AE251" s="906"/>
      <c r="AF251" s="906"/>
      <c r="AG251" s="906"/>
      <c r="AH251" s="906"/>
      <c r="AI251" s="906"/>
      <c r="AJ251" s="906"/>
      <c r="AK251" s="906"/>
      <c r="AL251" s="906"/>
      <c r="AM251" s="906"/>
      <c r="AN251" s="906"/>
      <c r="AO251" s="906"/>
      <c r="AP251" s="906"/>
      <c r="AQ251" s="906"/>
      <c r="AR251" s="906"/>
      <c r="AS251" s="906"/>
      <c r="AT251" s="906"/>
      <c r="AU251" s="906"/>
      <c r="AV251" s="906"/>
      <c r="AW251" s="906"/>
      <c r="AX251" s="906"/>
      <c r="AY251" s="906"/>
      <c r="AZ251" s="906"/>
      <c r="BA251" s="906"/>
      <c r="BB251" s="906"/>
      <c r="BC251" s="906"/>
      <c r="BD251" s="906"/>
      <c r="BE251" s="906"/>
      <c r="BF251" s="906"/>
      <c r="BG251" s="906"/>
      <c r="BH251" s="906"/>
      <c r="BI251" s="906"/>
      <c r="BJ251" s="906"/>
      <c r="BK251" s="906"/>
      <c r="BL251" s="906"/>
      <c r="BM251" s="906"/>
      <c r="BN251" s="906"/>
      <c r="BO251" s="906"/>
      <c r="BP251" s="906"/>
      <c r="BQ251" s="906"/>
      <c r="BR251" s="906"/>
      <c r="BS251" s="906"/>
      <c r="BT251" s="906"/>
      <c r="BU251" s="906"/>
      <c r="BV251" s="906"/>
      <c r="BW251" s="906"/>
      <c r="BX251" s="906"/>
      <c r="BY251" s="906"/>
      <c r="BZ251" s="906"/>
      <c r="CA251" s="906"/>
      <c r="CB251" s="906"/>
      <c r="CC251" s="906"/>
      <c r="CD251" s="906"/>
      <c r="CE251" s="906"/>
      <c r="CF251" s="906"/>
      <c r="CG251" s="906"/>
      <c r="CH251" s="906"/>
      <c r="CI251" s="906"/>
      <c r="CJ251" s="906"/>
      <c r="CK251" s="906"/>
      <c r="CL251" s="906"/>
      <c r="CM251" s="906"/>
      <c r="CN251" s="906"/>
      <c r="CO251" s="906"/>
      <c r="CP251" s="906"/>
      <c r="CQ251" s="906"/>
      <c r="CR251" s="906"/>
      <c r="CS251" s="906"/>
      <c r="CT251" s="906"/>
      <c r="CU251" s="906"/>
      <c r="CV251" s="906"/>
      <c r="CW251" s="906"/>
      <c r="CX251" s="906"/>
      <c r="CY251" s="906"/>
      <c r="CZ251" s="906"/>
      <c r="DA251" s="906"/>
      <c r="DB251" s="906"/>
      <c r="DC251" s="906"/>
      <c r="DD251" s="906"/>
      <c r="DE251" s="906"/>
      <c r="DF251" s="906"/>
      <c r="DG251" s="906"/>
      <c r="DH251" s="906"/>
      <c r="DI251" s="906"/>
      <c r="DJ251" s="906"/>
      <c r="DK251" s="906"/>
      <c r="DL251" s="906"/>
      <c r="DM251" s="906"/>
      <c r="DN251" s="906"/>
      <c r="DO251" s="906"/>
      <c r="DP251" s="906"/>
      <c r="DQ251" s="906"/>
      <c r="DR251" s="906"/>
      <c r="DS251" s="906"/>
    </row>
    <row r="252" spans="9:123" s="854" customFormat="1">
      <c r="I252" s="895"/>
      <c r="J252" s="895"/>
      <c r="R252" s="906"/>
      <c r="S252" s="906"/>
      <c r="T252" s="906"/>
      <c r="U252" s="906"/>
      <c r="V252" s="906"/>
      <c r="W252" s="906"/>
      <c r="X252" s="906"/>
      <c r="Y252" s="906"/>
      <c r="Z252" s="906"/>
      <c r="AA252" s="906"/>
      <c r="AB252" s="906"/>
      <c r="AC252" s="906"/>
      <c r="AD252" s="906"/>
      <c r="AE252" s="906"/>
      <c r="AF252" s="906"/>
      <c r="AG252" s="906"/>
      <c r="AH252" s="906"/>
      <c r="AI252" s="906"/>
      <c r="AJ252" s="906"/>
      <c r="AK252" s="906"/>
      <c r="AL252" s="906"/>
      <c r="AM252" s="906"/>
      <c r="AN252" s="906"/>
      <c r="AO252" s="906"/>
      <c r="AP252" s="906"/>
      <c r="AQ252" s="906"/>
      <c r="AR252" s="906"/>
      <c r="AS252" s="906"/>
      <c r="AT252" s="906"/>
      <c r="AU252" s="906"/>
      <c r="AV252" s="906"/>
      <c r="AW252" s="906"/>
      <c r="AX252" s="906"/>
      <c r="AY252" s="906"/>
      <c r="AZ252" s="906"/>
      <c r="BA252" s="906"/>
      <c r="BB252" s="906"/>
      <c r="BC252" s="906"/>
      <c r="BD252" s="906"/>
      <c r="BE252" s="906"/>
      <c r="BF252" s="906"/>
      <c r="BG252" s="906"/>
      <c r="BH252" s="906"/>
      <c r="BI252" s="906"/>
      <c r="BJ252" s="906"/>
      <c r="BK252" s="906"/>
      <c r="BL252" s="906"/>
      <c r="BM252" s="906"/>
      <c r="BN252" s="906"/>
      <c r="BO252" s="906"/>
      <c r="BP252" s="906"/>
      <c r="BQ252" s="906"/>
      <c r="BR252" s="906"/>
      <c r="BS252" s="906"/>
      <c r="BT252" s="906"/>
      <c r="BU252" s="906"/>
      <c r="BV252" s="906"/>
      <c r="BW252" s="906"/>
      <c r="BX252" s="906"/>
      <c r="BY252" s="906"/>
      <c r="BZ252" s="906"/>
      <c r="CA252" s="906"/>
      <c r="CB252" s="906"/>
      <c r="CC252" s="906"/>
      <c r="CD252" s="906"/>
      <c r="CE252" s="906"/>
      <c r="CF252" s="906"/>
      <c r="CG252" s="906"/>
      <c r="CH252" s="906"/>
      <c r="CI252" s="906"/>
      <c r="CJ252" s="906"/>
      <c r="CK252" s="906"/>
      <c r="CL252" s="906"/>
      <c r="CM252" s="906"/>
      <c r="CN252" s="906"/>
      <c r="CO252" s="906"/>
      <c r="CP252" s="906"/>
      <c r="CQ252" s="906"/>
      <c r="CR252" s="906"/>
      <c r="CS252" s="906"/>
      <c r="CT252" s="906"/>
      <c r="CU252" s="906"/>
      <c r="CV252" s="906"/>
      <c r="CW252" s="906"/>
      <c r="CX252" s="906"/>
      <c r="CY252" s="906"/>
      <c r="CZ252" s="906"/>
      <c r="DA252" s="906"/>
      <c r="DB252" s="906"/>
      <c r="DC252" s="906"/>
      <c r="DD252" s="906"/>
      <c r="DE252" s="906"/>
      <c r="DF252" s="906"/>
      <c r="DG252" s="906"/>
      <c r="DH252" s="906"/>
      <c r="DI252" s="906"/>
      <c r="DJ252" s="906"/>
      <c r="DK252" s="906"/>
      <c r="DL252" s="906"/>
      <c r="DM252" s="906"/>
      <c r="DN252" s="906"/>
      <c r="DO252" s="906"/>
      <c r="DP252" s="906"/>
      <c r="DQ252" s="906"/>
      <c r="DR252" s="906"/>
      <c r="DS252" s="906"/>
    </row>
    <row r="253" spans="9:123" s="854" customFormat="1">
      <c r="I253" s="895"/>
      <c r="J253" s="895"/>
      <c r="R253" s="906"/>
      <c r="S253" s="906"/>
      <c r="T253" s="906"/>
      <c r="U253" s="906"/>
      <c r="V253" s="906"/>
      <c r="W253" s="906"/>
      <c r="X253" s="906"/>
      <c r="Y253" s="906"/>
      <c r="Z253" s="906"/>
      <c r="AA253" s="906"/>
      <c r="AB253" s="906"/>
      <c r="AC253" s="906"/>
      <c r="AD253" s="906"/>
      <c r="AE253" s="906"/>
      <c r="AF253" s="906"/>
      <c r="AG253" s="906"/>
      <c r="AH253" s="906"/>
      <c r="AI253" s="906"/>
      <c r="AJ253" s="906"/>
      <c r="AK253" s="906"/>
      <c r="AL253" s="906"/>
      <c r="AM253" s="906"/>
      <c r="AN253" s="906"/>
      <c r="AO253" s="906"/>
      <c r="AP253" s="906"/>
      <c r="AQ253" s="906"/>
      <c r="AR253" s="906"/>
      <c r="AS253" s="906"/>
      <c r="AT253" s="906"/>
      <c r="AU253" s="906"/>
      <c r="AV253" s="906"/>
      <c r="AW253" s="906"/>
      <c r="AX253" s="906"/>
      <c r="AY253" s="906"/>
      <c r="AZ253" s="906"/>
      <c r="BA253" s="906"/>
      <c r="BB253" s="906"/>
      <c r="BC253" s="906"/>
      <c r="BD253" s="906"/>
      <c r="BE253" s="906"/>
      <c r="BF253" s="906"/>
      <c r="BG253" s="906"/>
      <c r="BH253" s="906"/>
      <c r="BI253" s="906"/>
      <c r="BJ253" s="906"/>
      <c r="BK253" s="906"/>
      <c r="BL253" s="906"/>
      <c r="BM253" s="906"/>
      <c r="BN253" s="906"/>
      <c r="BO253" s="906"/>
      <c r="BP253" s="906"/>
      <c r="BQ253" s="906"/>
      <c r="BR253" s="906"/>
      <c r="BS253" s="906"/>
      <c r="BT253" s="906"/>
      <c r="BU253" s="906"/>
      <c r="BV253" s="906"/>
      <c r="BW253" s="906"/>
      <c r="BX253" s="906"/>
      <c r="BY253" s="906"/>
      <c r="BZ253" s="906"/>
      <c r="CA253" s="906"/>
      <c r="CB253" s="906"/>
      <c r="CC253" s="906"/>
      <c r="CD253" s="906"/>
      <c r="CE253" s="906"/>
      <c r="CF253" s="906"/>
      <c r="CG253" s="906"/>
      <c r="CH253" s="906"/>
      <c r="CI253" s="906"/>
      <c r="CJ253" s="906"/>
      <c r="CK253" s="906"/>
      <c r="CL253" s="906"/>
      <c r="CM253" s="906"/>
      <c r="CN253" s="906"/>
      <c r="CO253" s="906"/>
      <c r="CP253" s="906"/>
      <c r="CQ253" s="906"/>
      <c r="CR253" s="906"/>
      <c r="CS253" s="906"/>
      <c r="CT253" s="906"/>
      <c r="CU253" s="906"/>
      <c r="CV253" s="906"/>
      <c r="CW253" s="906"/>
      <c r="CX253" s="906"/>
      <c r="CY253" s="906"/>
      <c r="CZ253" s="906"/>
      <c r="DA253" s="906"/>
      <c r="DB253" s="906"/>
      <c r="DC253" s="906"/>
      <c r="DD253" s="906"/>
      <c r="DE253" s="906"/>
      <c r="DF253" s="906"/>
      <c r="DG253" s="906"/>
      <c r="DH253" s="906"/>
      <c r="DI253" s="906"/>
      <c r="DJ253" s="906"/>
      <c r="DK253" s="906"/>
      <c r="DL253" s="906"/>
      <c r="DM253" s="906"/>
      <c r="DN253" s="906"/>
      <c r="DO253" s="906"/>
      <c r="DP253" s="906"/>
      <c r="DQ253" s="906"/>
      <c r="DR253" s="906"/>
      <c r="DS253" s="906"/>
    </row>
    <row r="254" spans="9:123" s="854" customFormat="1">
      <c r="I254" s="895"/>
      <c r="J254" s="895"/>
      <c r="R254" s="906"/>
      <c r="S254" s="906"/>
      <c r="T254" s="906"/>
      <c r="U254" s="906"/>
      <c r="V254" s="906"/>
      <c r="W254" s="906"/>
      <c r="X254" s="906"/>
      <c r="Y254" s="906"/>
      <c r="Z254" s="906"/>
      <c r="AA254" s="906"/>
      <c r="AB254" s="906"/>
      <c r="AC254" s="906"/>
      <c r="AD254" s="906"/>
      <c r="AE254" s="906"/>
      <c r="AF254" s="906"/>
      <c r="AG254" s="906"/>
      <c r="AH254" s="906"/>
      <c r="AI254" s="906"/>
      <c r="AJ254" s="906"/>
      <c r="AK254" s="906"/>
      <c r="AL254" s="906"/>
      <c r="AM254" s="906"/>
      <c r="AN254" s="906"/>
      <c r="AO254" s="906"/>
      <c r="AP254" s="906"/>
      <c r="AQ254" s="906"/>
      <c r="AR254" s="906"/>
      <c r="AS254" s="906"/>
      <c r="AT254" s="906"/>
      <c r="AU254" s="906"/>
      <c r="AV254" s="906"/>
      <c r="AW254" s="906"/>
      <c r="AX254" s="906"/>
      <c r="AY254" s="906"/>
      <c r="AZ254" s="906"/>
      <c r="BA254" s="906"/>
      <c r="BB254" s="906"/>
      <c r="BC254" s="906"/>
      <c r="BD254" s="906"/>
      <c r="BE254" s="906"/>
      <c r="BF254" s="906"/>
      <c r="BG254" s="906"/>
      <c r="BH254" s="906"/>
      <c r="BI254" s="906"/>
      <c r="BJ254" s="906"/>
      <c r="BK254" s="906"/>
      <c r="BL254" s="906"/>
      <c r="BM254" s="906"/>
      <c r="BN254" s="906"/>
      <c r="BO254" s="906"/>
      <c r="BP254" s="906"/>
      <c r="BQ254" s="906"/>
      <c r="BR254" s="906"/>
      <c r="BS254" s="906"/>
      <c r="BT254" s="906"/>
      <c r="BU254" s="906"/>
      <c r="BV254" s="906"/>
      <c r="BW254" s="906"/>
      <c r="BX254" s="906"/>
      <c r="BY254" s="906"/>
      <c r="BZ254" s="906"/>
      <c r="CA254" s="906"/>
      <c r="CB254" s="906"/>
      <c r="CC254" s="906"/>
      <c r="CD254" s="906"/>
      <c r="CE254" s="906"/>
      <c r="CF254" s="906"/>
      <c r="CG254" s="906"/>
      <c r="CH254" s="906"/>
      <c r="CI254" s="906"/>
      <c r="CJ254" s="906"/>
      <c r="CK254" s="906"/>
      <c r="CL254" s="906"/>
      <c r="CM254" s="906"/>
      <c r="CN254" s="906"/>
      <c r="CO254" s="906"/>
      <c r="CP254" s="906"/>
      <c r="CQ254" s="906"/>
      <c r="CR254" s="906"/>
      <c r="CS254" s="906"/>
      <c r="CT254" s="906"/>
      <c r="CU254" s="906"/>
      <c r="CV254" s="906"/>
      <c r="CW254" s="906"/>
      <c r="CX254" s="906"/>
      <c r="CY254" s="906"/>
      <c r="CZ254" s="906"/>
      <c r="DA254" s="906"/>
      <c r="DB254" s="906"/>
      <c r="DC254" s="906"/>
      <c r="DD254" s="906"/>
      <c r="DE254" s="906"/>
      <c r="DF254" s="906"/>
      <c r="DG254" s="906"/>
      <c r="DH254" s="906"/>
      <c r="DI254" s="906"/>
      <c r="DJ254" s="906"/>
      <c r="DK254" s="906"/>
      <c r="DL254" s="906"/>
      <c r="DM254" s="906"/>
      <c r="DN254" s="906"/>
      <c r="DO254" s="906"/>
      <c r="DP254" s="906"/>
      <c r="DQ254" s="906"/>
      <c r="DR254" s="906"/>
      <c r="DS254" s="906"/>
    </row>
    <row r="255" spans="9:123" s="854" customFormat="1">
      <c r="I255" s="895"/>
      <c r="J255" s="895"/>
      <c r="R255" s="906"/>
      <c r="S255" s="906"/>
      <c r="T255" s="906"/>
      <c r="U255" s="906"/>
      <c r="V255" s="906"/>
      <c r="W255" s="906"/>
      <c r="X255" s="906"/>
      <c r="Y255" s="906"/>
      <c r="Z255" s="906"/>
      <c r="AA255" s="906"/>
      <c r="AB255" s="906"/>
      <c r="AC255" s="906"/>
      <c r="AD255" s="906"/>
      <c r="AE255" s="906"/>
      <c r="AF255" s="906"/>
      <c r="AG255" s="906"/>
      <c r="AH255" s="906"/>
      <c r="AI255" s="906"/>
      <c r="AJ255" s="906"/>
      <c r="AK255" s="906"/>
      <c r="AL255" s="906"/>
      <c r="AM255" s="906"/>
      <c r="AN255" s="906"/>
      <c r="AO255" s="906"/>
      <c r="AP255" s="906"/>
      <c r="AQ255" s="906"/>
      <c r="AR255" s="906"/>
      <c r="AS255" s="906"/>
      <c r="AT255" s="906"/>
      <c r="AU255" s="906"/>
      <c r="AV255" s="906"/>
      <c r="AW255" s="906"/>
      <c r="AX255" s="906"/>
      <c r="AY255" s="906"/>
      <c r="AZ255" s="906"/>
      <c r="BA255" s="906"/>
      <c r="BB255" s="906"/>
      <c r="BC255" s="906"/>
      <c r="BD255" s="906"/>
      <c r="BE255" s="906"/>
      <c r="BF255" s="906"/>
      <c r="BG255" s="906"/>
      <c r="BH255" s="906"/>
      <c r="BI255" s="906"/>
      <c r="BJ255" s="906"/>
      <c r="BK255" s="906"/>
      <c r="BL255" s="906"/>
      <c r="BM255" s="906"/>
      <c r="BN255" s="906"/>
      <c r="BO255" s="906"/>
      <c r="BP255" s="906"/>
      <c r="BQ255" s="906"/>
      <c r="BR255" s="906"/>
      <c r="BS255" s="906"/>
      <c r="BT255" s="906"/>
      <c r="BU255" s="906"/>
      <c r="BV255" s="906"/>
      <c r="BW255" s="906"/>
      <c r="BX255" s="906"/>
      <c r="BY255" s="906"/>
      <c r="BZ255" s="906"/>
      <c r="CA255" s="906"/>
      <c r="CB255" s="906"/>
      <c r="CC255" s="906"/>
      <c r="CD255" s="906"/>
      <c r="CE255" s="906"/>
      <c r="CF255" s="906"/>
      <c r="CG255" s="906"/>
      <c r="CH255" s="906"/>
      <c r="CI255" s="906"/>
      <c r="CJ255" s="906"/>
      <c r="CK255" s="906"/>
      <c r="CL255" s="906"/>
      <c r="CM255" s="906"/>
      <c r="CN255" s="906"/>
      <c r="CO255" s="906"/>
      <c r="CP255" s="906"/>
      <c r="CQ255" s="906"/>
      <c r="CR255" s="906"/>
      <c r="CS255" s="906"/>
      <c r="CT255" s="906"/>
      <c r="CU255" s="906"/>
      <c r="CV255" s="906"/>
      <c r="CW255" s="906"/>
      <c r="CX255" s="906"/>
      <c r="CY255" s="906"/>
      <c r="CZ255" s="906"/>
      <c r="DA255" s="906"/>
      <c r="DB255" s="906"/>
      <c r="DC255" s="906"/>
      <c r="DD255" s="906"/>
      <c r="DE255" s="906"/>
      <c r="DF255" s="906"/>
      <c r="DG255" s="906"/>
      <c r="DH255" s="906"/>
      <c r="DI255" s="906"/>
      <c r="DJ255" s="906"/>
      <c r="DK255" s="906"/>
      <c r="DL255" s="906"/>
      <c r="DM255" s="906"/>
      <c r="DN255" s="906"/>
      <c r="DO255" s="906"/>
      <c r="DP255" s="906"/>
      <c r="DQ255" s="906"/>
      <c r="DR255" s="906"/>
      <c r="DS255" s="906"/>
    </row>
    <row r="256" spans="9:123" s="854" customFormat="1">
      <c r="I256" s="895"/>
      <c r="J256" s="895"/>
      <c r="R256" s="906"/>
      <c r="S256" s="906"/>
      <c r="T256" s="906"/>
      <c r="U256" s="906"/>
      <c r="V256" s="906"/>
      <c r="W256" s="906"/>
      <c r="X256" s="906"/>
      <c r="Y256" s="906"/>
      <c r="Z256" s="906"/>
      <c r="AA256" s="906"/>
      <c r="AB256" s="906"/>
      <c r="AC256" s="906"/>
      <c r="AD256" s="906"/>
      <c r="AE256" s="906"/>
      <c r="AF256" s="906"/>
      <c r="AG256" s="906"/>
      <c r="AH256" s="906"/>
      <c r="AI256" s="906"/>
      <c r="AJ256" s="906"/>
      <c r="AK256" s="906"/>
      <c r="AL256" s="906"/>
      <c r="AM256" s="906"/>
      <c r="AN256" s="906"/>
      <c r="AO256" s="906"/>
      <c r="AP256" s="906"/>
      <c r="AQ256" s="906"/>
      <c r="AR256" s="906"/>
      <c r="AS256" s="906"/>
      <c r="AT256" s="906"/>
      <c r="AU256" s="906"/>
      <c r="AV256" s="906"/>
      <c r="AW256" s="906"/>
      <c r="AX256" s="906"/>
      <c r="AY256" s="906"/>
      <c r="AZ256" s="906"/>
      <c r="BA256" s="906"/>
      <c r="BB256" s="906"/>
      <c r="BC256" s="906"/>
      <c r="BD256" s="906"/>
      <c r="BE256" s="906"/>
      <c r="BF256" s="906"/>
      <c r="BG256" s="906"/>
      <c r="BH256" s="906"/>
      <c r="BI256" s="906"/>
      <c r="BJ256" s="906"/>
      <c r="BK256" s="906"/>
      <c r="BL256" s="906"/>
      <c r="BM256" s="906"/>
      <c r="BN256" s="906"/>
      <c r="BO256" s="906"/>
      <c r="BP256" s="906"/>
      <c r="BQ256" s="906"/>
      <c r="BR256" s="906"/>
      <c r="BS256" s="906"/>
      <c r="BT256" s="906"/>
      <c r="BU256" s="906"/>
      <c r="BV256" s="906"/>
      <c r="BW256" s="906"/>
      <c r="BX256" s="906"/>
      <c r="BY256" s="906"/>
      <c r="BZ256" s="906"/>
      <c r="CA256" s="906"/>
      <c r="CB256" s="906"/>
      <c r="CC256" s="906"/>
      <c r="CD256" s="906"/>
      <c r="CE256" s="906"/>
      <c r="CF256" s="906"/>
      <c r="CG256" s="906"/>
      <c r="CH256" s="906"/>
      <c r="CI256" s="906"/>
      <c r="CJ256" s="906"/>
      <c r="CK256" s="906"/>
      <c r="CL256" s="906"/>
      <c r="CM256" s="906"/>
      <c r="CN256" s="906"/>
      <c r="CO256" s="906"/>
      <c r="CP256" s="906"/>
      <c r="CQ256" s="906"/>
      <c r="CR256" s="906"/>
      <c r="CS256" s="906"/>
      <c r="CT256" s="906"/>
      <c r="CU256" s="906"/>
      <c r="CV256" s="906"/>
      <c r="CW256" s="906"/>
      <c r="CX256" s="906"/>
      <c r="CY256" s="906"/>
      <c r="CZ256" s="906"/>
      <c r="DA256" s="906"/>
      <c r="DB256" s="906"/>
      <c r="DC256" s="906"/>
      <c r="DD256" s="906"/>
      <c r="DE256" s="906"/>
      <c r="DF256" s="906"/>
      <c r="DG256" s="906"/>
      <c r="DH256" s="906"/>
      <c r="DI256" s="906"/>
      <c r="DJ256" s="906"/>
      <c r="DK256" s="906"/>
      <c r="DL256" s="906"/>
      <c r="DM256" s="906"/>
      <c r="DN256" s="906"/>
      <c r="DO256" s="906"/>
      <c r="DP256" s="906"/>
      <c r="DQ256" s="906"/>
      <c r="DR256" s="906"/>
      <c r="DS256" s="906"/>
    </row>
    <row r="257" spans="9:123" s="854" customFormat="1">
      <c r="I257" s="895"/>
      <c r="J257" s="895"/>
      <c r="R257" s="906"/>
      <c r="S257" s="906"/>
      <c r="T257" s="906"/>
      <c r="U257" s="906"/>
      <c r="V257" s="906"/>
      <c r="W257" s="906"/>
      <c r="X257" s="906"/>
      <c r="Y257" s="906"/>
      <c r="Z257" s="906"/>
      <c r="AA257" s="906"/>
      <c r="AB257" s="906"/>
      <c r="AC257" s="906"/>
      <c r="AD257" s="906"/>
      <c r="AE257" s="906"/>
      <c r="AF257" s="906"/>
      <c r="AG257" s="906"/>
      <c r="AH257" s="906"/>
      <c r="AI257" s="906"/>
      <c r="AJ257" s="906"/>
      <c r="AK257" s="906"/>
      <c r="AL257" s="906"/>
      <c r="AM257" s="906"/>
      <c r="AN257" s="906"/>
      <c r="AO257" s="906"/>
      <c r="AP257" s="906"/>
      <c r="AQ257" s="906"/>
      <c r="AR257" s="906"/>
      <c r="AS257" s="906"/>
      <c r="AT257" s="906"/>
      <c r="AU257" s="906"/>
      <c r="AV257" s="906"/>
      <c r="AW257" s="906"/>
      <c r="AX257" s="906"/>
      <c r="AY257" s="906"/>
      <c r="AZ257" s="906"/>
      <c r="BA257" s="906"/>
      <c r="BB257" s="906"/>
      <c r="BC257" s="906"/>
      <c r="BD257" s="906"/>
      <c r="BE257" s="906"/>
      <c r="BF257" s="906"/>
      <c r="BG257" s="906"/>
      <c r="BH257" s="906"/>
      <c r="BI257" s="906"/>
      <c r="BJ257" s="906"/>
      <c r="BK257" s="906"/>
      <c r="BL257" s="906"/>
      <c r="BM257" s="906"/>
      <c r="BN257" s="906"/>
      <c r="BO257" s="906"/>
      <c r="BP257" s="906"/>
      <c r="BQ257" s="906"/>
      <c r="BR257" s="906"/>
      <c r="BS257" s="906"/>
      <c r="BT257" s="906"/>
      <c r="BU257" s="906"/>
      <c r="BV257" s="906"/>
      <c r="BW257" s="906"/>
      <c r="BX257" s="906"/>
      <c r="BY257" s="906"/>
      <c r="BZ257" s="906"/>
      <c r="CA257" s="906"/>
      <c r="CB257" s="906"/>
      <c r="CC257" s="906"/>
      <c r="CD257" s="906"/>
      <c r="CE257" s="906"/>
      <c r="CF257" s="906"/>
      <c r="CG257" s="906"/>
      <c r="CH257" s="906"/>
      <c r="CI257" s="906"/>
      <c r="CJ257" s="906"/>
      <c r="CK257" s="906"/>
      <c r="CL257" s="906"/>
      <c r="CM257" s="906"/>
      <c r="CN257" s="906"/>
      <c r="CO257" s="906"/>
      <c r="CP257" s="906"/>
      <c r="CQ257" s="906"/>
      <c r="CR257" s="906"/>
      <c r="CS257" s="906"/>
      <c r="CT257" s="906"/>
      <c r="CU257" s="906"/>
      <c r="CV257" s="906"/>
      <c r="CW257" s="906"/>
      <c r="CX257" s="906"/>
      <c r="CY257" s="906"/>
      <c r="CZ257" s="906"/>
      <c r="DA257" s="906"/>
      <c r="DB257" s="906"/>
      <c r="DC257" s="906"/>
      <c r="DD257" s="906"/>
      <c r="DE257" s="906"/>
      <c r="DF257" s="906"/>
      <c r="DG257" s="906"/>
      <c r="DH257" s="906"/>
      <c r="DI257" s="906"/>
      <c r="DJ257" s="906"/>
      <c r="DK257" s="906"/>
      <c r="DL257" s="906"/>
      <c r="DM257" s="906"/>
      <c r="DN257" s="906"/>
      <c r="DO257" s="906"/>
      <c r="DP257" s="906"/>
      <c r="DQ257" s="906"/>
      <c r="DR257" s="906"/>
      <c r="DS257" s="906"/>
    </row>
    <row r="258" spans="9:123" s="854" customFormat="1">
      <c r="I258" s="895"/>
      <c r="J258" s="895"/>
      <c r="R258" s="906"/>
      <c r="S258" s="906"/>
      <c r="T258" s="906"/>
      <c r="U258" s="906"/>
      <c r="V258" s="906"/>
      <c r="W258" s="906"/>
      <c r="X258" s="906"/>
      <c r="Y258" s="906"/>
      <c r="Z258" s="906"/>
      <c r="AA258" s="906"/>
      <c r="AB258" s="906"/>
      <c r="AC258" s="906"/>
      <c r="AD258" s="906"/>
      <c r="AE258" s="906"/>
      <c r="AF258" s="906"/>
      <c r="AG258" s="906"/>
      <c r="AH258" s="906"/>
      <c r="AI258" s="906"/>
      <c r="AJ258" s="906"/>
      <c r="AK258" s="906"/>
      <c r="AL258" s="906"/>
      <c r="AM258" s="906"/>
      <c r="AN258" s="906"/>
      <c r="AO258" s="906"/>
      <c r="AP258" s="906"/>
      <c r="AQ258" s="906"/>
      <c r="AR258" s="906"/>
      <c r="AS258" s="906"/>
      <c r="AT258" s="906"/>
      <c r="AU258" s="906"/>
      <c r="AV258" s="906"/>
      <c r="AW258" s="906"/>
      <c r="AX258" s="906"/>
      <c r="AY258" s="906"/>
      <c r="AZ258" s="906"/>
      <c r="BA258" s="906"/>
      <c r="BB258" s="906"/>
      <c r="BC258" s="906"/>
      <c r="BD258" s="906"/>
      <c r="BE258" s="906"/>
      <c r="BF258" s="906"/>
      <c r="BG258" s="906"/>
      <c r="BH258" s="906"/>
      <c r="BI258" s="906"/>
      <c r="BJ258" s="906"/>
      <c r="BK258" s="906"/>
      <c r="BL258" s="906"/>
      <c r="BM258" s="906"/>
      <c r="BN258" s="906"/>
      <c r="BO258" s="906"/>
      <c r="BP258" s="906"/>
      <c r="BQ258" s="906"/>
      <c r="BR258" s="906"/>
      <c r="BS258" s="906"/>
      <c r="BT258" s="906"/>
      <c r="BU258" s="906"/>
      <c r="BV258" s="906"/>
      <c r="BW258" s="906"/>
      <c r="BX258" s="906"/>
      <c r="BY258" s="906"/>
      <c r="BZ258" s="906"/>
      <c r="CA258" s="906"/>
      <c r="CB258" s="906"/>
      <c r="CC258" s="906"/>
      <c r="CD258" s="906"/>
      <c r="CE258" s="906"/>
      <c r="CF258" s="906"/>
      <c r="CG258" s="906"/>
      <c r="CH258" s="906"/>
      <c r="CI258" s="906"/>
      <c r="CJ258" s="906"/>
      <c r="CK258" s="906"/>
      <c r="CL258" s="906"/>
      <c r="CM258" s="906"/>
      <c r="CN258" s="906"/>
      <c r="CO258" s="906"/>
      <c r="CP258" s="906"/>
      <c r="CQ258" s="906"/>
      <c r="CR258" s="906"/>
      <c r="CS258" s="906"/>
      <c r="CT258" s="906"/>
      <c r="CU258" s="906"/>
      <c r="CV258" s="906"/>
      <c r="CW258" s="906"/>
      <c r="CX258" s="906"/>
      <c r="CY258" s="906"/>
      <c r="CZ258" s="906"/>
      <c r="DA258" s="906"/>
      <c r="DB258" s="906"/>
      <c r="DC258" s="906"/>
      <c r="DD258" s="906"/>
      <c r="DE258" s="906"/>
      <c r="DF258" s="906"/>
      <c r="DG258" s="906"/>
      <c r="DH258" s="906"/>
      <c r="DI258" s="906"/>
      <c r="DJ258" s="906"/>
      <c r="DK258" s="906"/>
      <c r="DL258" s="906"/>
      <c r="DM258" s="906"/>
      <c r="DN258" s="906"/>
      <c r="DO258" s="906"/>
      <c r="DP258" s="906"/>
      <c r="DQ258" s="906"/>
      <c r="DR258" s="906"/>
      <c r="DS258" s="906"/>
    </row>
    <row r="259" spans="9:123" s="854" customFormat="1">
      <c r="I259" s="895"/>
      <c r="J259" s="895"/>
      <c r="R259" s="906"/>
      <c r="S259" s="906"/>
      <c r="T259" s="906"/>
      <c r="U259" s="906"/>
      <c r="V259" s="906"/>
      <c r="W259" s="906"/>
      <c r="X259" s="906"/>
      <c r="Y259" s="906"/>
      <c r="Z259" s="906"/>
      <c r="AA259" s="906"/>
      <c r="AB259" s="906"/>
      <c r="AC259" s="906"/>
      <c r="AD259" s="906"/>
      <c r="AE259" s="906"/>
      <c r="AF259" s="906"/>
      <c r="AG259" s="906"/>
      <c r="AH259" s="906"/>
      <c r="AI259" s="906"/>
      <c r="AJ259" s="906"/>
      <c r="AK259" s="906"/>
      <c r="AL259" s="906"/>
      <c r="AM259" s="906"/>
      <c r="AN259" s="906"/>
      <c r="AO259" s="906"/>
      <c r="AP259" s="906"/>
      <c r="AQ259" s="906"/>
      <c r="AR259" s="906"/>
      <c r="AS259" s="906"/>
      <c r="AT259" s="906"/>
      <c r="AU259" s="906"/>
      <c r="AV259" s="906"/>
      <c r="AW259" s="906"/>
      <c r="AX259" s="906"/>
      <c r="AY259" s="906"/>
      <c r="AZ259" s="906"/>
      <c r="BA259" s="906"/>
      <c r="BB259" s="906"/>
      <c r="BC259" s="906"/>
      <c r="BD259" s="906"/>
      <c r="BE259" s="906"/>
      <c r="BF259" s="906"/>
      <c r="BG259" s="906"/>
      <c r="BH259" s="906"/>
      <c r="BI259" s="906"/>
      <c r="BJ259" s="906"/>
      <c r="BK259" s="906"/>
      <c r="BL259" s="906"/>
      <c r="BM259" s="906"/>
      <c r="BN259" s="906"/>
      <c r="BO259" s="906"/>
      <c r="BP259" s="906"/>
      <c r="BQ259" s="906"/>
      <c r="BR259" s="906"/>
      <c r="BS259" s="906"/>
      <c r="BT259" s="906"/>
      <c r="BU259" s="906"/>
      <c r="BV259" s="906"/>
      <c r="BW259" s="906"/>
      <c r="BX259" s="906"/>
      <c r="BY259" s="906"/>
      <c r="BZ259" s="906"/>
      <c r="CA259" s="906"/>
      <c r="CB259" s="906"/>
      <c r="CC259" s="906"/>
      <c r="CD259" s="906"/>
      <c r="CE259" s="906"/>
      <c r="CF259" s="906"/>
      <c r="CG259" s="906"/>
      <c r="CH259" s="906"/>
      <c r="CI259" s="906"/>
      <c r="CJ259" s="906"/>
      <c r="CK259" s="906"/>
      <c r="CL259" s="906"/>
      <c r="CM259" s="906"/>
      <c r="CN259" s="906"/>
      <c r="CO259" s="906"/>
      <c r="CP259" s="906"/>
      <c r="CQ259" s="906"/>
      <c r="CR259" s="906"/>
      <c r="CS259" s="906"/>
      <c r="CT259" s="906"/>
      <c r="CU259" s="906"/>
      <c r="CV259" s="906"/>
      <c r="CW259" s="906"/>
      <c r="CX259" s="906"/>
      <c r="CY259" s="906"/>
      <c r="CZ259" s="906"/>
      <c r="DA259" s="906"/>
      <c r="DB259" s="906"/>
      <c r="DC259" s="906"/>
      <c r="DD259" s="906"/>
      <c r="DE259" s="906"/>
      <c r="DF259" s="906"/>
      <c r="DG259" s="906"/>
      <c r="DH259" s="906"/>
      <c r="DI259" s="906"/>
      <c r="DJ259" s="906"/>
      <c r="DK259" s="906"/>
      <c r="DL259" s="906"/>
      <c r="DM259" s="906"/>
      <c r="DN259" s="906"/>
      <c r="DO259" s="906"/>
      <c r="DP259" s="906"/>
      <c r="DQ259" s="906"/>
      <c r="DR259" s="906"/>
      <c r="DS259" s="906"/>
    </row>
    <row r="260" spans="9:123" s="854" customFormat="1">
      <c r="I260" s="895"/>
      <c r="J260" s="895"/>
      <c r="R260" s="906"/>
      <c r="S260" s="906"/>
      <c r="T260" s="906"/>
      <c r="U260" s="906"/>
      <c r="V260" s="906"/>
      <c r="W260" s="906"/>
      <c r="X260" s="906"/>
      <c r="Y260" s="906"/>
      <c r="Z260" s="906"/>
      <c r="AA260" s="906"/>
      <c r="AB260" s="906"/>
      <c r="AC260" s="906"/>
      <c r="AD260" s="906"/>
      <c r="AE260" s="906"/>
      <c r="AF260" s="906"/>
      <c r="AG260" s="906"/>
      <c r="AH260" s="906"/>
      <c r="AI260" s="906"/>
      <c r="AJ260" s="906"/>
      <c r="AK260" s="906"/>
      <c r="AL260" s="906"/>
      <c r="AM260" s="906"/>
      <c r="AN260" s="906"/>
      <c r="AO260" s="906"/>
      <c r="AP260" s="906"/>
      <c r="AQ260" s="906"/>
      <c r="AR260" s="906"/>
      <c r="AS260" s="906"/>
      <c r="AT260" s="906"/>
      <c r="AU260" s="906"/>
      <c r="AV260" s="906"/>
      <c r="AW260" s="906"/>
      <c r="AX260" s="906"/>
      <c r="AY260" s="906"/>
      <c r="AZ260" s="906"/>
      <c r="BA260" s="906"/>
      <c r="BB260" s="906"/>
      <c r="BC260" s="906"/>
      <c r="BD260" s="906"/>
      <c r="BE260" s="906"/>
      <c r="BF260" s="906"/>
      <c r="BG260" s="906"/>
      <c r="BH260" s="906"/>
      <c r="BI260" s="906"/>
      <c r="BJ260" s="906"/>
      <c r="BK260" s="906"/>
      <c r="BL260" s="906"/>
      <c r="BM260" s="906"/>
      <c r="BN260" s="906"/>
      <c r="BO260" s="906"/>
      <c r="BP260" s="906"/>
      <c r="BQ260" s="906"/>
      <c r="BR260" s="906"/>
      <c r="BS260" s="906"/>
      <c r="BT260" s="906"/>
      <c r="BU260" s="906"/>
      <c r="BV260" s="906"/>
      <c r="BW260" s="906"/>
      <c r="BX260" s="906"/>
      <c r="BY260" s="906"/>
      <c r="BZ260" s="906"/>
      <c r="CA260" s="906"/>
      <c r="CB260" s="906"/>
      <c r="CC260" s="906"/>
      <c r="CD260" s="906"/>
      <c r="CE260" s="906"/>
      <c r="CF260" s="906"/>
      <c r="CG260" s="906"/>
      <c r="CH260" s="906"/>
      <c r="CI260" s="906"/>
      <c r="CJ260" s="906"/>
      <c r="CK260" s="906"/>
      <c r="CL260" s="906"/>
      <c r="CM260" s="906"/>
      <c r="CN260" s="906"/>
      <c r="CO260" s="906"/>
      <c r="CP260" s="906"/>
      <c r="CQ260" s="906"/>
      <c r="CR260" s="906"/>
      <c r="CS260" s="906"/>
      <c r="CT260" s="906"/>
      <c r="CU260" s="906"/>
      <c r="CV260" s="906"/>
      <c r="CW260" s="906"/>
      <c r="CX260" s="906"/>
      <c r="CY260" s="906"/>
      <c r="CZ260" s="906"/>
      <c r="DA260" s="906"/>
      <c r="DB260" s="906"/>
      <c r="DC260" s="906"/>
      <c r="DD260" s="906"/>
      <c r="DE260" s="906"/>
      <c r="DF260" s="906"/>
      <c r="DG260" s="906"/>
      <c r="DH260" s="906"/>
      <c r="DI260" s="906"/>
      <c r="DJ260" s="906"/>
      <c r="DK260" s="906"/>
      <c r="DL260" s="906"/>
      <c r="DM260" s="906"/>
      <c r="DN260" s="906"/>
      <c r="DO260" s="906"/>
      <c r="DP260" s="906"/>
      <c r="DQ260" s="906"/>
      <c r="DR260" s="906"/>
      <c r="DS260" s="906"/>
    </row>
    <row r="261" spans="9:123" s="854" customFormat="1">
      <c r="I261" s="895"/>
      <c r="J261" s="895"/>
      <c r="R261" s="906"/>
      <c r="S261" s="906"/>
      <c r="T261" s="906"/>
      <c r="U261" s="906"/>
      <c r="V261" s="906"/>
      <c r="W261" s="906"/>
      <c r="X261" s="906"/>
      <c r="Y261" s="906"/>
      <c r="Z261" s="906"/>
      <c r="AA261" s="906"/>
      <c r="AB261" s="906"/>
      <c r="AC261" s="906"/>
      <c r="AD261" s="906"/>
      <c r="AE261" s="906"/>
      <c r="AF261" s="906"/>
      <c r="AG261" s="906"/>
      <c r="AH261" s="906"/>
      <c r="AI261" s="906"/>
      <c r="AJ261" s="906"/>
      <c r="AK261" s="906"/>
      <c r="AL261" s="906"/>
      <c r="AM261" s="906"/>
      <c r="AN261" s="906"/>
      <c r="AO261" s="906"/>
      <c r="AP261" s="906"/>
      <c r="AQ261" s="906"/>
      <c r="AR261" s="906"/>
      <c r="AS261" s="906"/>
      <c r="AT261" s="906"/>
      <c r="AU261" s="906"/>
      <c r="AV261" s="906"/>
      <c r="AW261" s="906"/>
      <c r="AX261" s="906"/>
      <c r="AY261" s="906"/>
      <c r="AZ261" s="906"/>
      <c r="BA261" s="906"/>
      <c r="BB261" s="906"/>
      <c r="BC261" s="906"/>
      <c r="BD261" s="906"/>
      <c r="BE261" s="906"/>
      <c r="BF261" s="906"/>
      <c r="BG261" s="906"/>
      <c r="BH261" s="906"/>
      <c r="BI261" s="906"/>
      <c r="BJ261" s="906"/>
      <c r="BK261" s="906"/>
      <c r="BL261" s="906"/>
      <c r="BM261" s="906"/>
      <c r="BN261" s="906"/>
      <c r="BO261" s="906"/>
      <c r="BP261" s="906"/>
      <c r="BQ261" s="906"/>
      <c r="BR261" s="906"/>
      <c r="BS261" s="906"/>
      <c r="BT261" s="906"/>
      <c r="BU261" s="906"/>
      <c r="BV261" s="906"/>
      <c r="BW261" s="906"/>
      <c r="BX261" s="906"/>
      <c r="BY261" s="906"/>
      <c r="BZ261" s="906"/>
      <c r="CA261" s="906"/>
      <c r="CB261" s="906"/>
      <c r="CC261" s="906"/>
      <c r="CD261" s="906"/>
      <c r="CE261" s="906"/>
      <c r="CF261" s="906"/>
      <c r="CG261" s="906"/>
      <c r="CH261" s="906"/>
      <c r="CI261" s="906"/>
      <c r="CJ261" s="906"/>
      <c r="CK261" s="906"/>
      <c r="CL261" s="906"/>
      <c r="CM261" s="906"/>
      <c r="CN261" s="906"/>
      <c r="CO261" s="906"/>
      <c r="CP261" s="906"/>
      <c r="CQ261" s="906"/>
      <c r="CR261" s="906"/>
      <c r="CS261" s="906"/>
      <c r="CT261" s="906"/>
      <c r="CU261" s="906"/>
      <c r="CV261" s="906"/>
      <c r="CW261" s="906"/>
      <c r="CX261" s="906"/>
      <c r="CY261" s="906"/>
      <c r="CZ261" s="906"/>
      <c r="DA261" s="906"/>
      <c r="DB261" s="906"/>
      <c r="DC261" s="906"/>
      <c r="DD261" s="906"/>
      <c r="DE261" s="906"/>
      <c r="DF261" s="906"/>
      <c r="DG261" s="906"/>
      <c r="DH261" s="906"/>
      <c r="DI261" s="906"/>
      <c r="DJ261" s="906"/>
      <c r="DK261" s="906"/>
      <c r="DL261" s="906"/>
      <c r="DM261" s="906"/>
      <c r="DN261" s="906"/>
      <c r="DO261" s="906"/>
      <c r="DP261" s="906"/>
      <c r="DQ261" s="906"/>
      <c r="DR261" s="906"/>
      <c r="DS261" s="906"/>
    </row>
    <row r="262" spans="9:123" s="854" customFormat="1">
      <c r="I262" s="895"/>
      <c r="J262" s="895"/>
      <c r="R262" s="906"/>
      <c r="S262" s="906"/>
      <c r="T262" s="906"/>
      <c r="U262" s="906"/>
      <c r="V262" s="906"/>
      <c r="W262" s="906"/>
      <c r="X262" s="906"/>
      <c r="Y262" s="906"/>
      <c r="Z262" s="906"/>
      <c r="AA262" s="906"/>
      <c r="AB262" s="906"/>
      <c r="AC262" s="906"/>
      <c r="AD262" s="906"/>
      <c r="AE262" s="906"/>
      <c r="AF262" s="906"/>
      <c r="AG262" s="906"/>
      <c r="AH262" s="906"/>
      <c r="AI262" s="906"/>
      <c r="AJ262" s="906"/>
      <c r="AK262" s="906"/>
      <c r="AL262" s="906"/>
      <c r="AM262" s="906"/>
      <c r="AN262" s="906"/>
      <c r="AO262" s="906"/>
      <c r="AP262" s="906"/>
      <c r="AQ262" s="906"/>
      <c r="AR262" s="906"/>
      <c r="AS262" s="906"/>
      <c r="AT262" s="906"/>
      <c r="AU262" s="906"/>
      <c r="AV262" s="906"/>
      <c r="AW262" s="906"/>
      <c r="AX262" s="906"/>
      <c r="AY262" s="906"/>
      <c r="AZ262" s="906"/>
      <c r="BA262" s="906"/>
      <c r="BB262" s="906"/>
      <c r="BC262" s="906"/>
      <c r="BD262" s="906"/>
      <c r="BE262" s="906"/>
      <c r="BF262" s="906"/>
      <c r="BG262" s="906"/>
      <c r="BH262" s="906"/>
      <c r="BI262" s="906"/>
      <c r="BJ262" s="906"/>
      <c r="BK262" s="906"/>
      <c r="BL262" s="906"/>
      <c r="BM262" s="906"/>
      <c r="BN262" s="906"/>
      <c r="BO262" s="906"/>
      <c r="BP262" s="906"/>
      <c r="BQ262" s="906"/>
      <c r="BR262" s="906"/>
      <c r="BS262" s="906"/>
      <c r="BT262" s="906"/>
      <c r="BU262" s="906"/>
      <c r="BV262" s="906"/>
      <c r="BW262" s="906"/>
      <c r="BX262" s="906"/>
      <c r="BY262" s="906"/>
      <c r="BZ262" s="906"/>
      <c r="CA262" s="906"/>
      <c r="CB262" s="906"/>
      <c r="CC262" s="906"/>
      <c r="CD262" s="906"/>
      <c r="CE262" s="906"/>
      <c r="CF262" s="906"/>
      <c r="CG262" s="906"/>
      <c r="CH262" s="906"/>
      <c r="CI262" s="906"/>
      <c r="CJ262" s="906"/>
      <c r="CK262" s="906"/>
      <c r="CL262" s="906"/>
      <c r="CM262" s="906"/>
      <c r="CN262" s="906"/>
      <c r="CO262" s="906"/>
      <c r="CP262" s="906"/>
      <c r="CQ262" s="906"/>
      <c r="CR262" s="906"/>
      <c r="CS262" s="906"/>
      <c r="CT262" s="906"/>
      <c r="CU262" s="906"/>
      <c r="CV262" s="906"/>
      <c r="CW262" s="906"/>
      <c r="CX262" s="906"/>
      <c r="CY262" s="906"/>
      <c r="CZ262" s="906"/>
      <c r="DA262" s="906"/>
      <c r="DB262" s="906"/>
      <c r="DC262" s="906"/>
      <c r="DD262" s="906"/>
      <c r="DE262" s="906"/>
      <c r="DF262" s="906"/>
      <c r="DG262" s="906"/>
      <c r="DH262" s="906"/>
      <c r="DI262" s="906"/>
      <c r="DJ262" s="906"/>
      <c r="DK262" s="906"/>
      <c r="DL262" s="906"/>
      <c r="DM262" s="906"/>
      <c r="DN262" s="906"/>
      <c r="DO262" s="906"/>
      <c r="DP262" s="906"/>
      <c r="DQ262" s="906"/>
      <c r="DR262" s="906"/>
      <c r="DS262" s="906"/>
    </row>
    <row r="263" spans="9:123" s="854" customFormat="1">
      <c r="I263" s="895"/>
      <c r="J263" s="895"/>
      <c r="R263" s="906"/>
      <c r="S263" s="906"/>
      <c r="T263" s="906"/>
      <c r="U263" s="906"/>
      <c r="V263" s="906"/>
      <c r="W263" s="906"/>
      <c r="X263" s="906"/>
      <c r="Y263" s="906"/>
      <c r="Z263" s="906"/>
      <c r="AA263" s="906"/>
      <c r="AB263" s="906"/>
      <c r="AC263" s="906"/>
      <c r="AD263" s="906"/>
      <c r="AE263" s="906"/>
      <c r="AF263" s="906"/>
      <c r="AG263" s="906"/>
      <c r="AH263" s="906"/>
      <c r="AI263" s="906"/>
      <c r="AJ263" s="906"/>
      <c r="AK263" s="906"/>
      <c r="AL263" s="906"/>
      <c r="AM263" s="906"/>
      <c r="AN263" s="906"/>
      <c r="AO263" s="906"/>
      <c r="AP263" s="906"/>
      <c r="AQ263" s="906"/>
      <c r="AR263" s="906"/>
      <c r="AS263" s="906"/>
      <c r="AT263" s="906"/>
      <c r="AU263" s="906"/>
      <c r="AV263" s="906"/>
      <c r="AW263" s="906"/>
      <c r="AX263" s="906"/>
      <c r="AY263" s="906"/>
      <c r="AZ263" s="906"/>
      <c r="BA263" s="906"/>
      <c r="BB263" s="906"/>
      <c r="BC263" s="906"/>
      <c r="BD263" s="906"/>
      <c r="BE263" s="906"/>
      <c r="BF263" s="906"/>
      <c r="BG263" s="906"/>
      <c r="BH263" s="906"/>
      <c r="BI263" s="906"/>
      <c r="BJ263" s="906"/>
      <c r="BK263" s="906"/>
      <c r="BL263" s="906"/>
      <c r="BM263" s="906"/>
      <c r="BN263" s="906"/>
      <c r="BO263" s="906"/>
      <c r="BP263" s="906"/>
      <c r="BQ263" s="906"/>
      <c r="BR263" s="906"/>
      <c r="BS263" s="906"/>
      <c r="BT263" s="906"/>
      <c r="BU263" s="906"/>
      <c r="BV263" s="906"/>
      <c r="BW263" s="906"/>
      <c r="BX263" s="906"/>
      <c r="BY263" s="906"/>
      <c r="BZ263" s="906"/>
      <c r="CA263" s="906"/>
      <c r="CB263" s="906"/>
      <c r="CC263" s="906"/>
      <c r="CD263" s="906"/>
      <c r="CE263" s="906"/>
      <c r="CF263" s="906"/>
      <c r="CG263" s="906"/>
      <c r="CH263" s="906"/>
      <c r="CI263" s="906"/>
      <c r="CJ263" s="906"/>
      <c r="CK263" s="906"/>
      <c r="CL263" s="906"/>
      <c r="CM263" s="906"/>
      <c r="CN263" s="906"/>
      <c r="CO263" s="906"/>
      <c r="CP263" s="906"/>
      <c r="CQ263" s="906"/>
      <c r="CR263" s="906"/>
      <c r="CS263" s="906"/>
      <c r="CT263" s="906"/>
      <c r="CU263" s="906"/>
      <c r="CV263" s="906"/>
      <c r="CW263" s="906"/>
      <c r="CX263" s="906"/>
      <c r="CY263" s="906"/>
      <c r="CZ263" s="906"/>
      <c r="DA263" s="906"/>
      <c r="DB263" s="906"/>
      <c r="DC263" s="906"/>
      <c r="DD263" s="906"/>
      <c r="DE263" s="906"/>
      <c r="DF263" s="906"/>
      <c r="DG263" s="906"/>
      <c r="DH263" s="906"/>
      <c r="DI263" s="906"/>
      <c r="DJ263" s="906"/>
      <c r="DK263" s="906"/>
      <c r="DL263" s="906"/>
      <c r="DM263" s="906"/>
      <c r="DN263" s="906"/>
      <c r="DO263" s="906"/>
      <c r="DP263" s="906"/>
      <c r="DQ263" s="906"/>
      <c r="DR263" s="906"/>
      <c r="DS263" s="906"/>
    </row>
    <row r="264" spans="9:123" s="854" customFormat="1">
      <c r="I264" s="895"/>
      <c r="J264" s="895"/>
      <c r="R264" s="906"/>
      <c r="S264" s="906"/>
      <c r="T264" s="906"/>
      <c r="U264" s="906"/>
      <c r="V264" s="906"/>
      <c r="W264" s="906"/>
      <c r="X264" s="906"/>
      <c r="Y264" s="906"/>
      <c r="Z264" s="906"/>
      <c r="AA264" s="906"/>
      <c r="AB264" s="906"/>
      <c r="AC264" s="906"/>
      <c r="AD264" s="906"/>
      <c r="AE264" s="906"/>
      <c r="AF264" s="906"/>
      <c r="AG264" s="906"/>
      <c r="AH264" s="906"/>
      <c r="AI264" s="906"/>
      <c r="AJ264" s="906"/>
      <c r="AK264" s="906"/>
      <c r="AL264" s="906"/>
      <c r="AM264" s="906"/>
      <c r="AN264" s="906"/>
      <c r="AO264" s="906"/>
      <c r="AP264" s="906"/>
      <c r="AQ264" s="906"/>
      <c r="AR264" s="906"/>
      <c r="AS264" s="906"/>
      <c r="AT264" s="906"/>
      <c r="AU264" s="906"/>
      <c r="AV264" s="906"/>
      <c r="AW264" s="906"/>
      <c r="AX264" s="906"/>
      <c r="AY264" s="906"/>
      <c r="AZ264" s="906"/>
      <c r="BA264" s="906"/>
      <c r="BB264" s="906"/>
      <c r="BC264" s="906"/>
      <c r="BD264" s="906"/>
      <c r="BE264" s="906"/>
      <c r="BF264" s="906"/>
      <c r="BG264" s="906"/>
      <c r="BH264" s="906"/>
      <c r="BI264" s="906"/>
      <c r="BJ264" s="906"/>
      <c r="BK264" s="906"/>
      <c r="BL264" s="906"/>
      <c r="BM264" s="906"/>
      <c r="BN264" s="906"/>
      <c r="BO264" s="906"/>
      <c r="BP264" s="906"/>
      <c r="BQ264" s="906"/>
      <c r="BR264" s="906"/>
      <c r="BS264" s="906"/>
      <c r="BT264" s="906"/>
      <c r="BU264" s="906"/>
      <c r="BV264" s="906"/>
      <c r="BW264" s="906"/>
      <c r="BX264" s="906"/>
      <c r="BY264" s="906"/>
      <c r="BZ264" s="906"/>
      <c r="CA264" s="906"/>
      <c r="CB264" s="906"/>
      <c r="CC264" s="906"/>
      <c r="CD264" s="906"/>
      <c r="CE264" s="906"/>
      <c r="CF264" s="906"/>
      <c r="CG264" s="906"/>
      <c r="CH264" s="906"/>
      <c r="CI264" s="906"/>
      <c r="CJ264" s="906"/>
      <c r="CK264" s="906"/>
      <c r="CL264" s="906"/>
      <c r="CM264" s="906"/>
      <c r="CN264" s="906"/>
      <c r="CO264" s="906"/>
      <c r="CP264" s="906"/>
      <c r="CQ264" s="906"/>
      <c r="CR264" s="906"/>
      <c r="CS264" s="906"/>
      <c r="CT264" s="906"/>
      <c r="CU264" s="906"/>
      <c r="CV264" s="906"/>
      <c r="CW264" s="906"/>
      <c r="CX264" s="906"/>
      <c r="CY264" s="906"/>
      <c r="CZ264" s="906"/>
      <c r="DA264" s="906"/>
      <c r="DB264" s="906"/>
      <c r="DC264" s="906"/>
      <c r="DD264" s="906"/>
      <c r="DE264" s="906"/>
      <c r="DF264" s="906"/>
      <c r="DG264" s="906"/>
      <c r="DH264" s="906"/>
      <c r="DI264" s="906"/>
      <c r="DJ264" s="906"/>
      <c r="DK264" s="906"/>
      <c r="DL264" s="906"/>
      <c r="DM264" s="906"/>
      <c r="DN264" s="906"/>
      <c r="DO264" s="906"/>
      <c r="DP264" s="906"/>
      <c r="DQ264" s="906"/>
      <c r="DR264" s="906"/>
      <c r="DS264" s="906"/>
    </row>
    <row r="265" spans="9:123" s="854" customFormat="1">
      <c r="I265" s="895"/>
      <c r="J265" s="895"/>
      <c r="R265" s="906"/>
      <c r="S265" s="906"/>
      <c r="T265" s="906"/>
      <c r="U265" s="906"/>
      <c r="V265" s="906"/>
      <c r="W265" s="906"/>
      <c r="X265" s="906"/>
      <c r="Y265" s="906"/>
      <c r="Z265" s="906"/>
      <c r="AA265" s="906"/>
      <c r="AB265" s="906"/>
      <c r="AC265" s="906"/>
      <c r="AD265" s="906"/>
      <c r="AE265" s="906"/>
      <c r="AF265" s="906"/>
      <c r="AG265" s="906"/>
      <c r="AH265" s="906"/>
      <c r="AI265" s="906"/>
      <c r="AJ265" s="906"/>
      <c r="AK265" s="906"/>
      <c r="AL265" s="906"/>
      <c r="AM265" s="906"/>
      <c r="AN265" s="906"/>
      <c r="AO265" s="906"/>
      <c r="AP265" s="906"/>
      <c r="AQ265" s="906"/>
      <c r="AR265" s="906"/>
      <c r="AS265" s="906"/>
      <c r="AT265" s="906"/>
      <c r="AU265" s="906"/>
      <c r="AV265" s="906"/>
      <c r="AW265" s="906"/>
      <c r="AX265" s="906"/>
      <c r="AY265" s="906"/>
      <c r="AZ265" s="906"/>
      <c r="BA265" s="906"/>
      <c r="BB265" s="906"/>
      <c r="BC265" s="906"/>
      <c r="BD265" s="906"/>
      <c r="BE265" s="906"/>
      <c r="BF265" s="906"/>
      <c r="BG265" s="906"/>
      <c r="BH265" s="906"/>
      <c r="BI265" s="906"/>
      <c r="BJ265" s="906"/>
      <c r="BK265" s="906"/>
      <c r="BL265" s="906"/>
      <c r="BM265" s="906"/>
      <c r="BN265" s="906"/>
      <c r="BO265" s="906"/>
      <c r="BP265" s="906"/>
      <c r="BQ265" s="906"/>
      <c r="BR265" s="906"/>
      <c r="BS265" s="906"/>
      <c r="BT265" s="906"/>
      <c r="BU265" s="906"/>
      <c r="BV265" s="906"/>
      <c r="BW265" s="906"/>
      <c r="BX265" s="906"/>
      <c r="BY265" s="906"/>
      <c r="BZ265" s="906"/>
      <c r="CA265" s="906"/>
      <c r="CB265" s="906"/>
      <c r="CC265" s="906"/>
      <c r="CD265" s="906"/>
      <c r="CE265" s="906"/>
      <c r="CF265" s="906"/>
      <c r="CG265" s="906"/>
      <c r="CH265" s="906"/>
      <c r="CI265" s="906"/>
      <c r="CJ265" s="906"/>
      <c r="CK265" s="906"/>
      <c r="CL265" s="906"/>
      <c r="CM265" s="906"/>
      <c r="CN265" s="906"/>
      <c r="CO265" s="906"/>
      <c r="CP265" s="906"/>
      <c r="CQ265" s="906"/>
      <c r="CR265" s="906"/>
      <c r="CS265" s="906"/>
      <c r="CT265" s="906"/>
      <c r="CU265" s="906"/>
      <c r="CV265" s="906"/>
      <c r="CW265" s="906"/>
      <c r="CX265" s="906"/>
      <c r="CY265" s="906"/>
      <c r="CZ265" s="906"/>
      <c r="DA265" s="906"/>
      <c r="DB265" s="906"/>
      <c r="DC265" s="906"/>
      <c r="DD265" s="906"/>
      <c r="DE265" s="906"/>
      <c r="DF265" s="906"/>
      <c r="DG265" s="906"/>
      <c r="DH265" s="906"/>
      <c r="DI265" s="906"/>
      <c r="DJ265" s="906"/>
      <c r="DK265" s="906"/>
      <c r="DL265" s="906"/>
      <c r="DM265" s="906"/>
      <c r="DN265" s="906"/>
      <c r="DO265" s="906"/>
      <c r="DP265" s="906"/>
      <c r="DQ265" s="906"/>
      <c r="DR265" s="906"/>
      <c r="DS265" s="906"/>
    </row>
    <row r="266" spans="9:123" s="854" customFormat="1">
      <c r="I266" s="895"/>
      <c r="J266" s="895"/>
      <c r="R266" s="906"/>
      <c r="S266" s="906"/>
      <c r="T266" s="906"/>
      <c r="U266" s="906"/>
      <c r="V266" s="906"/>
      <c r="W266" s="906"/>
      <c r="X266" s="906"/>
      <c r="Y266" s="906"/>
      <c r="Z266" s="906"/>
      <c r="AA266" s="906"/>
      <c r="AB266" s="906"/>
      <c r="AC266" s="906"/>
      <c r="AD266" s="906"/>
      <c r="AE266" s="906"/>
      <c r="AF266" s="906"/>
      <c r="AG266" s="906"/>
      <c r="AH266" s="906"/>
      <c r="AI266" s="906"/>
      <c r="AJ266" s="906"/>
      <c r="AK266" s="906"/>
      <c r="AL266" s="906"/>
      <c r="AM266" s="906"/>
      <c r="AN266" s="906"/>
      <c r="AO266" s="906"/>
      <c r="AP266" s="906"/>
      <c r="AQ266" s="906"/>
      <c r="AR266" s="906"/>
      <c r="AS266" s="906"/>
      <c r="AT266" s="906"/>
      <c r="AU266" s="906"/>
      <c r="AV266" s="906"/>
      <c r="AW266" s="906"/>
      <c r="AX266" s="906"/>
      <c r="AY266" s="906"/>
      <c r="AZ266" s="906"/>
      <c r="BA266" s="906"/>
      <c r="BB266" s="906"/>
      <c r="BC266" s="906"/>
      <c r="BD266" s="906"/>
      <c r="BE266" s="906"/>
      <c r="BF266" s="906"/>
      <c r="BG266" s="906"/>
      <c r="BH266" s="906"/>
      <c r="BI266" s="906"/>
      <c r="BJ266" s="906"/>
      <c r="BK266" s="906"/>
      <c r="BL266" s="906"/>
      <c r="BM266" s="906"/>
      <c r="BN266" s="906"/>
      <c r="BO266" s="906"/>
      <c r="BP266" s="906"/>
      <c r="BQ266" s="906"/>
      <c r="BR266" s="906"/>
      <c r="BS266" s="906"/>
      <c r="BT266" s="906"/>
      <c r="BU266" s="906"/>
      <c r="BV266" s="906"/>
      <c r="BW266" s="906"/>
      <c r="BX266" s="906"/>
      <c r="BY266" s="906"/>
      <c r="BZ266" s="906"/>
      <c r="CA266" s="906"/>
      <c r="CB266" s="906"/>
      <c r="CC266" s="906"/>
      <c r="CD266" s="906"/>
      <c r="CE266" s="906"/>
      <c r="CF266" s="906"/>
      <c r="CG266" s="906"/>
      <c r="CH266" s="906"/>
      <c r="CI266" s="906"/>
      <c r="CJ266" s="906"/>
      <c r="CK266" s="906"/>
      <c r="CL266" s="906"/>
      <c r="CM266" s="906"/>
      <c r="CN266" s="906"/>
      <c r="CO266" s="906"/>
      <c r="CP266" s="906"/>
      <c r="CQ266" s="906"/>
      <c r="CR266" s="906"/>
      <c r="CS266" s="906"/>
      <c r="CT266" s="906"/>
      <c r="CU266" s="906"/>
      <c r="CV266" s="906"/>
      <c r="CW266" s="906"/>
      <c r="CX266" s="906"/>
      <c r="CY266" s="906"/>
      <c r="CZ266" s="906"/>
      <c r="DA266" s="906"/>
      <c r="DB266" s="906"/>
      <c r="DC266" s="906"/>
      <c r="DD266" s="906"/>
      <c r="DE266" s="906"/>
      <c r="DF266" s="906"/>
      <c r="DG266" s="906"/>
      <c r="DH266" s="906"/>
      <c r="DI266" s="906"/>
      <c r="DJ266" s="906"/>
      <c r="DK266" s="906"/>
      <c r="DL266" s="906"/>
      <c r="DM266" s="906"/>
      <c r="DN266" s="906"/>
      <c r="DO266" s="906"/>
      <c r="DP266" s="906"/>
      <c r="DQ266" s="906"/>
      <c r="DR266" s="906"/>
      <c r="DS266" s="906"/>
    </row>
    <row r="267" spans="9:123" s="854" customFormat="1">
      <c r="I267" s="895"/>
      <c r="J267" s="895"/>
      <c r="R267" s="906"/>
      <c r="S267" s="906"/>
      <c r="T267" s="906"/>
      <c r="U267" s="906"/>
      <c r="V267" s="906"/>
      <c r="W267" s="906"/>
      <c r="X267" s="906"/>
      <c r="Y267" s="906"/>
      <c r="Z267" s="906"/>
      <c r="AA267" s="906"/>
      <c r="AB267" s="906"/>
      <c r="AC267" s="906"/>
      <c r="AD267" s="906"/>
      <c r="AE267" s="906"/>
      <c r="AF267" s="906"/>
      <c r="AG267" s="906"/>
      <c r="AH267" s="906"/>
      <c r="AI267" s="906"/>
      <c r="AJ267" s="906"/>
      <c r="AK267" s="906"/>
      <c r="AL267" s="906"/>
      <c r="AM267" s="906"/>
      <c r="AN267" s="906"/>
      <c r="AO267" s="906"/>
      <c r="AP267" s="906"/>
      <c r="AQ267" s="906"/>
      <c r="AR267" s="906"/>
      <c r="AS267" s="906"/>
      <c r="AT267" s="906"/>
      <c r="AU267" s="906"/>
      <c r="AV267" s="906"/>
      <c r="AW267" s="906"/>
      <c r="AX267" s="906"/>
      <c r="AY267" s="906"/>
      <c r="AZ267" s="906"/>
      <c r="BA267" s="906"/>
      <c r="BB267" s="906"/>
      <c r="BC267" s="906"/>
      <c r="BD267" s="906"/>
      <c r="BE267" s="906"/>
      <c r="BF267" s="906"/>
      <c r="BG267" s="906"/>
      <c r="BH267" s="906"/>
      <c r="BI267" s="906"/>
      <c r="BJ267" s="906"/>
      <c r="BK267" s="906"/>
      <c r="BL267" s="906"/>
      <c r="BM267" s="906"/>
      <c r="BN267" s="906"/>
      <c r="BO267" s="906"/>
      <c r="BP267" s="906"/>
      <c r="BQ267" s="906"/>
      <c r="BR267" s="906"/>
      <c r="BS267" s="906"/>
      <c r="BT267" s="906"/>
      <c r="BU267" s="906"/>
      <c r="BV267" s="906"/>
      <c r="BW267" s="906"/>
      <c r="BX267" s="906"/>
      <c r="BY267" s="906"/>
      <c r="BZ267" s="906"/>
      <c r="CA267" s="906"/>
      <c r="CB267" s="906"/>
      <c r="CC267" s="906"/>
      <c r="CD267" s="906"/>
      <c r="CE267" s="906"/>
      <c r="CF267" s="906"/>
      <c r="CG267" s="906"/>
      <c r="CH267" s="906"/>
      <c r="CI267" s="906"/>
      <c r="CJ267" s="906"/>
      <c r="CK267" s="906"/>
      <c r="CL267" s="906"/>
      <c r="CM267" s="906"/>
      <c r="CN267" s="906"/>
      <c r="CO267" s="906"/>
      <c r="CP267" s="906"/>
      <c r="CQ267" s="906"/>
      <c r="CR267" s="906"/>
      <c r="CS267" s="906"/>
      <c r="CT267" s="906"/>
      <c r="CU267" s="906"/>
      <c r="CV267" s="906"/>
      <c r="CW267" s="906"/>
      <c r="CX267" s="906"/>
      <c r="CY267" s="906"/>
      <c r="CZ267" s="906"/>
      <c r="DA267" s="906"/>
      <c r="DB267" s="906"/>
      <c r="DC267" s="906"/>
      <c r="DD267" s="906"/>
      <c r="DE267" s="906"/>
      <c r="DF267" s="906"/>
      <c r="DG267" s="906"/>
      <c r="DH267" s="906"/>
      <c r="DI267" s="906"/>
      <c r="DJ267" s="906"/>
      <c r="DK267" s="906"/>
      <c r="DL267" s="906"/>
      <c r="DM267" s="906"/>
      <c r="DN267" s="906"/>
      <c r="DO267" s="906"/>
      <c r="DP267" s="906"/>
      <c r="DQ267" s="906"/>
      <c r="DR267" s="906"/>
      <c r="DS267" s="906"/>
    </row>
    <row r="268" spans="9:123" s="854" customFormat="1">
      <c r="I268" s="895"/>
      <c r="J268" s="895"/>
      <c r="R268" s="906"/>
      <c r="S268" s="906"/>
      <c r="T268" s="906"/>
      <c r="U268" s="906"/>
      <c r="V268" s="906"/>
      <c r="W268" s="906"/>
      <c r="X268" s="906"/>
      <c r="Y268" s="906"/>
      <c r="Z268" s="906"/>
      <c r="AA268" s="906"/>
      <c r="AB268" s="906"/>
      <c r="AC268" s="906"/>
      <c r="AD268" s="906"/>
      <c r="AE268" s="906"/>
      <c r="AF268" s="906"/>
      <c r="AG268" s="906"/>
      <c r="AH268" s="906"/>
      <c r="AI268" s="906"/>
      <c r="AJ268" s="906"/>
      <c r="AK268" s="906"/>
      <c r="AL268" s="906"/>
      <c r="AM268" s="906"/>
      <c r="AN268" s="906"/>
      <c r="AO268" s="906"/>
      <c r="AP268" s="906"/>
      <c r="AQ268" s="906"/>
      <c r="AR268" s="906"/>
      <c r="AS268" s="906"/>
      <c r="AT268" s="906"/>
      <c r="AU268" s="906"/>
      <c r="AV268" s="906"/>
      <c r="AW268" s="906"/>
      <c r="AX268" s="906"/>
      <c r="AY268" s="906"/>
      <c r="AZ268" s="906"/>
      <c r="BA268" s="906"/>
      <c r="BB268" s="906"/>
      <c r="BC268" s="906"/>
      <c r="BD268" s="906"/>
      <c r="BE268" s="906"/>
      <c r="BF268" s="906"/>
      <c r="BG268" s="906"/>
      <c r="BH268" s="906"/>
      <c r="BI268" s="906"/>
      <c r="BJ268" s="906"/>
      <c r="BK268" s="906"/>
      <c r="BL268" s="906"/>
      <c r="BM268" s="906"/>
      <c r="BN268" s="906"/>
      <c r="BO268" s="906"/>
      <c r="BP268" s="906"/>
      <c r="BQ268" s="906"/>
      <c r="BR268" s="906"/>
      <c r="BS268" s="906"/>
      <c r="BT268" s="906"/>
      <c r="BU268" s="906"/>
      <c r="BV268" s="906"/>
      <c r="BW268" s="906"/>
      <c r="BX268" s="906"/>
      <c r="BY268" s="906"/>
      <c r="BZ268" s="906"/>
      <c r="CA268" s="906"/>
      <c r="CB268" s="906"/>
      <c r="CC268" s="906"/>
      <c r="CD268" s="906"/>
      <c r="CE268" s="906"/>
      <c r="CF268" s="906"/>
      <c r="CG268" s="906"/>
      <c r="CH268" s="906"/>
      <c r="CI268" s="906"/>
      <c r="CJ268" s="906"/>
      <c r="CK268" s="906"/>
      <c r="CL268" s="906"/>
      <c r="CM268" s="906"/>
      <c r="CN268" s="906"/>
      <c r="CO268" s="906"/>
      <c r="CP268" s="906"/>
      <c r="CQ268" s="906"/>
      <c r="CR268" s="906"/>
      <c r="CS268" s="906"/>
      <c r="CT268" s="906"/>
      <c r="CU268" s="906"/>
      <c r="CV268" s="906"/>
      <c r="CW268" s="906"/>
      <c r="CX268" s="906"/>
      <c r="CY268" s="906"/>
      <c r="CZ268" s="906"/>
      <c r="DA268" s="906"/>
      <c r="DB268" s="906"/>
      <c r="DC268" s="906"/>
      <c r="DD268" s="906"/>
      <c r="DE268" s="906"/>
      <c r="DF268" s="906"/>
      <c r="DG268" s="906"/>
      <c r="DH268" s="906"/>
      <c r="DI268" s="906"/>
      <c r="DJ268" s="906"/>
      <c r="DK268" s="906"/>
      <c r="DL268" s="906"/>
      <c r="DM268" s="906"/>
      <c r="DN268" s="906"/>
      <c r="DO268" s="906"/>
      <c r="DP268" s="906"/>
      <c r="DQ268" s="906"/>
      <c r="DR268" s="906"/>
      <c r="DS268" s="906"/>
    </row>
    <row r="269" spans="9:123" s="854" customFormat="1">
      <c r="I269" s="895"/>
      <c r="J269" s="895"/>
      <c r="R269" s="906"/>
      <c r="S269" s="906"/>
      <c r="T269" s="906"/>
      <c r="U269" s="906"/>
      <c r="V269" s="906"/>
      <c r="W269" s="906"/>
      <c r="X269" s="906"/>
      <c r="Y269" s="906"/>
      <c r="Z269" s="906"/>
      <c r="AA269" s="906"/>
      <c r="AB269" s="906"/>
      <c r="AC269" s="906"/>
      <c r="AD269" s="906"/>
      <c r="AE269" s="906"/>
      <c r="AF269" s="906"/>
      <c r="AG269" s="906"/>
      <c r="AH269" s="906"/>
      <c r="AI269" s="906"/>
      <c r="AJ269" s="906"/>
      <c r="AK269" s="906"/>
      <c r="AL269" s="906"/>
      <c r="AM269" s="906"/>
      <c r="AN269" s="906"/>
      <c r="AO269" s="906"/>
      <c r="AP269" s="906"/>
      <c r="AQ269" s="906"/>
      <c r="AR269" s="906"/>
      <c r="AS269" s="906"/>
      <c r="AT269" s="906"/>
      <c r="AU269" s="906"/>
      <c r="AV269" s="906"/>
      <c r="AW269" s="906"/>
      <c r="AX269" s="906"/>
      <c r="AY269" s="906"/>
      <c r="AZ269" s="906"/>
      <c r="BA269" s="906"/>
      <c r="BB269" s="906"/>
      <c r="BC269" s="906"/>
      <c r="BD269" s="906"/>
      <c r="BE269" s="906"/>
      <c r="BF269" s="906"/>
      <c r="BG269" s="906"/>
      <c r="BH269" s="906"/>
      <c r="BI269" s="906"/>
      <c r="BJ269" s="906"/>
      <c r="BK269" s="906"/>
      <c r="BL269" s="906"/>
      <c r="BM269" s="906"/>
      <c r="BN269" s="906"/>
      <c r="BO269" s="906"/>
      <c r="BP269" s="906"/>
      <c r="BQ269" s="906"/>
      <c r="BR269" s="906"/>
      <c r="BS269" s="906"/>
      <c r="BT269" s="906"/>
      <c r="BU269" s="906"/>
      <c r="BV269" s="906"/>
      <c r="BW269" s="906"/>
      <c r="BX269" s="906"/>
      <c r="BY269" s="906"/>
      <c r="BZ269" s="906"/>
      <c r="CA269" s="906"/>
      <c r="CB269" s="906"/>
      <c r="CC269" s="906"/>
      <c r="CD269" s="906"/>
      <c r="CE269" s="906"/>
      <c r="CF269" s="906"/>
      <c r="CG269" s="906"/>
      <c r="CH269" s="906"/>
      <c r="CI269" s="906"/>
      <c r="CJ269" s="906"/>
      <c r="CK269" s="906"/>
      <c r="CL269" s="906"/>
      <c r="CM269" s="906"/>
      <c r="CN269" s="906"/>
      <c r="CO269" s="906"/>
      <c r="CP269" s="906"/>
      <c r="CQ269" s="906"/>
      <c r="CR269" s="906"/>
      <c r="CS269" s="906"/>
      <c r="CT269" s="906"/>
      <c r="CU269" s="906"/>
      <c r="CV269" s="906"/>
      <c r="CW269" s="906"/>
      <c r="CX269" s="906"/>
      <c r="CY269" s="906"/>
      <c r="CZ269" s="906"/>
      <c r="DA269" s="906"/>
      <c r="DB269" s="906"/>
      <c r="DC269" s="906"/>
      <c r="DD269" s="906"/>
      <c r="DE269" s="906"/>
      <c r="DF269" s="906"/>
      <c r="DG269" s="906"/>
      <c r="DH269" s="906"/>
      <c r="DI269" s="906"/>
      <c r="DJ269" s="906"/>
      <c r="DK269" s="906"/>
      <c r="DL269" s="906"/>
      <c r="DM269" s="906"/>
      <c r="DN269" s="906"/>
      <c r="DO269" s="906"/>
      <c r="DP269" s="906"/>
      <c r="DQ269" s="906"/>
      <c r="DR269" s="906"/>
      <c r="DS269" s="906"/>
    </row>
    <row r="270" spans="9:123" s="854" customFormat="1">
      <c r="I270" s="895"/>
      <c r="J270" s="895"/>
      <c r="R270" s="906"/>
      <c r="S270" s="906"/>
      <c r="T270" s="906"/>
      <c r="U270" s="906"/>
      <c r="V270" s="906"/>
      <c r="W270" s="906"/>
      <c r="X270" s="906"/>
      <c r="Y270" s="906"/>
      <c r="Z270" s="906"/>
      <c r="AA270" s="906"/>
      <c r="AB270" s="906"/>
      <c r="AC270" s="906"/>
      <c r="AD270" s="906"/>
      <c r="AE270" s="906"/>
      <c r="AF270" s="906"/>
      <c r="AG270" s="906"/>
      <c r="AH270" s="906"/>
      <c r="AI270" s="906"/>
      <c r="AJ270" s="906"/>
      <c r="AK270" s="906"/>
      <c r="AL270" s="906"/>
      <c r="AM270" s="906"/>
      <c r="AN270" s="906"/>
      <c r="AO270" s="906"/>
      <c r="AP270" s="906"/>
      <c r="AQ270" s="906"/>
      <c r="AR270" s="906"/>
      <c r="AS270" s="906"/>
      <c r="AT270" s="906"/>
      <c r="AU270" s="906"/>
      <c r="AV270" s="906"/>
      <c r="AW270" s="906"/>
      <c r="AX270" s="906"/>
      <c r="AY270" s="906"/>
      <c r="AZ270" s="906"/>
      <c r="BA270" s="906"/>
      <c r="BB270" s="906"/>
      <c r="BC270" s="906"/>
      <c r="BD270" s="906"/>
      <c r="BE270" s="906"/>
      <c r="BF270" s="906"/>
      <c r="BG270" s="906"/>
      <c r="BH270" s="906"/>
      <c r="BI270" s="906"/>
      <c r="BJ270" s="906"/>
      <c r="BK270" s="906"/>
      <c r="BL270" s="906"/>
      <c r="BM270" s="906"/>
      <c r="BN270" s="906"/>
      <c r="BO270" s="906"/>
      <c r="BP270" s="906"/>
      <c r="BQ270" s="906"/>
      <c r="BR270" s="906"/>
      <c r="BS270" s="906"/>
      <c r="BT270" s="906"/>
      <c r="BU270" s="906"/>
      <c r="BV270" s="906"/>
      <c r="BW270" s="906"/>
      <c r="BX270" s="906"/>
      <c r="BY270" s="906"/>
      <c r="BZ270" s="906"/>
      <c r="CA270" s="906"/>
      <c r="CB270" s="906"/>
      <c r="CC270" s="906"/>
      <c r="CD270" s="906"/>
      <c r="CE270" s="906"/>
      <c r="CF270" s="906"/>
      <c r="CG270" s="906"/>
      <c r="CH270" s="906"/>
      <c r="CI270" s="906"/>
      <c r="CJ270" s="906"/>
      <c r="CK270" s="906"/>
      <c r="CL270" s="906"/>
      <c r="CM270" s="906"/>
      <c r="CN270" s="906"/>
      <c r="CO270" s="906"/>
      <c r="CP270" s="906"/>
      <c r="CQ270" s="906"/>
      <c r="CR270" s="906"/>
      <c r="CS270" s="906"/>
      <c r="CT270" s="906"/>
      <c r="CU270" s="906"/>
      <c r="CV270" s="906"/>
      <c r="CW270" s="906"/>
      <c r="CX270" s="906"/>
      <c r="CY270" s="906"/>
      <c r="CZ270" s="906"/>
      <c r="DA270" s="906"/>
      <c r="DB270" s="906"/>
      <c r="DC270" s="906"/>
      <c r="DD270" s="906"/>
      <c r="DE270" s="906"/>
      <c r="DF270" s="906"/>
      <c r="DG270" s="906"/>
      <c r="DH270" s="906"/>
      <c r="DI270" s="906"/>
      <c r="DJ270" s="906"/>
      <c r="DK270" s="906"/>
      <c r="DL270" s="906"/>
      <c r="DM270" s="906"/>
      <c r="DN270" s="906"/>
      <c r="DO270" s="906"/>
      <c r="DP270" s="906"/>
      <c r="DQ270" s="906"/>
      <c r="DR270" s="906"/>
      <c r="DS270" s="906"/>
    </row>
    <row r="271" spans="9:123" s="854" customFormat="1">
      <c r="I271" s="895"/>
      <c r="J271" s="895"/>
      <c r="R271" s="906"/>
      <c r="S271" s="906"/>
      <c r="T271" s="906"/>
      <c r="U271" s="906"/>
      <c r="V271" s="906"/>
      <c r="W271" s="906"/>
      <c r="X271" s="906"/>
      <c r="Y271" s="906"/>
      <c r="Z271" s="906"/>
      <c r="AA271" s="906"/>
      <c r="AB271" s="906"/>
      <c r="AC271" s="906"/>
      <c r="AD271" s="906"/>
      <c r="AE271" s="906"/>
      <c r="AF271" s="906"/>
      <c r="AG271" s="906"/>
      <c r="AH271" s="906"/>
      <c r="AI271" s="906"/>
      <c r="AJ271" s="906"/>
      <c r="AK271" s="906"/>
      <c r="AL271" s="906"/>
      <c r="AM271" s="906"/>
      <c r="AN271" s="906"/>
      <c r="AO271" s="906"/>
      <c r="AP271" s="906"/>
      <c r="AQ271" s="906"/>
      <c r="AR271" s="906"/>
      <c r="AS271" s="906"/>
      <c r="AT271" s="906"/>
      <c r="AU271" s="906"/>
      <c r="AV271" s="906"/>
      <c r="AW271" s="906"/>
      <c r="AX271" s="906"/>
      <c r="AY271" s="906"/>
      <c r="AZ271" s="906"/>
      <c r="BA271" s="906"/>
      <c r="BB271" s="906"/>
      <c r="BC271" s="906"/>
      <c r="BD271" s="906"/>
      <c r="BE271" s="906"/>
      <c r="BF271" s="906"/>
      <c r="BG271" s="906"/>
      <c r="BH271" s="906"/>
      <c r="BI271" s="906"/>
      <c r="BJ271" s="906"/>
      <c r="BK271" s="906"/>
      <c r="BL271" s="906"/>
      <c r="BM271" s="906"/>
      <c r="BN271" s="906"/>
      <c r="BO271" s="906"/>
      <c r="BP271" s="906"/>
      <c r="BQ271" s="906"/>
      <c r="BR271" s="906"/>
      <c r="BS271" s="906"/>
      <c r="BT271" s="906"/>
      <c r="BU271" s="906"/>
      <c r="BV271" s="906"/>
      <c r="BW271" s="906"/>
      <c r="BX271" s="906"/>
      <c r="BY271" s="906"/>
      <c r="BZ271" s="906"/>
      <c r="CA271" s="906"/>
      <c r="CB271" s="906"/>
      <c r="CC271" s="906"/>
      <c r="CD271" s="906"/>
      <c r="CE271" s="906"/>
      <c r="CF271" s="906"/>
      <c r="CG271" s="906"/>
      <c r="CH271" s="906"/>
      <c r="CI271" s="906"/>
      <c r="CJ271" s="906"/>
      <c r="CK271" s="906"/>
      <c r="CL271" s="906"/>
      <c r="CM271" s="906"/>
      <c r="CN271" s="906"/>
      <c r="CO271" s="906"/>
      <c r="CP271" s="906"/>
      <c r="CQ271" s="906"/>
      <c r="CR271" s="906"/>
      <c r="CS271" s="906"/>
      <c r="CT271" s="906"/>
      <c r="CU271" s="906"/>
      <c r="CV271" s="906"/>
      <c r="CW271" s="906"/>
      <c r="CX271" s="906"/>
      <c r="CY271" s="906"/>
      <c r="CZ271" s="906"/>
      <c r="DA271" s="906"/>
      <c r="DB271" s="906"/>
      <c r="DC271" s="906"/>
      <c r="DD271" s="906"/>
      <c r="DE271" s="906"/>
      <c r="DF271" s="906"/>
      <c r="DG271" s="906"/>
      <c r="DH271" s="906"/>
      <c r="DI271" s="906"/>
      <c r="DJ271" s="906"/>
      <c r="DK271" s="906"/>
      <c r="DL271" s="906"/>
      <c r="DM271" s="906"/>
      <c r="DN271" s="906"/>
      <c r="DO271" s="906"/>
      <c r="DP271" s="906"/>
      <c r="DQ271" s="906"/>
      <c r="DR271" s="906"/>
      <c r="DS271" s="906"/>
    </row>
    <row r="272" spans="9:123" s="854" customFormat="1">
      <c r="I272" s="895"/>
      <c r="J272" s="895"/>
      <c r="R272" s="906"/>
      <c r="S272" s="906"/>
      <c r="T272" s="906"/>
      <c r="U272" s="906"/>
      <c r="V272" s="906"/>
      <c r="W272" s="906"/>
      <c r="X272" s="906"/>
      <c r="Y272" s="906"/>
      <c r="Z272" s="906"/>
      <c r="AA272" s="906"/>
      <c r="AB272" s="906"/>
      <c r="AC272" s="906"/>
      <c r="AD272" s="906"/>
      <c r="AE272" s="906"/>
      <c r="AF272" s="906"/>
      <c r="AG272" s="906"/>
      <c r="AH272" s="906"/>
      <c r="AI272" s="906"/>
      <c r="AJ272" s="906"/>
      <c r="AK272" s="906"/>
      <c r="AL272" s="906"/>
      <c r="AM272" s="906"/>
      <c r="AN272" s="906"/>
      <c r="AO272" s="906"/>
      <c r="AP272" s="906"/>
      <c r="AQ272" s="906"/>
      <c r="AR272" s="906"/>
      <c r="AS272" s="906"/>
      <c r="AT272" s="906"/>
      <c r="AU272" s="906"/>
      <c r="AV272" s="906"/>
      <c r="AW272" s="906"/>
      <c r="AX272" s="906"/>
      <c r="AY272" s="906"/>
      <c r="AZ272" s="906"/>
      <c r="BA272" s="906"/>
      <c r="BB272" s="906"/>
      <c r="BC272" s="906"/>
      <c r="BD272" s="906"/>
      <c r="BE272" s="906"/>
      <c r="BF272" s="906"/>
      <c r="BG272" s="906"/>
      <c r="BH272" s="906"/>
      <c r="BI272" s="906"/>
      <c r="BJ272" s="906"/>
      <c r="BK272" s="906"/>
      <c r="BL272" s="906"/>
      <c r="BM272" s="906"/>
      <c r="BN272" s="906"/>
      <c r="BO272" s="906"/>
      <c r="BP272" s="906"/>
      <c r="BQ272" s="906"/>
      <c r="BR272" s="906"/>
      <c r="BS272" s="906"/>
      <c r="BT272" s="906"/>
      <c r="BU272" s="906"/>
      <c r="BV272" s="906"/>
      <c r="BW272" s="906"/>
      <c r="BX272" s="906"/>
      <c r="BY272" s="906"/>
      <c r="BZ272" s="906"/>
      <c r="CA272" s="906"/>
      <c r="CB272" s="906"/>
      <c r="CC272" s="906"/>
      <c r="CD272" s="906"/>
      <c r="CE272" s="906"/>
      <c r="CF272" s="906"/>
      <c r="CG272" s="906"/>
      <c r="CH272" s="906"/>
      <c r="CI272" s="906"/>
      <c r="CJ272" s="906"/>
      <c r="CK272" s="906"/>
      <c r="CL272" s="906"/>
      <c r="CM272" s="906"/>
      <c r="CN272" s="906"/>
      <c r="CO272" s="906"/>
      <c r="CP272" s="906"/>
      <c r="CQ272" s="906"/>
      <c r="CR272" s="906"/>
      <c r="CS272" s="906"/>
      <c r="CT272" s="906"/>
      <c r="CU272" s="906"/>
      <c r="CV272" s="906"/>
      <c r="CW272" s="906"/>
      <c r="CX272" s="906"/>
      <c r="CY272" s="906"/>
      <c r="CZ272" s="906"/>
      <c r="DA272" s="906"/>
      <c r="DB272" s="906"/>
      <c r="DC272" s="906"/>
      <c r="DD272" s="906"/>
      <c r="DE272" s="906"/>
      <c r="DF272" s="906"/>
      <c r="DG272" s="906"/>
      <c r="DH272" s="906"/>
      <c r="DI272" s="906"/>
      <c r="DJ272" s="906"/>
      <c r="DK272" s="906"/>
      <c r="DL272" s="906"/>
      <c r="DM272" s="906"/>
      <c r="DN272" s="906"/>
      <c r="DO272" s="906"/>
      <c r="DP272" s="906"/>
      <c r="DQ272" s="906"/>
      <c r="DR272" s="906"/>
      <c r="DS272" s="906"/>
    </row>
    <row r="273" spans="9:123" s="854" customFormat="1">
      <c r="I273" s="895"/>
      <c r="J273" s="895"/>
      <c r="R273" s="906"/>
      <c r="S273" s="906"/>
      <c r="T273" s="906"/>
      <c r="U273" s="906"/>
      <c r="V273" s="906"/>
      <c r="W273" s="906"/>
      <c r="X273" s="906"/>
      <c r="Y273" s="906"/>
      <c r="Z273" s="906"/>
      <c r="AA273" s="906"/>
      <c r="AB273" s="906"/>
      <c r="AC273" s="906"/>
      <c r="AD273" s="906"/>
      <c r="AE273" s="906"/>
      <c r="AF273" s="906"/>
      <c r="AG273" s="906"/>
      <c r="AH273" s="906"/>
      <c r="AI273" s="906"/>
      <c r="AJ273" s="906"/>
      <c r="AK273" s="906"/>
      <c r="AL273" s="906"/>
      <c r="AM273" s="906"/>
      <c r="AN273" s="906"/>
      <c r="AO273" s="906"/>
      <c r="AP273" s="906"/>
      <c r="AQ273" s="906"/>
      <c r="AR273" s="906"/>
      <c r="AS273" s="906"/>
      <c r="AT273" s="906"/>
      <c r="AU273" s="906"/>
      <c r="AV273" s="906"/>
      <c r="AW273" s="906"/>
      <c r="AX273" s="906"/>
      <c r="AY273" s="906"/>
      <c r="AZ273" s="906"/>
      <c r="BA273" s="906"/>
      <c r="BB273" s="906"/>
      <c r="BC273" s="906"/>
      <c r="BD273" s="906"/>
      <c r="BE273" s="906"/>
      <c r="BF273" s="906"/>
      <c r="BG273" s="906"/>
      <c r="BH273" s="906"/>
      <c r="BI273" s="906"/>
      <c r="BJ273" s="906"/>
      <c r="BK273" s="906"/>
      <c r="BL273" s="906"/>
      <c r="BM273" s="906"/>
      <c r="BN273" s="906"/>
      <c r="BO273" s="906"/>
      <c r="BP273" s="906"/>
      <c r="BQ273" s="906"/>
      <c r="BR273" s="906"/>
      <c r="BS273" s="906"/>
      <c r="BT273" s="906"/>
      <c r="BU273" s="906"/>
      <c r="BV273" s="906"/>
      <c r="BW273" s="906"/>
      <c r="BX273" s="906"/>
      <c r="BY273" s="906"/>
      <c r="BZ273" s="906"/>
      <c r="CA273" s="906"/>
      <c r="CB273" s="906"/>
      <c r="CC273" s="906"/>
      <c r="CD273" s="906"/>
      <c r="CE273" s="906"/>
      <c r="CF273" s="906"/>
      <c r="CG273" s="906"/>
      <c r="CH273" s="906"/>
      <c r="CI273" s="906"/>
      <c r="CJ273" s="906"/>
      <c r="CK273" s="906"/>
      <c r="CL273" s="906"/>
      <c r="CM273" s="906"/>
      <c r="CN273" s="906"/>
      <c r="CO273" s="906"/>
      <c r="CP273" s="906"/>
      <c r="CQ273" s="906"/>
      <c r="CR273" s="906"/>
      <c r="CS273" s="906"/>
      <c r="CT273" s="906"/>
      <c r="CU273" s="906"/>
      <c r="CV273" s="906"/>
      <c r="CW273" s="906"/>
      <c r="CX273" s="906"/>
      <c r="CY273" s="906"/>
      <c r="CZ273" s="906"/>
      <c r="DA273" s="906"/>
      <c r="DB273" s="906"/>
      <c r="DC273" s="906"/>
      <c r="DD273" s="906"/>
      <c r="DE273" s="906"/>
      <c r="DF273" s="906"/>
      <c r="DG273" s="906"/>
      <c r="DH273" s="906"/>
      <c r="DI273" s="906"/>
      <c r="DJ273" s="906"/>
      <c r="DK273" s="906"/>
      <c r="DL273" s="906"/>
      <c r="DM273" s="906"/>
      <c r="DN273" s="906"/>
      <c r="DO273" s="906"/>
      <c r="DP273" s="906"/>
      <c r="DQ273" s="906"/>
      <c r="DR273" s="906"/>
      <c r="DS273" s="906"/>
    </row>
    <row r="274" spans="9:123" s="854" customFormat="1">
      <c r="I274" s="895"/>
      <c r="J274" s="895"/>
      <c r="R274" s="906"/>
      <c r="S274" s="906"/>
      <c r="T274" s="906"/>
      <c r="U274" s="906"/>
      <c r="V274" s="906"/>
      <c r="W274" s="906"/>
      <c r="X274" s="906"/>
      <c r="Y274" s="906"/>
      <c r="Z274" s="906"/>
      <c r="AA274" s="906"/>
      <c r="AB274" s="906"/>
      <c r="AC274" s="906"/>
      <c r="AD274" s="906"/>
      <c r="AE274" s="906"/>
      <c r="AF274" s="906"/>
      <c r="AG274" s="906"/>
      <c r="AH274" s="906"/>
      <c r="AI274" s="906"/>
      <c r="AJ274" s="906"/>
      <c r="AK274" s="906"/>
      <c r="AL274" s="906"/>
      <c r="AM274" s="906"/>
      <c r="AN274" s="906"/>
      <c r="AO274" s="906"/>
      <c r="AP274" s="906"/>
      <c r="AQ274" s="906"/>
      <c r="AR274" s="906"/>
      <c r="AS274" s="906"/>
      <c r="AT274" s="906"/>
      <c r="AU274" s="906"/>
      <c r="AV274" s="906"/>
      <c r="AW274" s="906"/>
      <c r="AX274" s="906"/>
      <c r="AY274" s="906"/>
      <c r="AZ274" s="906"/>
      <c r="BA274" s="906"/>
      <c r="BB274" s="906"/>
      <c r="BC274" s="906"/>
      <c r="BD274" s="906"/>
      <c r="BE274" s="906"/>
      <c r="BF274" s="906"/>
      <c r="BG274" s="906"/>
      <c r="BH274" s="906"/>
      <c r="BI274" s="906"/>
      <c r="BJ274" s="906"/>
      <c r="BK274" s="906"/>
      <c r="BL274" s="906"/>
      <c r="BM274" s="906"/>
      <c r="BN274" s="906"/>
      <c r="BO274" s="906"/>
      <c r="BP274" s="906"/>
      <c r="BQ274" s="906"/>
      <c r="BR274" s="906"/>
      <c r="BS274" s="906"/>
      <c r="BT274" s="906"/>
      <c r="BU274" s="906"/>
      <c r="BV274" s="906"/>
      <c r="BW274" s="906"/>
      <c r="BX274" s="906"/>
      <c r="BY274" s="906"/>
      <c r="BZ274" s="906"/>
      <c r="CA274" s="906"/>
      <c r="CB274" s="906"/>
      <c r="CC274" s="906"/>
      <c r="CD274" s="906"/>
      <c r="CE274" s="906"/>
      <c r="CF274" s="906"/>
      <c r="CG274" s="906"/>
      <c r="CH274" s="906"/>
      <c r="CI274" s="906"/>
      <c r="CJ274" s="906"/>
      <c r="CK274" s="906"/>
      <c r="CL274" s="906"/>
      <c r="CM274" s="906"/>
      <c r="CN274" s="906"/>
      <c r="CO274" s="906"/>
      <c r="CP274" s="906"/>
      <c r="CQ274" s="906"/>
      <c r="CR274" s="906"/>
      <c r="CS274" s="906"/>
      <c r="CT274" s="906"/>
      <c r="CU274" s="906"/>
      <c r="CV274" s="906"/>
      <c r="CW274" s="906"/>
      <c r="CX274" s="906"/>
      <c r="CY274" s="906"/>
      <c r="CZ274" s="906"/>
      <c r="DA274" s="906"/>
      <c r="DB274" s="906"/>
      <c r="DC274" s="906"/>
      <c r="DD274" s="906"/>
      <c r="DE274" s="906"/>
      <c r="DF274" s="906"/>
      <c r="DG274" s="906"/>
      <c r="DH274" s="906"/>
      <c r="DI274" s="906"/>
      <c r="DJ274" s="906"/>
      <c r="DK274" s="906"/>
      <c r="DL274" s="906"/>
      <c r="DM274" s="906"/>
      <c r="DN274" s="906"/>
      <c r="DO274" s="906"/>
      <c r="DP274" s="906"/>
      <c r="DQ274" s="906"/>
      <c r="DR274" s="906"/>
      <c r="DS274" s="906"/>
    </row>
    <row r="275" spans="9:123" s="854" customFormat="1">
      <c r="I275" s="895"/>
      <c r="J275" s="895"/>
      <c r="R275" s="906"/>
      <c r="S275" s="906"/>
      <c r="T275" s="906"/>
      <c r="U275" s="906"/>
      <c r="V275" s="906"/>
      <c r="W275" s="906"/>
      <c r="X275" s="906"/>
      <c r="Y275" s="906"/>
      <c r="Z275" s="906"/>
      <c r="AA275" s="906"/>
      <c r="AB275" s="906"/>
      <c r="AC275" s="906"/>
      <c r="AD275" s="906"/>
      <c r="AE275" s="906"/>
      <c r="AF275" s="906"/>
      <c r="AG275" s="906"/>
      <c r="AH275" s="906"/>
      <c r="AI275" s="906"/>
      <c r="AJ275" s="906"/>
      <c r="AK275" s="906"/>
      <c r="AL275" s="906"/>
      <c r="AM275" s="906"/>
      <c r="AN275" s="906"/>
      <c r="AO275" s="906"/>
      <c r="AP275" s="906"/>
      <c r="AQ275" s="906"/>
      <c r="AR275" s="906"/>
      <c r="AS275" s="906"/>
      <c r="AT275" s="906"/>
      <c r="AU275" s="906"/>
      <c r="AV275" s="906"/>
      <c r="AW275" s="906"/>
      <c r="AX275" s="906"/>
      <c r="AY275" s="906"/>
      <c r="AZ275" s="906"/>
      <c r="BA275" s="906"/>
      <c r="BB275" s="906"/>
      <c r="BC275" s="906"/>
      <c r="BD275" s="906"/>
      <c r="BE275" s="906"/>
      <c r="BF275" s="906"/>
      <c r="BG275" s="906"/>
      <c r="BH275" s="906"/>
      <c r="BI275" s="906"/>
      <c r="BJ275" s="906"/>
      <c r="BK275" s="906"/>
      <c r="BL275" s="906"/>
      <c r="BM275" s="906"/>
      <c r="BN275" s="906"/>
      <c r="BO275" s="906"/>
      <c r="BP275" s="906"/>
      <c r="BQ275" s="906"/>
      <c r="BR275" s="906"/>
      <c r="BS275" s="906"/>
      <c r="BT275" s="906"/>
      <c r="BU275" s="906"/>
      <c r="BV275" s="906"/>
      <c r="BW275" s="906"/>
      <c r="BX275" s="906"/>
      <c r="BY275" s="906"/>
      <c r="BZ275" s="906"/>
      <c r="CA275" s="906"/>
      <c r="CB275" s="906"/>
      <c r="CC275" s="906"/>
      <c r="CD275" s="906"/>
      <c r="CE275" s="906"/>
      <c r="CF275" s="906"/>
      <c r="CG275" s="906"/>
      <c r="CH275" s="906"/>
      <c r="CI275" s="906"/>
      <c r="CJ275" s="906"/>
      <c r="CK275" s="906"/>
      <c r="CL275" s="906"/>
      <c r="CM275" s="906"/>
      <c r="CN275" s="906"/>
      <c r="CO275" s="906"/>
      <c r="CP275" s="906"/>
      <c r="CQ275" s="906"/>
      <c r="CR275" s="906"/>
      <c r="CS275" s="906"/>
      <c r="CT275" s="906"/>
      <c r="CU275" s="906"/>
      <c r="CV275" s="906"/>
      <c r="CW275" s="906"/>
      <c r="CX275" s="906"/>
      <c r="CY275" s="906"/>
      <c r="CZ275" s="906"/>
      <c r="DA275" s="906"/>
      <c r="DB275" s="906"/>
      <c r="DC275" s="906"/>
      <c r="DD275" s="906"/>
      <c r="DE275" s="906"/>
      <c r="DF275" s="906"/>
      <c r="DG275" s="906"/>
      <c r="DH275" s="906"/>
      <c r="DI275" s="906"/>
      <c r="DJ275" s="906"/>
      <c r="DK275" s="906"/>
      <c r="DL275" s="906"/>
      <c r="DM275" s="906"/>
      <c r="DN275" s="906"/>
      <c r="DO275" s="906"/>
      <c r="DP275" s="906"/>
      <c r="DQ275" s="906"/>
      <c r="DR275" s="906"/>
      <c r="DS275" s="906"/>
    </row>
    <row r="276" spans="9:123" s="854" customFormat="1">
      <c r="I276" s="895"/>
      <c r="J276" s="895"/>
      <c r="R276" s="906"/>
      <c r="S276" s="906"/>
      <c r="T276" s="906"/>
      <c r="U276" s="906"/>
      <c r="V276" s="906"/>
      <c r="W276" s="906"/>
      <c r="X276" s="906"/>
      <c r="Y276" s="906"/>
      <c r="Z276" s="906"/>
      <c r="AA276" s="906"/>
      <c r="AB276" s="906"/>
      <c r="AC276" s="906"/>
      <c r="AD276" s="906"/>
      <c r="AE276" s="906"/>
      <c r="AF276" s="906"/>
      <c r="AG276" s="906"/>
      <c r="AH276" s="906"/>
      <c r="AI276" s="906"/>
      <c r="AJ276" s="906"/>
      <c r="AK276" s="906"/>
      <c r="AL276" s="906"/>
      <c r="AM276" s="906"/>
      <c r="AN276" s="906"/>
      <c r="AO276" s="906"/>
      <c r="AP276" s="906"/>
      <c r="AQ276" s="906"/>
      <c r="AR276" s="906"/>
      <c r="AS276" s="906"/>
      <c r="AT276" s="906"/>
      <c r="AU276" s="906"/>
      <c r="AV276" s="906"/>
      <c r="AW276" s="906"/>
      <c r="AX276" s="906"/>
      <c r="AY276" s="906"/>
      <c r="AZ276" s="906"/>
      <c r="BA276" s="906"/>
      <c r="BB276" s="906"/>
      <c r="BC276" s="906"/>
      <c r="BD276" s="906"/>
      <c r="BE276" s="906"/>
      <c r="BF276" s="906"/>
      <c r="BG276" s="906"/>
      <c r="BH276" s="906"/>
      <c r="BI276" s="906"/>
      <c r="BJ276" s="906"/>
      <c r="BK276" s="906"/>
      <c r="BL276" s="906"/>
      <c r="BM276" s="906"/>
      <c r="BN276" s="906"/>
      <c r="BO276" s="906"/>
      <c r="BP276" s="906"/>
      <c r="BQ276" s="906"/>
      <c r="BR276" s="906"/>
      <c r="BS276" s="906"/>
      <c r="BT276" s="906"/>
      <c r="BU276" s="906"/>
      <c r="BV276" s="906"/>
      <c r="BW276" s="906"/>
      <c r="BX276" s="906"/>
      <c r="BY276" s="906"/>
      <c r="BZ276" s="906"/>
      <c r="CA276" s="906"/>
      <c r="CB276" s="906"/>
      <c r="CC276" s="906"/>
      <c r="CD276" s="906"/>
      <c r="CE276" s="906"/>
      <c r="CF276" s="906"/>
      <c r="CG276" s="906"/>
      <c r="CH276" s="906"/>
      <c r="CI276" s="906"/>
      <c r="CJ276" s="906"/>
      <c r="CK276" s="906"/>
      <c r="CL276" s="906"/>
      <c r="CM276" s="906"/>
      <c r="CN276" s="906"/>
      <c r="CO276" s="906"/>
      <c r="CP276" s="906"/>
      <c r="CQ276" s="906"/>
      <c r="CR276" s="906"/>
      <c r="CS276" s="906"/>
      <c r="CT276" s="906"/>
      <c r="CU276" s="906"/>
      <c r="CV276" s="906"/>
      <c r="CW276" s="906"/>
      <c r="CX276" s="906"/>
      <c r="CY276" s="906"/>
      <c r="CZ276" s="906"/>
      <c r="DA276" s="906"/>
      <c r="DB276" s="906"/>
      <c r="DC276" s="906"/>
      <c r="DD276" s="906"/>
      <c r="DE276" s="906"/>
      <c r="DF276" s="906"/>
      <c r="DG276" s="906"/>
      <c r="DH276" s="906"/>
      <c r="DI276" s="906"/>
      <c r="DJ276" s="906"/>
      <c r="DK276" s="906"/>
      <c r="DL276" s="906"/>
      <c r="DM276" s="906"/>
      <c r="DN276" s="906"/>
      <c r="DO276" s="906"/>
      <c r="DP276" s="906"/>
      <c r="DQ276" s="906"/>
      <c r="DR276" s="906"/>
      <c r="DS276" s="906"/>
    </row>
    <row r="277" spans="9:123" s="854" customFormat="1">
      <c r="I277" s="895"/>
      <c r="J277" s="895"/>
      <c r="R277" s="906"/>
      <c r="S277" s="906"/>
      <c r="T277" s="906"/>
      <c r="U277" s="906"/>
      <c r="V277" s="906"/>
      <c r="W277" s="906"/>
      <c r="X277" s="906"/>
      <c r="Y277" s="906"/>
      <c r="Z277" s="906"/>
      <c r="AA277" s="906"/>
      <c r="AB277" s="906"/>
      <c r="AC277" s="906"/>
      <c r="AD277" s="906"/>
      <c r="AE277" s="906"/>
      <c r="AF277" s="906"/>
      <c r="AG277" s="906"/>
      <c r="AH277" s="906"/>
      <c r="AI277" s="906"/>
      <c r="AJ277" s="906"/>
      <c r="AK277" s="906"/>
      <c r="AL277" s="906"/>
      <c r="AM277" s="906"/>
      <c r="AN277" s="906"/>
      <c r="AO277" s="906"/>
      <c r="AP277" s="906"/>
      <c r="AQ277" s="906"/>
      <c r="AR277" s="906"/>
      <c r="AS277" s="906"/>
      <c r="AT277" s="906"/>
      <c r="AU277" s="906"/>
      <c r="AV277" s="906"/>
      <c r="AW277" s="906"/>
      <c r="AX277" s="906"/>
      <c r="AY277" s="906"/>
      <c r="AZ277" s="906"/>
      <c r="BA277" s="906"/>
      <c r="BB277" s="906"/>
      <c r="BC277" s="906"/>
      <c r="BD277" s="906"/>
      <c r="BE277" s="906"/>
      <c r="BF277" s="906"/>
      <c r="BG277" s="906"/>
      <c r="BH277" s="906"/>
      <c r="BI277" s="906"/>
      <c r="BJ277" s="906"/>
      <c r="BK277" s="906"/>
      <c r="BL277" s="906"/>
      <c r="BM277" s="906"/>
      <c r="BN277" s="906"/>
      <c r="BO277" s="906"/>
      <c r="BP277" s="906"/>
      <c r="BQ277" s="906"/>
      <c r="BR277" s="906"/>
      <c r="BS277" s="906"/>
      <c r="BT277" s="906"/>
      <c r="BU277" s="906"/>
      <c r="BV277" s="906"/>
      <c r="BW277" s="906"/>
      <c r="BX277" s="906"/>
      <c r="BY277" s="906"/>
      <c r="BZ277" s="906"/>
      <c r="CA277" s="906"/>
      <c r="CB277" s="906"/>
      <c r="CC277" s="906"/>
      <c r="CD277" s="906"/>
      <c r="CE277" s="906"/>
      <c r="CF277" s="906"/>
      <c r="CG277" s="906"/>
      <c r="CH277" s="906"/>
      <c r="CI277" s="906"/>
      <c r="CJ277" s="906"/>
      <c r="CK277" s="906"/>
      <c r="CL277" s="906"/>
      <c r="CM277" s="906"/>
      <c r="CN277" s="906"/>
      <c r="CO277" s="906"/>
      <c r="CP277" s="906"/>
      <c r="CQ277" s="906"/>
      <c r="CR277" s="906"/>
      <c r="CS277" s="906"/>
      <c r="CT277" s="906"/>
      <c r="CU277" s="906"/>
      <c r="CV277" s="906"/>
      <c r="CW277" s="906"/>
      <c r="CX277" s="906"/>
      <c r="CY277" s="906"/>
      <c r="CZ277" s="906"/>
      <c r="DA277" s="906"/>
      <c r="DB277" s="906"/>
      <c r="DC277" s="906"/>
      <c r="DD277" s="906"/>
      <c r="DE277" s="906"/>
      <c r="DF277" s="906"/>
      <c r="DG277" s="906"/>
      <c r="DH277" s="906"/>
      <c r="DI277" s="906"/>
      <c r="DJ277" s="906"/>
      <c r="DK277" s="906"/>
      <c r="DL277" s="906"/>
      <c r="DM277" s="906"/>
      <c r="DN277" s="906"/>
      <c r="DO277" s="906"/>
      <c r="DP277" s="906"/>
      <c r="DQ277" s="906"/>
      <c r="DR277" s="906"/>
      <c r="DS277" s="906"/>
    </row>
    <row r="278" spans="9:123" s="854" customFormat="1">
      <c r="I278" s="895"/>
      <c r="J278" s="895"/>
      <c r="R278" s="906"/>
      <c r="S278" s="906"/>
      <c r="T278" s="906"/>
      <c r="U278" s="906"/>
      <c r="V278" s="906"/>
      <c r="W278" s="906"/>
      <c r="X278" s="906"/>
      <c r="Y278" s="906"/>
      <c r="Z278" s="906"/>
      <c r="AA278" s="906"/>
      <c r="AB278" s="906"/>
      <c r="AC278" s="906"/>
      <c r="AD278" s="906"/>
      <c r="AE278" s="906"/>
      <c r="AF278" s="906"/>
      <c r="AG278" s="906"/>
      <c r="AH278" s="906"/>
      <c r="AI278" s="906"/>
      <c r="AJ278" s="906"/>
      <c r="AK278" s="906"/>
      <c r="AL278" s="906"/>
      <c r="AM278" s="906"/>
      <c r="AN278" s="906"/>
      <c r="AO278" s="906"/>
      <c r="AP278" s="906"/>
      <c r="AQ278" s="906"/>
      <c r="AR278" s="906"/>
      <c r="AS278" s="906"/>
      <c r="AT278" s="906"/>
      <c r="AU278" s="906"/>
      <c r="AV278" s="906"/>
      <c r="AW278" s="906"/>
      <c r="AX278" s="906"/>
      <c r="AY278" s="906"/>
      <c r="AZ278" s="906"/>
      <c r="BA278" s="906"/>
      <c r="BB278" s="906"/>
      <c r="BC278" s="906"/>
      <c r="BD278" s="906"/>
      <c r="BE278" s="906"/>
      <c r="BF278" s="906"/>
      <c r="BG278" s="906"/>
      <c r="BH278" s="906"/>
      <c r="BI278" s="906"/>
      <c r="BJ278" s="906"/>
      <c r="BK278" s="906"/>
      <c r="BL278" s="906"/>
      <c r="BM278" s="906"/>
      <c r="BN278" s="906"/>
      <c r="BO278" s="906"/>
      <c r="BP278" s="906"/>
      <c r="BQ278" s="906"/>
      <c r="BR278" s="906"/>
      <c r="BS278" s="906"/>
      <c r="BT278" s="906"/>
      <c r="BU278" s="906"/>
      <c r="BV278" s="906"/>
      <c r="BW278" s="906"/>
      <c r="BX278" s="906"/>
      <c r="BY278" s="906"/>
      <c r="BZ278" s="906"/>
      <c r="CA278" s="906"/>
      <c r="CB278" s="906"/>
      <c r="CC278" s="906"/>
      <c r="CD278" s="906"/>
      <c r="CE278" s="906"/>
      <c r="CF278" s="906"/>
      <c r="CG278" s="906"/>
      <c r="CH278" s="906"/>
      <c r="CI278" s="906"/>
      <c r="CJ278" s="906"/>
      <c r="CK278" s="906"/>
      <c r="CL278" s="906"/>
      <c r="CM278" s="906"/>
      <c r="CN278" s="906"/>
      <c r="CO278" s="906"/>
      <c r="CP278" s="906"/>
      <c r="CQ278" s="906"/>
      <c r="CR278" s="906"/>
      <c r="CS278" s="906"/>
      <c r="CT278" s="906"/>
      <c r="CU278" s="906"/>
      <c r="CV278" s="906"/>
      <c r="CW278" s="906"/>
      <c r="CX278" s="906"/>
      <c r="CY278" s="906"/>
      <c r="CZ278" s="906"/>
      <c r="DA278" s="906"/>
      <c r="DB278" s="906"/>
      <c r="DC278" s="906"/>
      <c r="DD278" s="906"/>
      <c r="DE278" s="906"/>
      <c r="DF278" s="906"/>
      <c r="DG278" s="906"/>
      <c r="DH278" s="906"/>
      <c r="DI278" s="906"/>
      <c r="DJ278" s="906"/>
      <c r="DK278" s="906"/>
      <c r="DL278" s="906"/>
      <c r="DM278" s="906"/>
      <c r="DN278" s="906"/>
      <c r="DO278" s="906"/>
      <c r="DP278" s="906"/>
      <c r="DQ278" s="906"/>
      <c r="DR278" s="906"/>
      <c r="DS278" s="906"/>
    </row>
    <row r="279" spans="9:123" s="854" customFormat="1">
      <c r="I279" s="895"/>
      <c r="J279" s="895"/>
      <c r="R279" s="906"/>
      <c r="S279" s="906"/>
      <c r="T279" s="906"/>
      <c r="U279" s="906"/>
      <c r="V279" s="906"/>
      <c r="W279" s="906"/>
      <c r="X279" s="906"/>
      <c r="Y279" s="906"/>
      <c r="Z279" s="906"/>
      <c r="AA279" s="906"/>
      <c r="AB279" s="906"/>
      <c r="AC279" s="906"/>
      <c r="AD279" s="906"/>
      <c r="AE279" s="906"/>
      <c r="AF279" s="906"/>
      <c r="AG279" s="906"/>
      <c r="AH279" s="906"/>
      <c r="AI279" s="906"/>
      <c r="AJ279" s="906"/>
      <c r="AK279" s="906"/>
      <c r="AL279" s="906"/>
      <c r="AM279" s="906"/>
      <c r="AN279" s="906"/>
      <c r="AO279" s="906"/>
      <c r="AP279" s="906"/>
      <c r="AQ279" s="906"/>
      <c r="AR279" s="906"/>
      <c r="AS279" s="906"/>
      <c r="AT279" s="906"/>
      <c r="AU279" s="906"/>
      <c r="AV279" s="906"/>
      <c r="AW279" s="906"/>
      <c r="AX279" s="906"/>
      <c r="AY279" s="906"/>
      <c r="AZ279" s="906"/>
      <c r="BA279" s="906"/>
      <c r="BB279" s="906"/>
      <c r="BC279" s="906"/>
      <c r="BD279" s="906"/>
      <c r="BE279" s="906"/>
      <c r="BF279" s="906"/>
      <c r="BG279" s="906"/>
      <c r="BH279" s="906"/>
      <c r="BI279" s="906"/>
      <c r="BJ279" s="906"/>
      <c r="BK279" s="906"/>
      <c r="BL279" s="906"/>
      <c r="BM279" s="906"/>
      <c r="BN279" s="906"/>
      <c r="BO279" s="906"/>
      <c r="BP279" s="906"/>
      <c r="BQ279" s="906"/>
      <c r="BR279" s="906"/>
      <c r="BS279" s="906"/>
      <c r="BT279" s="906"/>
      <c r="BU279" s="906"/>
      <c r="BV279" s="906"/>
      <c r="BW279" s="906"/>
      <c r="BX279" s="906"/>
      <c r="BY279" s="906"/>
      <c r="BZ279" s="906"/>
      <c r="CA279" s="906"/>
      <c r="CB279" s="906"/>
      <c r="CC279" s="906"/>
      <c r="CD279" s="906"/>
      <c r="CE279" s="906"/>
      <c r="CF279" s="906"/>
      <c r="CG279" s="906"/>
      <c r="CH279" s="906"/>
      <c r="CI279" s="906"/>
      <c r="CJ279" s="906"/>
      <c r="CK279" s="906"/>
      <c r="CL279" s="906"/>
      <c r="CM279" s="906"/>
      <c r="CN279" s="906"/>
      <c r="CO279" s="906"/>
      <c r="CP279" s="906"/>
      <c r="CQ279" s="906"/>
      <c r="CR279" s="906"/>
      <c r="CS279" s="906"/>
      <c r="CT279" s="906"/>
      <c r="CU279" s="906"/>
      <c r="CV279" s="906"/>
      <c r="CW279" s="906"/>
      <c r="CX279" s="906"/>
      <c r="CY279" s="906"/>
      <c r="CZ279" s="906"/>
      <c r="DA279" s="906"/>
      <c r="DB279" s="906"/>
      <c r="DC279" s="906"/>
      <c r="DD279" s="906"/>
      <c r="DE279" s="906"/>
      <c r="DF279" s="906"/>
      <c r="DG279" s="906"/>
      <c r="DH279" s="906"/>
      <c r="DI279" s="906"/>
      <c r="DJ279" s="906"/>
      <c r="DK279" s="906"/>
      <c r="DL279" s="906"/>
      <c r="DM279" s="906"/>
      <c r="DN279" s="906"/>
      <c r="DO279" s="906"/>
      <c r="DP279" s="906"/>
      <c r="DQ279" s="906"/>
      <c r="DR279" s="906"/>
      <c r="DS279" s="906"/>
    </row>
    <row r="280" spans="9:123" s="854" customFormat="1">
      <c r="I280" s="895"/>
      <c r="J280" s="895"/>
      <c r="R280" s="906"/>
      <c r="S280" s="906"/>
      <c r="T280" s="906"/>
      <c r="U280" s="906"/>
      <c r="V280" s="906"/>
      <c r="W280" s="906"/>
      <c r="X280" s="906"/>
      <c r="Y280" s="906"/>
      <c r="Z280" s="906"/>
      <c r="AA280" s="906"/>
      <c r="AB280" s="906"/>
      <c r="AC280" s="906"/>
      <c r="AD280" s="906"/>
      <c r="AE280" s="906"/>
      <c r="AF280" s="906"/>
      <c r="AG280" s="906"/>
      <c r="AH280" s="906"/>
      <c r="AI280" s="906"/>
      <c r="AJ280" s="906"/>
      <c r="AK280" s="906"/>
      <c r="AL280" s="906"/>
      <c r="AM280" s="906"/>
      <c r="AN280" s="906"/>
      <c r="AO280" s="906"/>
      <c r="AP280" s="906"/>
      <c r="AQ280" s="906"/>
      <c r="AR280" s="906"/>
      <c r="AS280" s="906"/>
      <c r="AT280" s="906"/>
      <c r="AU280" s="906"/>
      <c r="AV280" s="906"/>
      <c r="AW280" s="906"/>
      <c r="AX280" s="906"/>
      <c r="AY280" s="906"/>
      <c r="AZ280" s="906"/>
      <c r="BA280" s="906"/>
      <c r="BB280" s="906"/>
      <c r="BC280" s="906"/>
      <c r="BD280" s="906"/>
      <c r="BE280" s="906"/>
      <c r="BF280" s="906"/>
      <c r="BG280" s="906"/>
      <c r="BH280" s="906"/>
      <c r="BI280" s="906"/>
      <c r="BJ280" s="906"/>
      <c r="BK280" s="906"/>
      <c r="BL280" s="906"/>
      <c r="BM280" s="906"/>
      <c r="BN280" s="906"/>
      <c r="BO280" s="906"/>
      <c r="BP280" s="906"/>
      <c r="BQ280" s="906"/>
      <c r="BR280" s="906"/>
      <c r="BS280" s="906"/>
      <c r="BT280" s="906"/>
      <c r="BU280" s="906"/>
      <c r="BV280" s="906"/>
      <c r="BW280" s="906"/>
      <c r="BX280" s="906"/>
      <c r="BY280" s="906"/>
      <c r="BZ280" s="906"/>
      <c r="CA280" s="906"/>
      <c r="CB280" s="906"/>
      <c r="CC280" s="906"/>
      <c r="CD280" s="906"/>
      <c r="CE280" s="906"/>
      <c r="CF280" s="906"/>
      <c r="CG280" s="906"/>
      <c r="CH280" s="906"/>
      <c r="CI280" s="906"/>
      <c r="CJ280" s="906"/>
      <c r="CK280" s="906"/>
      <c r="CL280" s="906"/>
      <c r="CM280" s="906"/>
      <c r="CN280" s="906"/>
      <c r="CO280" s="906"/>
      <c r="CP280" s="906"/>
      <c r="CQ280" s="906"/>
      <c r="CR280" s="906"/>
      <c r="CS280" s="906"/>
      <c r="CT280" s="906"/>
      <c r="CU280" s="906"/>
      <c r="CV280" s="906"/>
      <c r="CW280" s="906"/>
      <c r="CX280" s="906"/>
      <c r="CY280" s="906"/>
      <c r="CZ280" s="906"/>
      <c r="DA280" s="906"/>
      <c r="DB280" s="906"/>
      <c r="DC280" s="906"/>
      <c r="DD280" s="906"/>
      <c r="DE280" s="906"/>
      <c r="DF280" s="906"/>
      <c r="DG280" s="906"/>
      <c r="DH280" s="906"/>
      <c r="DI280" s="906"/>
      <c r="DJ280" s="906"/>
      <c r="DK280" s="906"/>
      <c r="DL280" s="906"/>
      <c r="DM280" s="906"/>
      <c r="DN280" s="906"/>
      <c r="DO280" s="906"/>
      <c r="DP280" s="906"/>
      <c r="DQ280" s="906"/>
      <c r="DR280" s="906"/>
      <c r="DS280" s="906"/>
    </row>
    <row r="281" spans="9:123" s="854" customFormat="1">
      <c r="I281" s="895"/>
      <c r="J281" s="895"/>
      <c r="R281" s="906"/>
      <c r="S281" s="906"/>
      <c r="T281" s="906"/>
      <c r="U281" s="906"/>
      <c r="V281" s="906"/>
      <c r="W281" s="906"/>
      <c r="X281" s="906"/>
      <c r="Y281" s="906"/>
      <c r="Z281" s="906"/>
      <c r="AA281" s="906"/>
      <c r="AB281" s="906"/>
      <c r="AC281" s="906"/>
      <c r="AD281" s="906"/>
      <c r="AE281" s="906"/>
      <c r="AF281" s="906"/>
      <c r="AG281" s="906"/>
      <c r="AH281" s="906"/>
      <c r="AI281" s="906"/>
      <c r="AJ281" s="906"/>
      <c r="AK281" s="906"/>
      <c r="AL281" s="906"/>
      <c r="AM281" s="906"/>
      <c r="AN281" s="906"/>
      <c r="AO281" s="906"/>
      <c r="AP281" s="906"/>
      <c r="AQ281" s="906"/>
      <c r="AR281" s="906"/>
      <c r="AS281" s="906"/>
      <c r="AT281" s="906"/>
      <c r="AU281" s="906"/>
      <c r="AV281" s="906"/>
      <c r="AW281" s="906"/>
      <c r="AX281" s="906"/>
      <c r="AY281" s="906"/>
      <c r="AZ281" s="906"/>
      <c r="BA281" s="906"/>
      <c r="BB281" s="906"/>
      <c r="BC281" s="906"/>
      <c r="BD281" s="906"/>
      <c r="BE281" s="906"/>
      <c r="BF281" s="906"/>
      <c r="BG281" s="906"/>
      <c r="BH281" s="906"/>
      <c r="BI281" s="906"/>
      <c r="BJ281" s="906"/>
      <c r="BK281" s="906"/>
      <c r="BL281" s="906"/>
      <c r="BM281" s="906"/>
      <c r="BN281" s="906"/>
      <c r="BO281" s="906"/>
      <c r="BP281" s="906"/>
      <c r="BQ281" s="906"/>
      <c r="BR281" s="906"/>
      <c r="BS281" s="906"/>
      <c r="BT281" s="906"/>
      <c r="BU281" s="906"/>
      <c r="BV281" s="906"/>
      <c r="BW281" s="906"/>
      <c r="BX281" s="906"/>
      <c r="BY281" s="906"/>
      <c r="BZ281" s="906"/>
      <c r="CA281" s="906"/>
      <c r="CB281" s="906"/>
      <c r="CC281" s="906"/>
      <c r="CD281" s="906"/>
      <c r="CE281" s="906"/>
      <c r="CF281" s="906"/>
      <c r="CG281" s="906"/>
      <c r="CH281" s="906"/>
      <c r="CI281" s="906"/>
      <c r="CJ281" s="906"/>
      <c r="CK281" s="906"/>
      <c r="CL281" s="906"/>
      <c r="CM281" s="906"/>
      <c r="CN281" s="906"/>
      <c r="CO281" s="906"/>
      <c r="CP281" s="906"/>
      <c r="CQ281" s="906"/>
      <c r="CR281" s="906"/>
      <c r="CS281" s="906"/>
      <c r="CT281" s="906"/>
      <c r="CU281" s="906"/>
      <c r="CV281" s="906"/>
      <c r="CW281" s="906"/>
      <c r="CX281" s="906"/>
      <c r="CY281" s="906"/>
      <c r="CZ281" s="906"/>
      <c r="DA281" s="906"/>
      <c r="DB281" s="906"/>
      <c r="DC281" s="906"/>
      <c r="DD281" s="906"/>
      <c r="DE281" s="906"/>
      <c r="DF281" s="906"/>
      <c r="DG281" s="906"/>
      <c r="DH281" s="906"/>
      <c r="DI281" s="906"/>
      <c r="DJ281" s="906"/>
      <c r="DK281" s="906"/>
      <c r="DL281" s="906"/>
      <c r="DM281" s="906"/>
      <c r="DN281" s="906"/>
      <c r="DO281" s="906"/>
      <c r="DP281" s="906"/>
      <c r="DQ281" s="906"/>
      <c r="DR281" s="906"/>
      <c r="DS281" s="906"/>
    </row>
    <row r="282" spans="9:123" s="854" customFormat="1">
      <c r="I282" s="895"/>
      <c r="J282" s="895"/>
      <c r="R282" s="906"/>
      <c r="S282" s="906"/>
      <c r="T282" s="906"/>
      <c r="U282" s="906"/>
      <c r="V282" s="906"/>
      <c r="W282" s="906"/>
      <c r="X282" s="906"/>
      <c r="Y282" s="906"/>
      <c r="Z282" s="906"/>
      <c r="AA282" s="906"/>
      <c r="AB282" s="906"/>
      <c r="AC282" s="906"/>
      <c r="AD282" s="906"/>
      <c r="AE282" s="906"/>
      <c r="AF282" s="906"/>
      <c r="AG282" s="906"/>
      <c r="AH282" s="906"/>
      <c r="AI282" s="906"/>
      <c r="AJ282" s="906"/>
      <c r="AK282" s="906"/>
      <c r="AL282" s="906"/>
      <c r="AM282" s="906"/>
      <c r="AN282" s="906"/>
      <c r="AO282" s="906"/>
      <c r="AP282" s="906"/>
      <c r="AQ282" s="906"/>
      <c r="AR282" s="906"/>
      <c r="AS282" s="906"/>
      <c r="AT282" s="906"/>
      <c r="AU282" s="906"/>
      <c r="AV282" s="906"/>
      <c r="AW282" s="906"/>
      <c r="AX282" s="906"/>
      <c r="AY282" s="906"/>
      <c r="AZ282" s="906"/>
      <c r="BA282" s="906"/>
      <c r="BB282" s="906"/>
      <c r="BC282" s="906"/>
      <c r="BD282" s="906"/>
      <c r="BE282" s="906"/>
      <c r="BF282" s="906"/>
      <c r="BG282" s="906"/>
      <c r="BH282" s="906"/>
      <c r="BI282" s="906"/>
      <c r="BJ282" s="906"/>
      <c r="BK282" s="906"/>
      <c r="BL282" s="906"/>
      <c r="BM282" s="906"/>
      <c r="BN282" s="906"/>
      <c r="BO282" s="906"/>
      <c r="BP282" s="906"/>
      <c r="BQ282" s="906"/>
      <c r="BR282" s="906"/>
      <c r="BS282" s="906"/>
      <c r="BT282" s="906"/>
      <c r="BU282" s="906"/>
      <c r="BV282" s="906"/>
      <c r="BW282" s="906"/>
      <c r="BX282" s="906"/>
      <c r="BY282" s="906"/>
      <c r="BZ282" s="906"/>
      <c r="CA282" s="906"/>
      <c r="CB282" s="906"/>
      <c r="CC282" s="906"/>
      <c r="CD282" s="906"/>
      <c r="CE282" s="906"/>
      <c r="CF282" s="906"/>
      <c r="CG282" s="906"/>
      <c r="CH282" s="906"/>
      <c r="CI282" s="906"/>
      <c r="CJ282" s="906"/>
      <c r="CK282" s="906"/>
      <c r="CL282" s="906"/>
      <c r="CM282" s="906"/>
      <c r="CN282" s="906"/>
      <c r="CO282" s="906"/>
      <c r="CP282" s="906"/>
      <c r="CQ282" s="906"/>
      <c r="CR282" s="906"/>
      <c r="CS282" s="906"/>
      <c r="CT282" s="906"/>
      <c r="CU282" s="906"/>
      <c r="CV282" s="906"/>
      <c r="CW282" s="906"/>
      <c r="CX282" s="906"/>
      <c r="CY282" s="906"/>
      <c r="CZ282" s="906"/>
      <c r="DA282" s="906"/>
      <c r="DB282" s="906"/>
      <c r="DC282" s="906"/>
      <c r="DD282" s="906"/>
      <c r="DE282" s="906"/>
      <c r="DF282" s="906"/>
      <c r="DG282" s="906"/>
      <c r="DH282" s="906"/>
      <c r="DI282" s="906"/>
      <c r="DJ282" s="906"/>
      <c r="DK282" s="906"/>
      <c r="DL282" s="906"/>
      <c r="DM282" s="906"/>
      <c r="DN282" s="906"/>
      <c r="DO282" s="906"/>
      <c r="DP282" s="906"/>
      <c r="DQ282" s="906"/>
      <c r="DR282" s="906"/>
      <c r="DS282" s="906"/>
    </row>
    <row r="283" spans="9:123" s="854" customFormat="1">
      <c r="I283" s="895"/>
      <c r="J283" s="895"/>
      <c r="R283" s="906"/>
      <c r="S283" s="906"/>
      <c r="T283" s="906"/>
      <c r="U283" s="906"/>
      <c r="V283" s="906"/>
      <c r="W283" s="906"/>
      <c r="X283" s="906"/>
      <c r="Y283" s="906"/>
      <c r="Z283" s="906"/>
      <c r="AA283" s="906"/>
      <c r="AB283" s="906"/>
      <c r="AC283" s="906"/>
      <c r="AD283" s="906"/>
      <c r="AE283" s="906"/>
      <c r="AF283" s="906"/>
      <c r="AG283" s="906"/>
      <c r="AH283" s="906"/>
      <c r="AI283" s="906"/>
      <c r="AJ283" s="906"/>
      <c r="AK283" s="906"/>
      <c r="AL283" s="906"/>
      <c r="AM283" s="906"/>
      <c r="AN283" s="906"/>
      <c r="AO283" s="906"/>
      <c r="AP283" s="906"/>
      <c r="AQ283" s="906"/>
      <c r="AR283" s="906"/>
      <c r="AS283" s="906"/>
      <c r="AT283" s="906"/>
      <c r="AU283" s="906"/>
      <c r="AV283" s="906"/>
      <c r="AW283" s="906"/>
      <c r="AX283" s="906"/>
      <c r="AY283" s="906"/>
      <c r="AZ283" s="906"/>
      <c r="BA283" s="906"/>
      <c r="BB283" s="906"/>
      <c r="BC283" s="906"/>
      <c r="BD283" s="906"/>
      <c r="BE283" s="906"/>
      <c r="BF283" s="906"/>
      <c r="BG283" s="906"/>
      <c r="BH283" s="906"/>
      <c r="BI283" s="906"/>
      <c r="BJ283" s="906"/>
      <c r="BK283" s="906"/>
      <c r="BL283" s="906"/>
      <c r="BM283" s="906"/>
      <c r="BN283" s="906"/>
      <c r="BO283" s="906"/>
      <c r="BP283" s="906"/>
      <c r="BQ283" s="906"/>
      <c r="BR283" s="906"/>
      <c r="BS283" s="906"/>
      <c r="BT283" s="906"/>
      <c r="BU283" s="906"/>
      <c r="BV283" s="906"/>
      <c r="BW283" s="906"/>
      <c r="BX283" s="906"/>
      <c r="BY283" s="906"/>
      <c r="BZ283" s="906"/>
      <c r="CA283" s="906"/>
      <c r="CB283" s="906"/>
      <c r="CC283" s="906"/>
      <c r="CD283" s="906"/>
      <c r="CE283" s="906"/>
      <c r="CF283" s="906"/>
      <c r="CG283" s="906"/>
      <c r="CH283" s="906"/>
      <c r="CI283" s="906"/>
      <c r="CJ283" s="906"/>
      <c r="CK283" s="906"/>
      <c r="CL283" s="906"/>
      <c r="CM283" s="906"/>
      <c r="CN283" s="906"/>
      <c r="CO283" s="906"/>
      <c r="CP283" s="906"/>
      <c r="CQ283" s="906"/>
      <c r="CR283" s="906"/>
      <c r="CS283" s="906"/>
      <c r="CT283" s="906"/>
      <c r="CU283" s="906"/>
      <c r="CV283" s="906"/>
      <c r="CW283" s="906"/>
      <c r="CX283" s="906"/>
      <c r="CY283" s="906"/>
      <c r="CZ283" s="906"/>
      <c r="DA283" s="906"/>
      <c r="DB283" s="906"/>
      <c r="DC283" s="906"/>
      <c r="DD283" s="906"/>
      <c r="DE283" s="906"/>
      <c r="DF283" s="906"/>
      <c r="DG283" s="906"/>
      <c r="DH283" s="906"/>
      <c r="DI283" s="906"/>
      <c r="DJ283" s="906"/>
      <c r="DK283" s="906"/>
      <c r="DL283" s="906"/>
      <c r="DM283" s="906"/>
      <c r="DN283" s="906"/>
      <c r="DO283" s="906"/>
      <c r="DP283" s="906"/>
      <c r="DQ283" s="906"/>
      <c r="DR283" s="906"/>
      <c r="DS283" s="906"/>
    </row>
    <row r="284" spans="9:123" s="854" customFormat="1">
      <c r="I284" s="895"/>
      <c r="J284" s="895"/>
      <c r="R284" s="906"/>
      <c r="S284" s="906"/>
      <c r="T284" s="906"/>
      <c r="U284" s="906"/>
      <c r="V284" s="906"/>
      <c r="W284" s="906"/>
      <c r="X284" s="906"/>
      <c r="Y284" s="906"/>
      <c r="Z284" s="906"/>
      <c r="AA284" s="906"/>
      <c r="AB284" s="906"/>
      <c r="AC284" s="906"/>
      <c r="AD284" s="906"/>
      <c r="AE284" s="906"/>
      <c r="AF284" s="906"/>
      <c r="AG284" s="906"/>
      <c r="AH284" s="906"/>
      <c r="AI284" s="906"/>
      <c r="AJ284" s="906"/>
      <c r="AK284" s="906"/>
      <c r="AL284" s="906"/>
      <c r="AM284" s="906"/>
      <c r="AN284" s="906"/>
      <c r="AO284" s="906"/>
      <c r="AP284" s="906"/>
      <c r="AQ284" s="906"/>
      <c r="AR284" s="906"/>
      <c r="AS284" s="906"/>
      <c r="AT284" s="906"/>
      <c r="AU284" s="906"/>
      <c r="AV284" s="906"/>
      <c r="AW284" s="906"/>
      <c r="AX284" s="906"/>
      <c r="AY284" s="906"/>
      <c r="AZ284" s="906"/>
      <c r="BA284" s="906"/>
      <c r="BB284" s="906"/>
      <c r="BC284" s="906"/>
      <c r="BD284" s="906"/>
      <c r="BE284" s="906"/>
      <c r="BF284" s="906"/>
      <c r="BG284" s="906"/>
      <c r="BH284" s="906"/>
      <c r="BI284" s="906"/>
      <c r="BJ284" s="906"/>
      <c r="BK284" s="906"/>
      <c r="BL284" s="906"/>
      <c r="BM284" s="906"/>
      <c r="BN284" s="906"/>
      <c r="BO284" s="906"/>
      <c r="BP284" s="906"/>
      <c r="BQ284" s="906"/>
      <c r="BR284" s="906"/>
      <c r="BS284" s="906"/>
      <c r="BT284" s="906"/>
      <c r="BU284" s="906"/>
      <c r="BV284" s="906"/>
      <c r="BW284" s="906"/>
      <c r="BX284" s="906"/>
      <c r="BY284" s="906"/>
      <c r="BZ284" s="906"/>
      <c r="CA284" s="906"/>
      <c r="CB284" s="906"/>
      <c r="CC284" s="906"/>
      <c r="CD284" s="906"/>
      <c r="CE284" s="906"/>
      <c r="CF284" s="906"/>
      <c r="CG284" s="906"/>
      <c r="CH284" s="906"/>
      <c r="CI284" s="906"/>
      <c r="CJ284" s="906"/>
      <c r="CK284" s="906"/>
      <c r="CL284" s="906"/>
      <c r="CM284" s="906"/>
      <c r="CN284" s="906"/>
      <c r="CO284" s="906"/>
      <c r="CP284" s="906"/>
      <c r="CQ284" s="906"/>
      <c r="CR284" s="906"/>
      <c r="CS284" s="906"/>
      <c r="CT284" s="906"/>
      <c r="CU284" s="906"/>
      <c r="CV284" s="906"/>
      <c r="CW284" s="906"/>
      <c r="CX284" s="906"/>
      <c r="CY284" s="906"/>
      <c r="CZ284" s="906"/>
      <c r="DA284" s="906"/>
      <c r="DB284" s="906"/>
      <c r="DC284" s="906"/>
      <c r="DD284" s="906"/>
      <c r="DE284" s="906"/>
      <c r="DF284" s="906"/>
      <c r="DG284" s="906"/>
      <c r="DH284" s="906"/>
      <c r="DI284" s="906"/>
      <c r="DJ284" s="906"/>
      <c r="DK284" s="906"/>
      <c r="DL284" s="906"/>
      <c r="DM284" s="906"/>
      <c r="DN284" s="906"/>
      <c r="DO284" s="906"/>
      <c r="DP284" s="906"/>
      <c r="DQ284" s="906"/>
      <c r="DR284" s="906"/>
      <c r="DS284" s="906"/>
    </row>
    <row r="285" spans="9:123" s="854" customFormat="1">
      <c r="I285" s="895"/>
      <c r="J285" s="895"/>
      <c r="R285" s="906"/>
      <c r="S285" s="906"/>
      <c r="T285" s="906"/>
      <c r="U285" s="906"/>
      <c r="V285" s="906"/>
      <c r="W285" s="906"/>
      <c r="X285" s="906"/>
      <c r="Y285" s="906"/>
      <c r="Z285" s="906"/>
      <c r="AA285" s="906"/>
      <c r="AB285" s="906"/>
      <c r="AC285" s="906"/>
      <c r="AD285" s="906"/>
      <c r="AE285" s="906"/>
      <c r="AF285" s="906"/>
      <c r="AG285" s="906"/>
      <c r="AH285" s="906"/>
      <c r="AI285" s="906"/>
      <c r="AJ285" s="906"/>
      <c r="AK285" s="906"/>
      <c r="AL285" s="906"/>
      <c r="AM285" s="906"/>
      <c r="AN285" s="906"/>
      <c r="AO285" s="906"/>
      <c r="AP285" s="906"/>
      <c r="AQ285" s="906"/>
      <c r="AR285" s="906"/>
      <c r="AS285" s="906"/>
      <c r="AT285" s="906"/>
      <c r="AU285" s="906"/>
      <c r="AV285" s="906"/>
      <c r="AW285" s="906"/>
      <c r="AX285" s="906"/>
      <c r="AY285" s="906"/>
      <c r="AZ285" s="906"/>
      <c r="BA285" s="906"/>
      <c r="BB285" s="906"/>
      <c r="BC285" s="906"/>
      <c r="BD285" s="906"/>
      <c r="BE285" s="906"/>
      <c r="BF285" s="906"/>
      <c r="BG285" s="906"/>
      <c r="BH285" s="906"/>
      <c r="BI285" s="906"/>
      <c r="BJ285" s="906"/>
      <c r="BK285" s="906"/>
      <c r="BL285" s="906"/>
      <c r="BM285" s="906"/>
      <c r="BN285" s="906"/>
      <c r="BO285" s="906"/>
      <c r="BP285" s="906"/>
      <c r="BQ285" s="906"/>
      <c r="BR285" s="906"/>
      <c r="BS285" s="906"/>
      <c r="BT285" s="906"/>
      <c r="BU285" s="906"/>
      <c r="BV285" s="906"/>
      <c r="BW285" s="906"/>
      <c r="BX285" s="906"/>
      <c r="BY285" s="906"/>
      <c r="BZ285" s="906"/>
      <c r="CA285" s="906"/>
      <c r="CB285" s="906"/>
      <c r="CC285" s="906"/>
      <c r="CD285" s="906"/>
      <c r="CE285" s="906"/>
      <c r="CF285" s="906"/>
      <c r="CG285" s="906"/>
      <c r="CH285" s="906"/>
      <c r="CI285" s="906"/>
      <c r="CJ285" s="906"/>
      <c r="CK285" s="906"/>
      <c r="CL285" s="906"/>
      <c r="CM285" s="906"/>
      <c r="CN285" s="906"/>
      <c r="CO285" s="906"/>
      <c r="CP285" s="906"/>
      <c r="CQ285" s="906"/>
      <c r="CR285" s="906"/>
      <c r="CS285" s="906"/>
      <c r="CT285" s="906"/>
      <c r="CU285" s="906"/>
      <c r="CV285" s="906"/>
      <c r="CW285" s="906"/>
      <c r="CX285" s="906"/>
      <c r="CY285" s="906"/>
      <c r="CZ285" s="906"/>
      <c r="DA285" s="906"/>
      <c r="DB285" s="906"/>
      <c r="DC285" s="906"/>
      <c r="DD285" s="906"/>
      <c r="DE285" s="906"/>
      <c r="DF285" s="906"/>
      <c r="DG285" s="906"/>
      <c r="DH285" s="906"/>
      <c r="DI285" s="906"/>
      <c r="DJ285" s="906"/>
      <c r="DK285" s="906"/>
      <c r="DL285" s="906"/>
      <c r="DM285" s="906"/>
      <c r="DN285" s="906"/>
      <c r="DO285" s="906"/>
      <c r="DP285" s="906"/>
      <c r="DQ285" s="906"/>
      <c r="DR285" s="906"/>
      <c r="DS285" s="906"/>
    </row>
    <row r="286" spans="9:123" s="854" customFormat="1">
      <c r="I286" s="895"/>
      <c r="J286" s="895"/>
      <c r="R286" s="906"/>
      <c r="S286" s="906"/>
      <c r="T286" s="906"/>
      <c r="U286" s="906"/>
      <c r="V286" s="906"/>
      <c r="W286" s="906"/>
      <c r="X286" s="906"/>
      <c r="Y286" s="906"/>
      <c r="Z286" s="906"/>
      <c r="AA286" s="906"/>
      <c r="AB286" s="906"/>
      <c r="AC286" s="906"/>
      <c r="AD286" s="906"/>
      <c r="AE286" s="906"/>
      <c r="AF286" s="906"/>
      <c r="AG286" s="906"/>
      <c r="AH286" s="906"/>
      <c r="AI286" s="906"/>
      <c r="AJ286" s="906"/>
      <c r="AK286" s="906"/>
      <c r="AL286" s="906"/>
      <c r="AM286" s="906"/>
      <c r="AN286" s="906"/>
      <c r="AO286" s="906"/>
      <c r="AP286" s="906"/>
      <c r="AQ286" s="906"/>
      <c r="AR286" s="906"/>
      <c r="AS286" s="906"/>
      <c r="AT286" s="906"/>
      <c r="AU286" s="906"/>
      <c r="AV286" s="906"/>
      <c r="AW286" s="906"/>
      <c r="AX286" s="906"/>
      <c r="AY286" s="906"/>
      <c r="AZ286" s="906"/>
      <c r="BA286" s="906"/>
      <c r="BB286" s="906"/>
      <c r="BC286" s="906"/>
      <c r="BD286" s="906"/>
      <c r="BE286" s="906"/>
      <c r="BF286" s="906"/>
      <c r="BG286" s="906"/>
      <c r="BH286" s="906"/>
      <c r="BI286" s="906"/>
      <c r="BJ286" s="906"/>
      <c r="BK286" s="906"/>
      <c r="BL286" s="906"/>
      <c r="BM286" s="906"/>
      <c r="BN286" s="906"/>
      <c r="BO286" s="906"/>
      <c r="BP286" s="906"/>
      <c r="BQ286" s="906"/>
      <c r="BR286" s="906"/>
      <c r="BS286" s="906"/>
      <c r="BT286" s="906"/>
      <c r="BU286" s="906"/>
      <c r="BV286" s="906"/>
      <c r="BW286" s="906"/>
      <c r="BX286" s="906"/>
      <c r="BY286" s="906"/>
      <c r="BZ286" s="906"/>
      <c r="CA286" s="906"/>
      <c r="CB286" s="906"/>
      <c r="CC286" s="906"/>
      <c r="CD286" s="906"/>
      <c r="CE286" s="906"/>
      <c r="CF286" s="906"/>
      <c r="CG286" s="906"/>
      <c r="CH286" s="906"/>
      <c r="CI286" s="906"/>
      <c r="CJ286" s="906"/>
      <c r="CK286" s="906"/>
      <c r="CL286" s="906"/>
      <c r="CM286" s="906"/>
      <c r="CN286" s="906"/>
      <c r="CO286" s="906"/>
      <c r="CP286" s="906"/>
      <c r="CQ286" s="906"/>
      <c r="CR286" s="906"/>
      <c r="CS286" s="906"/>
      <c r="CT286" s="906"/>
      <c r="CU286" s="906"/>
      <c r="CV286" s="906"/>
      <c r="CW286" s="906"/>
      <c r="CX286" s="906"/>
      <c r="CY286" s="906"/>
      <c r="CZ286" s="906"/>
      <c r="DA286" s="906"/>
      <c r="DB286" s="906"/>
      <c r="DC286" s="906"/>
      <c r="DD286" s="906"/>
      <c r="DE286" s="906"/>
      <c r="DF286" s="906"/>
      <c r="DG286" s="906"/>
      <c r="DH286" s="906"/>
      <c r="DI286" s="906"/>
      <c r="DJ286" s="906"/>
      <c r="DK286" s="906"/>
      <c r="DL286" s="906"/>
      <c r="DM286" s="906"/>
      <c r="DN286" s="906"/>
      <c r="DO286" s="906"/>
      <c r="DP286" s="906"/>
      <c r="DQ286" s="906"/>
      <c r="DR286" s="906"/>
      <c r="DS286" s="906"/>
    </row>
    <row r="287" spans="9:123" s="854" customFormat="1">
      <c r="I287" s="895"/>
      <c r="J287" s="895"/>
      <c r="R287" s="906"/>
      <c r="S287" s="906"/>
      <c r="T287" s="906"/>
      <c r="U287" s="906"/>
      <c r="V287" s="906"/>
      <c r="W287" s="906"/>
      <c r="X287" s="906"/>
      <c r="Y287" s="906"/>
      <c r="Z287" s="906"/>
      <c r="AA287" s="906"/>
      <c r="AB287" s="906"/>
      <c r="AC287" s="906"/>
      <c r="AD287" s="906"/>
      <c r="AE287" s="906"/>
      <c r="AF287" s="906"/>
      <c r="AG287" s="906"/>
      <c r="AH287" s="906"/>
      <c r="AI287" s="906"/>
      <c r="AJ287" s="906"/>
      <c r="AK287" s="906"/>
      <c r="AL287" s="906"/>
      <c r="AM287" s="906"/>
      <c r="AN287" s="906"/>
      <c r="AO287" s="906"/>
      <c r="AP287" s="906"/>
      <c r="AQ287" s="906"/>
      <c r="AR287" s="906"/>
      <c r="AS287" s="906"/>
      <c r="AT287" s="906"/>
      <c r="AU287" s="906"/>
      <c r="AV287" s="906"/>
      <c r="AW287" s="906"/>
      <c r="AX287" s="906"/>
      <c r="AY287" s="906"/>
      <c r="AZ287" s="906"/>
      <c r="BA287" s="906"/>
      <c r="BB287" s="906"/>
      <c r="BC287" s="906"/>
      <c r="BD287" s="906"/>
      <c r="BE287" s="906"/>
      <c r="BF287" s="906"/>
      <c r="BG287" s="906"/>
      <c r="BH287" s="906"/>
      <c r="BI287" s="906"/>
      <c r="BJ287" s="906"/>
      <c r="BK287" s="906"/>
      <c r="BL287" s="906"/>
      <c r="BM287" s="906"/>
      <c r="BN287" s="906"/>
      <c r="BO287" s="906"/>
      <c r="BP287" s="906"/>
      <c r="BQ287" s="906"/>
      <c r="BR287" s="906"/>
      <c r="BS287" s="906"/>
      <c r="BT287" s="906"/>
      <c r="BU287" s="906"/>
      <c r="BV287" s="906"/>
      <c r="BW287" s="906"/>
      <c r="BX287" s="906"/>
      <c r="BY287" s="906"/>
      <c r="BZ287" s="906"/>
      <c r="CA287" s="906"/>
      <c r="CB287" s="906"/>
      <c r="CC287" s="906"/>
      <c r="CD287" s="906"/>
      <c r="CE287" s="906"/>
      <c r="CF287" s="906"/>
      <c r="CG287" s="906"/>
      <c r="CH287" s="906"/>
      <c r="CI287" s="906"/>
      <c r="CJ287" s="906"/>
      <c r="CK287" s="906"/>
      <c r="CL287" s="906"/>
      <c r="CM287" s="906"/>
      <c r="CN287" s="906"/>
      <c r="CO287" s="906"/>
      <c r="CP287" s="906"/>
      <c r="CQ287" s="906"/>
      <c r="CR287" s="906"/>
      <c r="CS287" s="906"/>
      <c r="CT287" s="906"/>
      <c r="CU287" s="906"/>
      <c r="CV287" s="906"/>
      <c r="CW287" s="906"/>
      <c r="CX287" s="906"/>
      <c r="CY287" s="906"/>
      <c r="CZ287" s="906"/>
      <c r="DA287" s="906"/>
      <c r="DB287" s="906"/>
      <c r="DC287" s="906"/>
      <c r="DD287" s="906"/>
      <c r="DE287" s="906"/>
      <c r="DF287" s="906"/>
      <c r="DG287" s="906"/>
      <c r="DH287" s="906"/>
      <c r="DI287" s="906"/>
      <c r="DJ287" s="906"/>
      <c r="DK287" s="906"/>
      <c r="DL287" s="906"/>
      <c r="DM287" s="906"/>
      <c r="DN287" s="906"/>
      <c r="DO287" s="906"/>
      <c r="DP287" s="906"/>
      <c r="DQ287" s="906"/>
      <c r="DR287" s="906"/>
      <c r="DS287" s="906"/>
    </row>
    <row r="288" spans="9:123" s="854" customFormat="1">
      <c r="I288" s="895"/>
      <c r="J288" s="895"/>
      <c r="R288" s="906"/>
      <c r="S288" s="906"/>
      <c r="T288" s="906"/>
      <c r="U288" s="906"/>
      <c r="V288" s="906"/>
      <c r="W288" s="906"/>
      <c r="X288" s="906"/>
      <c r="Y288" s="906"/>
      <c r="Z288" s="906"/>
      <c r="AA288" s="906"/>
      <c r="AB288" s="906"/>
      <c r="AC288" s="906"/>
      <c r="AD288" s="906"/>
      <c r="AE288" s="906"/>
      <c r="AF288" s="906"/>
      <c r="AG288" s="906"/>
      <c r="AH288" s="906"/>
      <c r="AI288" s="906"/>
      <c r="AJ288" s="906"/>
      <c r="AK288" s="906"/>
      <c r="AL288" s="906"/>
      <c r="AM288" s="906"/>
      <c r="AN288" s="906"/>
      <c r="AO288" s="906"/>
      <c r="AP288" s="906"/>
      <c r="AQ288" s="906"/>
      <c r="AR288" s="906"/>
      <c r="AS288" s="906"/>
      <c r="AT288" s="906"/>
      <c r="AU288" s="906"/>
      <c r="AV288" s="906"/>
      <c r="AW288" s="906"/>
      <c r="AX288" s="906"/>
      <c r="AY288" s="906"/>
      <c r="AZ288" s="906"/>
      <c r="BA288" s="906"/>
      <c r="BB288" s="906"/>
      <c r="BC288" s="906"/>
      <c r="BD288" s="906"/>
      <c r="BE288" s="906"/>
      <c r="BF288" s="906"/>
      <c r="BG288" s="906"/>
      <c r="BH288" s="906"/>
      <c r="BI288" s="906"/>
      <c r="BJ288" s="906"/>
      <c r="BK288" s="906"/>
      <c r="BL288" s="906"/>
      <c r="BM288" s="906"/>
      <c r="BN288" s="906"/>
      <c r="BO288" s="906"/>
      <c r="BP288" s="906"/>
      <c r="BQ288" s="906"/>
      <c r="BR288" s="906"/>
      <c r="BS288" s="906"/>
      <c r="BT288" s="906"/>
      <c r="BU288" s="906"/>
      <c r="BV288" s="906"/>
      <c r="BW288" s="906"/>
      <c r="BX288" s="906"/>
      <c r="BY288" s="906"/>
      <c r="BZ288" s="906"/>
      <c r="CA288" s="906"/>
      <c r="CB288" s="906"/>
      <c r="CC288" s="906"/>
      <c r="CD288" s="906"/>
      <c r="CE288" s="906"/>
      <c r="CF288" s="906"/>
      <c r="CG288" s="906"/>
      <c r="CH288" s="906"/>
      <c r="CI288" s="906"/>
      <c r="CJ288" s="906"/>
      <c r="CK288" s="906"/>
      <c r="CL288" s="906"/>
      <c r="CM288" s="906"/>
      <c r="CN288" s="906"/>
      <c r="CO288" s="906"/>
      <c r="CP288" s="906"/>
      <c r="CQ288" s="906"/>
      <c r="CR288" s="906"/>
      <c r="CS288" s="906"/>
      <c r="CT288" s="906"/>
      <c r="CU288" s="906"/>
      <c r="CV288" s="906"/>
      <c r="CW288" s="906"/>
      <c r="CX288" s="906"/>
      <c r="CY288" s="906"/>
      <c r="CZ288" s="906"/>
      <c r="DA288" s="906"/>
      <c r="DB288" s="906"/>
      <c r="DC288" s="906"/>
      <c r="DD288" s="906"/>
      <c r="DE288" s="906"/>
      <c r="DF288" s="906"/>
      <c r="DG288" s="906"/>
      <c r="DH288" s="906"/>
      <c r="DI288" s="906"/>
      <c r="DJ288" s="906"/>
      <c r="DK288" s="906"/>
      <c r="DL288" s="906"/>
      <c r="DM288" s="906"/>
      <c r="DN288" s="906"/>
      <c r="DO288" s="906"/>
      <c r="DP288" s="906"/>
      <c r="DQ288" s="906"/>
      <c r="DR288" s="906"/>
      <c r="DS288" s="906"/>
    </row>
    <row r="289" spans="9:123" s="854" customFormat="1">
      <c r="I289" s="895"/>
      <c r="J289" s="895"/>
      <c r="R289" s="906"/>
      <c r="S289" s="906"/>
      <c r="T289" s="906"/>
      <c r="U289" s="906"/>
      <c r="V289" s="906"/>
      <c r="W289" s="906"/>
      <c r="X289" s="906"/>
      <c r="Y289" s="906"/>
      <c r="Z289" s="906"/>
      <c r="AA289" s="906"/>
      <c r="AB289" s="906"/>
      <c r="AC289" s="906"/>
      <c r="AD289" s="906"/>
      <c r="AE289" s="906"/>
      <c r="AF289" s="906"/>
      <c r="AG289" s="906"/>
      <c r="AH289" s="906"/>
      <c r="AI289" s="906"/>
      <c r="AJ289" s="906"/>
      <c r="AK289" s="906"/>
      <c r="AL289" s="906"/>
      <c r="AM289" s="906"/>
      <c r="AN289" s="906"/>
      <c r="AO289" s="906"/>
      <c r="AP289" s="906"/>
      <c r="AQ289" s="906"/>
      <c r="AR289" s="906"/>
      <c r="AS289" s="906"/>
      <c r="AT289" s="906"/>
      <c r="AU289" s="906"/>
      <c r="AV289" s="906"/>
      <c r="AW289" s="906"/>
      <c r="AX289" s="906"/>
      <c r="AY289" s="906"/>
      <c r="AZ289" s="906"/>
      <c r="BA289" s="906"/>
      <c r="BB289" s="906"/>
      <c r="BC289" s="906"/>
      <c r="BD289" s="906"/>
      <c r="BE289" s="906"/>
      <c r="BF289" s="906"/>
      <c r="BG289" s="906"/>
      <c r="BH289" s="906"/>
      <c r="BI289" s="906"/>
      <c r="BJ289" s="906"/>
      <c r="BK289" s="906"/>
      <c r="BL289" s="906"/>
      <c r="BM289" s="906"/>
      <c r="BN289" s="906"/>
      <c r="BO289" s="906"/>
      <c r="BP289" s="906"/>
      <c r="BQ289" s="906"/>
      <c r="BR289" s="906"/>
      <c r="BS289" s="906"/>
      <c r="BT289" s="906"/>
      <c r="BU289" s="906"/>
      <c r="BV289" s="906"/>
      <c r="BW289" s="906"/>
      <c r="BX289" s="906"/>
      <c r="BY289" s="906"/>
      <c r="BZ289" s="906"/>
      <c r="CA289" s="906"/>
      <c r="CB289" s="906"/>
      <c r="CC289" s="906"/>
      <c r="CD289" s="906"/>
      <c r="CE289" s="906"/>
      <c r="CF289" s="906"/>
      <c r="CG289" s="906"/>
      <c r="CH289" s="906"/>
      <c r="CI289" s="906"/>
      <c r="CJ289" s="906"/>
      <c r="CK289" s="906"/>
      <c r="CL289" s="906"/>
      <c r="CM289" s="906"/>
      <c r="CN289" s="906"/>
      <c r="CO289" s="906"/>
      <c r="CP289" s="906"/>
      <c r="CQ289" s="906"/>
      <c r="CR289" s="906"/>
      <c r="CS289" s="906"/>
      <c r="CT289" s="906"/>
      <c r="CU289" s="906"/>
      <c r="CV289" s="906"/>
      <c r="CW289" s="906"/>
      <c r="CX289" s="906"/>
      <c r="CY289" s="906"/>
      <c r="CZ289" s="906"/>
      <c r="DA289" s="906"/>
      <c r="DB289" s="906"/>
      <c r="DC289" s="906"/>
      <c r="DD289" s="906"/>
      <c r="DE289" s="906"/>
      <c r="DF289" s="906"/>
      <c r="DG289" s="906"/>
      <c r="DH289" s="906"/>
      <c r="DI289" s="906"/>
      <c r="DJ289" s="906"/>
      <c r="DK289" s="906"/>
      <c r="DL289" s="906"/>
      <c r="DM289" s="906"/>
      <c r="DN289" s="906"/>
      <c r="DO289" s="906"/>
      <c r="DP289" s="906"/>
      <c r="DQ289" s="906"/>
      <c r="DR289" s="906"/>
      <c r="DS289" s="906"/>
    </row>
    <row r="290" spans="9:123" s="854" customFormat="1">
      <c r="I290" s="895"/>
      <c r="J290" s="895"/>
      <c r="R290" s="906"/>
      <c r="S290" s="906"/>
      <c r="T290" s="906"/>
      <c r="U290" s="906"/>
      <c r="V290" s="906"/>
      <c r="W290" s="906"/>
      <c r="X290" s="906"/>
      <c r="Y290" s="906"/>
      <c r="Z290" s="906"/>
      <c r="AA290" s="906"/>
      <c r="AB290" s="906"/>
      <c r="AC290" s="906"/>
      <c r="AD290" s="906"/>
      <c r="AE290" s="906"/>
      <c r="AF290" s="906"/>
      <c r="AG290" s="906"/>
      <c r="AH290" s="906"/>
      <c r="AI290" s="906"/>
      <c r="AJ290" s="906"/>
      <c r="AK290" s="906"/>
      <c r="AL290" s="906"/>
      <c r="AM290" s="906"/>
      <c r="AN290" s="906"/>
      <c r="AO290" s="906"/>
      <c r="AP290" s="906"/>
      <c r="AQ290" s="906"/>
      <c r="AR290" s="906"/>
      <c r="AS290" s="906"/>
      <c r="AT290" s="906"/>
      <c r="AU290" s="906"/>
      <c r="AV290" s="906"/>
      <c r="AW290" s="906"/>
      <c r="AX290" s="906"/>
      <c r="AY290" s="906"/>
      <c r="AZ290" s="906"/>
      <c r="BA290" s="906"/>
      <c r="BB290" s="906"/>
      <c r="BC290" s="906"/>
      <c r="BD290" s="906"/>
      <c r="BE290" s="906"/>
      <c r="BF290" s="906"/>
      <c r="BG290" s="906"/>
      <c r="BH290" s="906"/>
      <c r="BI290" s="906"/>
      <c r="BJ290" s="906"/>
      <c r="BK290" s="906"/>
      <c r="BL290" s="906"/>
      <c r="BM290" s="906"/>
      <c r="BN290" s="906"/>
      <c r="BO290" s="906"/>
      <c r="BP290" s="906"/>
      <c r="BQ290" s="906"/>
      <c r="BR290" s="906"/>
      <c r="BS290" s="906"/>
      <c r="BT290" s="906"/>
      <c r="BU290" s="906"/>
      <c r="BV290" s="906"/>
      <c r="BW290" s="906"/>
      <c r="BX290" s="906"/>
      <c r="BY290" s="906"/>
      <c r="BZ290" s="906"/>
      <c r="CA290" s="906"/>
      <c r="CB290" s="906"/>
      <c r="CC290" s="906"/>
      <c r="CD290" s="906"/>
      <c r="CE290" s="906"/>
      <c r="CF290" s="906"/>
      <c r="CG290" s="906"/>
      <c r="CH290" s="906"/>
      <c r="CI290" s="906"/>
      <c r="CJ290" s="906"/>
      <c r="CK290" s="906"/>
      <c r="CL290" s="906"/>
      <c r="CM290" s="906"/>
      <c r="CN290" s="906"/>
      <c r="CO290" s="906"/>
      <c r="CP290" s="906"/>
      <c r="CQ290" s="906"/>
      <c r="CR290" s="906"/>
      <c r="CS290" s="906"/>
      <c r="CT290" s="906"/>
      <c r="CU290" s="906"/>
      <c r="CV290" s="906"/>
      <c r="CW290" s="906"/>
      <c r="CX290" s="906"/>
      <c r="CY290" s="906"/>
      <c r="CZ290" s="906"/>
      <c r="DA290" s="906"/>
      <c r="DB290" s="906"/>
      <c r="DC290" s="906"/>
      <c r="DD290" s="906"/>
      <c r="DE290" s="906"/>
      <c r="DF290" s="906"/>
      <c r="DG290" s="906"/>
      <c r="DH290" s="906"/>
      <c r="DI290" s="906"/>
      <c r="DJ290" s="906"/>
      <c r="DK290" s="906"/>
      <c r="DL290" s="906"/>
      <c r="DM290" s="906"/>
      <c r="DN290" s="906"/>
      <c r="DO290" s="906"/>
      <c r="DP290" s="906"/>
      <c r="DQ290" s="906"/>
      <c r="DR290" s="906"/>
      <c r="DS290" s="906"/>
    </row>
    <row r="291" spans="9:123" s="854" customFormat="1">
      <c r="I291" s="895"/>
      <c r="J291" s="895"/>
      <c r="R291" s="906"/>
      <c r="S291" s="906"/>
      <c r="T291" s="906"/>
      <c r="U291" s="906"/>
      <c r="V291" s="906"/>
      <c r="W291" s="906"/>
      <c r="X291" s="906"/>
      <c r="Y291" s="906"/>
      <c r="Z291" s="906"/>
      <c r="AA291" s="906"/>
      <c r="AB291" s="906"/>
      <c r="AC291" s="906"/>
      <c r="AD291" s="906"/>
      <c r="AE291" s="906"/>
      <c r="AF291" s="906"/>
      <c r="AG291" s="906"/>
      <c r="AH291" s="906"/>
      <c r="AI291" s="906"/>
      <c r="AJ291" s="906"/>
      <c r="AK291" s="906"/>
      <c r="AL291" s="906"/>
      <c r="AM291" s="906"/>
      <c r="AN291" s="906"/>
      <c r="AO291" s="906"/>
      <c r="AP291" s="906"/>
      <c r="AQ291" s="906"/>
      <c r="AR291" s="906"/>
      <c r="AS291" s="906"/>
      <c r="AT291" s="906"/>
      <c r="AU291" s="906"/>
      <c r="AV291" s="906"/>
      <c r="AW291" s="906"/>
      <c r="AX291" s="906"/>
      <c r="AY291" s="906"/>
      <c r="AZ291" s="906"/>
      <c r="BA291" s="906"/>
      <c r="BB291" s="906"/>
      <c r="BC291" s="906"/>
      <c r="BD291" s="906"/>
      <c r="BE291" s="906"/>
      <c r="BF291" s="906"/>
      <c r="BG291" s="906"/>
      <c r="BH291" s="906"/>
      <c r="BI291" s="906"/>
      <c r="BJ291" s="906"/>
      <c r="BK291" s="906"/>
      <c r="BL291" s="906"/>
      <c r="BM291" s="906"/>
      <c r="BN291" s="906"/>
      <c r="BO291" s="906"/>
      <c r="BP291" s="906"/>
      <c r="BQ291" s="906"/>
      <c r="BR291" s="906"/>
      <c r="BS291" s="906"/>
      <c r="BT291" s="906"/>
      <c r="BU291" s="906"/>
      <c r="BV291" s="906"/>
      <c r="BW291" s="906"/>
      <c r="BX291" s="906"/>
      <c r="BY291" s="906"/>
      <c r="BZ291" s="906"/>
      <c r="CA291" s="906"/>
      <c r="CB291" s="906"/>
      <c r="CC291" s="906"/>
      <c r="CD291" s="906"/>
      <c r="CE291" s="906"/>
      <c r="CF291" s="906"/>
      <c r="CG291" s="906"/>
      <c r="CH291" s="906"/>
      <c r="CI291" s="906"/>
      <c r="CJ291" s="906"/>
      <c r="CK291" s="906"/>
      <c r="CL291" s="906"/>
      <c r="CM291" s="906"/>
      <c r="CN291" s="906"/>
      <c r="CO291" s="906"/>
      <c r="CP291" s="906"/>
      <c r="CQ291" s="906"/>
      <c r="CR291" s="906"/>
      <c r="CS291" s="906"/>
      <c r="CT291" s="906"/>
      <c r="CU291" s="906"/>
      <c r="CV291" s="906"/>
      <c r="CW291" s="906"/>
      <c r="CX291" s="906"/>
      <c r="CY291" s="906"/>
      <c r="CZ291" s="906"/>
      <c r="DA291" s="906"/>
      <c r="DB291" s="906"/>
      <c r="DC291" s="906"/>
      <c r="DD291" s="906"/>
      <c r="DE291" s="906"/>
      <c r="DF291" s="906"/>
      <c r="DG291" s="906"/>
      <c r="DH291" s="906"/>
      <c r="DI291" s="906"/>
      <c r="DJ291" s="906"/>
      <c r="DK291" s="906"/>
      <c r="DL291" s="906"/>
      <c r="DM291" s="906"/>
      <c r="DN291" s="906"/>
      <c r="DO291" s="906"/>
      <c r="DP291" s="906"/>
      <c r="DQ291" s="906"/>
      <c r="DR291" s="906"/>
      <c r="DS291" s="906"/>
    </row>
    <row r="292" spans="9:123" s="854" customFormat="1">
      <c r="I292" s="895"/>
      <c r="J292" s="895"/>
      <c r="R292" s="906"/>
      <c r="S292" s="906"/>
      <c r="T292" s="906"/>
      <c r="U292" s="906"/>
      <c r="V292" s="906"/>
      <c r="W292" s="906"/>
      <c r="X292" s="906"/>
      <c r="Y292" s="906"/>
      <c r="Z292" s="906"/>
      <c r="AA292" s="906"/>
      <c r="AB292" s="906"/>
      <c r="AC292" s="906"/>
      <c r="AD292" s="906"/>
      <c r="AE292" s="906"/>
      <c r="AF292" s="906"/>
      <c r="AG292" s="906"/>
      <c r="AH292" s="906"/>
      <c r="AI292" s="906"/>
      <c r="AJ292" s="906"/>
      <c r="AK292" s="906"/>
      <c r="AL292" s="906"/>
      <c r="AM292" s="906"/>
      <c r="AN292" s="906"/>
      <c r="AO292" s="906"/>
      <c r="AP292" s="906"/>
      <c r="AQ292" s="906"/>
      <c r="AR292" s="906"/>
      <c r="AS292" s="906"/>
      <c r="AT292" s="906"/>
      <c r="AU292" s="906"/>
      <c r="AV292" s="906"/>
      <c r="AW292" s="906"/>
      <c r="AX292" s="906"/>
      <c r="AY292" s="906"/>
      <c r="AZ292" s="906"/>
      <c r="BA292" s="906"/>
      <c r="BB292" s="906"/>
      <c r="BC292" s="906"/>
      <c r="BD292" s="906"/>
      <c r="BE292" s="906"/>
      <c r="BF292" s="906"/>
      <c r="BG292" s="906"/>
      <c r="BH292" s="906"/>
      <c r="BI292" s="906"/>
      <c r="BJ292" s="906"/>
      <c r="BK292" s="906"/>
      <c r="BL292" s="906"/>
      <c r="BM292" s="906"/>
      <c r="BN292" s="906"/>
      <c r="BO292" s="906"/>
      <c r="BP292" s="906"/>
      <c r="BQ292" s="906"/>
      <c r="BR292" s="906"/>
      <c r="BS292" s="906"/>
      <c r="BT292" s="906"/>
      <c r="BU292" s="906"/>
      <c r="BV292" s="906"/>
      <c r="BW292" s="906"/>
      <c r="BX292" s="906"/>
      <c r="BY292" s="906"/>
      <c r="BZ292" s="906"/>
      <c r="CA292" s="906"/>
      <c r="CB292" s="906"/>
      <c r="CC292" s="906"/>
      <c r="CD292" s="906"/>
      <c r="CE292" s="906"/>
      <c r="CF292" s="906"/>
      <c r="CG292" s="906"/>
      <c r="CH292" s="906"/>
      <c r="CI292" s="906"/>
      <c r="CJ292" s="906"/>
      <c r="CK292" s="906"/>
      <c r="CL292" s="906"/>
      <c r="CM292" s="906"/>
      <c r="CN292" s="906"/>
      <c r="CO292" s="906"/>
      <c r="CP292" s="906"/>
      <c r="CQ292" s="906"/>
      <c r="CR292" s="906"/>
      <c r="CS292" s="906"/>
      <c r="CT292" s="906"/>
      <c r="CU292" s="906"/>
      <c r="CV292" s="906"/>
      <c r="CW292" s="906"/>
      <c r="CX292" s="906"/>
      <c r="CY292" s="906"/>
      <c r="CZ292" s="906"/>
      <c r="DA292" s="906"/>
      <c r="DB292" s="906"/>
      <c r="DC292" s="906"/>
      <c r="DD292" s="906"/>
      <c r="DE292" s="906"/>
      <c r="DF292" s="906"/>
      <c r="DG292" s="906"/>
      <c r="DH292" s="906"/>
      <c r="DI292" s="906"/>
      <c r="DJ292" s="906"/>
      <c r="DK292" s="906"/>
      <c r="DL292" s="906"/>
      <c r="DM292" s="906"/>
      <c r="DN292" s="906"/>
      <c r="DO292" s="906"/>
      <c r="DP292" s="906"/>
      <c r="DQ292" s="906"/>
      <c r="DR292" s="906"/>
      <c r="DS292" s="906"/>
    </row>
    <row r="293" spans="9:123" s="854" customFormat="1">
      <c r="I293" s="895"/>
      <c r="J293" s="895"/>
      <c r="R293" s="906"/>
      <c r="S293" s="906"/>
      <c r="T293" s="906"/>
      <c r="U293" s="906"/>
      <c r="V293" s="906"/>
      <c r="W293" s="906"/>
      <c r="X293" s="906"/>
      <c r="Y293" s="906"/>
      <c r="Z293" s="906"/>
      <c r="AA293" s="906"/>
      <c r="AB293" s="906"/>
      <c r="AC293" s="906"/>
      <c r="AD293" s="906"/>
      <c r="AE293" s="906"/>
      <c r="AF293" s="906"/>
      <c r="AG293" s="906"/>
      <c r="AH293" s="906"/>
      <c r="AI293" s="906"/>
      <c r="AJ293" s="906"/>
      <c r="AK293" s="906"/>
      <c r="AL293" s="906"/>
      <c r="AM293" s="906"/>
      <c r="AN293" s="906"/>
      <c r="AO293" s="906"/>
      <c r="AP293" s="906"/>
      <c r="AQ293" s="906"/>
      <c r="AR293" s="906"/>
      <c r="AS293" s="906"/>
      <c r="AT293" s="906"/>
      <c r="AU293" s="906"/>
      <c r="AV293" s="906"/>
      <c r="AW293" s="906"/>
      <c r="AX293" s="906"/>
      <c r="AY293" s="906"/>
      <c r="AZ293" s="906"/>
      <c r="BA293" s="906"/>
      <c r="BB293" s="906"/>
      <c r="BC293" s="906"/>
      <c r="BD293" s="906"/>
      <c r="BE293" s="906"/>
      <c r="BF293" s="906"/>
      <c r="BG293" s="906"/>
      <c r="BH293" s="906"/>
      <c r="BI293" s="906"/>
      <c r="BJ293" s="906"/>
      <c r="BK293" s="906"/>
      <c r="BL293" s="906"/>
      <c r="BM293" s="906"/>
      <c r="BN293" s="906"/>
      <c r="BO293" s="906"/>
      <c r="BP293" s="906"/>
      <c r="BQ293" s="906"/>
      <c r="BR293" s="906"/>
      <c r="BS293" s="906"/>
      <c r="BT293" s="906"/>
      <c r="BU293" s="906"/>
      <c r="BV293" s="906"/>
      <c r="BW293" s="906"/>
      <c r="BX293" s="906"/>
      <c r="BY293" s="906"/>
      <c r="BZ293" s="906"/>
      <c r="CA293" s="906"/>
      <c r="CB293" s="906"/>
      <c r="CC293" s="906"/>
      <c r="CD293" s="906"/>
      <c r="CE293" s="906"/>
      <c r="CF293" s="906"/>
      <c r="CG293" s="906"/>
      <c r="CH293" s="906"/>
      <c r="CI293" s="906"/>
      <c r="CJ293" s="906"/>
      <c r="CK293" s="906"/>
      <c r="CL293" s="906"/>
      <c r="CM293" s="906"/>
      <c r="CN293" s="906"/>
      <c r="CO293" s="906"/>
      <c r="CP293" s="906"/>
      <c r="CQ293" s="906"/>
      <c r="CR293" s="906"/>
      <c r="CS293" s="906"/>
      <c r="CT293" s="906"/>
      <c r="CU293" s="906"/>
      <c r="CV293" s="906"/>
      <c r="CW293" s="906"/>
      <c r="CX293" s="906"/>
      <c r="CY293" s="906"/>
      <c r="CZ293" s="906"/>
      <c r="DA293" s="906"/>
      <c r="DB293" s="906"/>
      <c r="DC293" s="906"/>
      <c r="DD293" s="906"/>
      <c r="DE293" s="906"/>
      <c r="DF293" s="906"/>
      <c r="DG293" s="906"/>
      <c r="DH293" s="906"/>
      <c r="DI293" s="906"/>
      <c r="DJ293" s="906"/>
      <c r="DK293" s="906"/>
      <c r="DL293" s="906"/>
      <c r="DM293" s="906"/>
      <c r="DN293" s="906"/>
      <c r="DO293" s="906"/>
      <c r="DP293" s="906"/>
      <c r="DQ293" s="906"/>
      <c r="DR293" s="906"/>
      <c r="DS293" s="906"/>
    </row>
    <row r="294" spans="9:123" s="854" customFormat="1">
      <c r="I294" s="895"/>
      <c r="J294" s="895"/>
      <c r="R294" s="906"/>
      <c r="S294" s="906"/>
      <c r="T294" s="906"/>
      <c r="U294" s="906"/>
      <c r="V294" s="906"/>
      <c r="W294" s="906"/>
      <c r="X294" s="906"/>
      <c r="Y294" s="906"/>
      <c r="Z294" s="906"/>
      <c r="AA294" s="906"/>
      <c r="AB294" s="906"/>
      <c r="AC294" s="906"/>
      <c r="AD294" s="906"/>
      <c r="AE294" s="906"/>
      <c r="AF294" s="906"/>
      <c r="AG294" s="906"/>
      <c r="AH294" s="906"/>
      <c r="AI294" s="906"/>
      <c r="AJ294" s="906"/>
      <c r="AK294" s="906"/>
      <c r="AL294" s="906"/>
      <c r="AM294" s="906"/>
      <c r="AN294" s="906"/>
      <c r="AO294" s="906"/>
      <c r="AP294" s="906"/>
      <c r="AQ294" s="906"/>
      <c r="AR294" s="906"/>
      <c r="AS294" s="906"/>
      <c r="AT294" s="906"/>
      <c r="AU294" s="906"/>
      <c r="AV294" s="906"/>
      <c r="AW294" s="906"/>
      <c r="AX294" s="906"/>
      <c r="AY294" s="906"/>
      <c r="AZ294" s="906"/>
      <c r="BA294" s="906"/>
      <c r="BB294" s="906"/>
      <c r="BC294" s="906"/>
      <c r="BD294" s="906"/>
      <c r="BE294" s="906"/>
      <c r="BF294" s="906"/>
      <c r="BG294" s="906"/>
      <c r="BH294" s="906"/>
      <c r="BI294" s="906"/>
      <c r="BJ294" s="906"/>
      <c r="BK294" s="906"/>
      <c r="BL294" s="906"/>
      <c r="BM294" s="906"/>
      <c r="BN294" s="906"/>
      <c r="BO294" s="906"/>
      <c r="BP294" s="906"/>
      <c r="BQ294" s="906"/>
      <c r="BR294" s="906"/>
      <c r="BS294" s="906"/>
      <c r="BT294" s="906"/>
      <c r="BU294" s="906"/>
      <c r="BV294" s="906"/>
      <c r="BW294" s="906"/>
      <c r="BX294" s="906"/>
      <c r="BY294" s="906"/>
      <c r="BZ294" s="906"/>
      <c r="CA294" s="906"/>
      <c r="CB294" s="906"/>
      <c r="CC294" s="906"/>
      <c r="CD294" s="906"/>
      <c r="CE294" s="906"/>
      <c r="CF294" s="906"/>
      <c r="CG294" s="906"/>
      <c r="CH294" s="906"/>
      <c r="CI294" s="906"/>
      <c r="CJ294" s="906"/>
      <c r="CK294" s="906"/>
      <c r="CL294" s="906"/>
      <c r="CM294" s="906"/>
      <c r="CN294" s="906"/>
      <c r="CO294" s="906"/>
      <c r="CP294" s="906"/>
      <c r="CQ294" s="906"/>
      <c r="CR294" s="906"/>
      <c r="CS294" s="906"/>
      <c r="CT294" s="906"/>
      <c r="CU294" s="906"/>
      <c r="CV294" s="906"/>
      <c r="CW294" s="906"/>
      <c r="CX294" s="906"/>
      <c r="CY294" s="906"/>
      <c r="CZ294" s="906"/>
      <c r="DA294" s="906"/>
      <c r="DB294" s="906"/>
      <c r="DC294" s="906"/>
      <c r="DD294" s="906"/>
      <c r="DE294" s="906"/>
      <c r="DF294" s="906"/>
      <c r="DG294" s="906"/>
      <c r="DH294" s="906"/>
      <c r="DI294" s="906"/>
      <c r="DJ294" s="906"/>
      <c r="DK294" s="906"/>
      <c r="DL294" s="906"/>
      <c r="DM294" s="906"/>
      <c r="DN294" s="906"/>
      <c r="DO294" s="906"/>
      <c r="DP294" s="906"/>
      <c r="DQ294" s="906"/>
      <c r="DR294" s="906"/>
      <c r="DS294" s="906"/>
    </row>
    <row r="295" spans="9:123" s="854" customFormat="1">
      <c r="I295" s="895"/>
      <c r="J295" s="895"/>
      <c r="R295" s="906"/>
      <c r="S295" s="906"/>
      <c r="T295" s="906"/>
      <c r="U295" s="906"/>
      <c r="V295" s="906"/>
      <c r="W295" s="906"/>
      <c r="X295" s="906"/>
      <c r="Y295" s="906"/>
      <c r="Z295" s="906"/>
      <c r="AA295" s="906"/>
      <c r="AB295" s="906"/>
      <c r="AC295" s="906"/>
      <c r="AD295" s="906"/>
      <c r="AE295" s="906"/>
      <c r="AF295" s="906"/>
      <c r="AG295" s="906"/>
      <c r="AH295" s="906"/>
      <c r="AI295" s="906"/>
      <c r="AJ295" s="906"/>
      <c r="AK295" s="906"/>
      <c r="AL295" s="906"/>
      <c r="AM295" s="906"/>
      <c r="AN295" s="906"/>
      <c r="AO295" s="906"/>
      <c r="AP295" s="906"/>
      <c r="AQ295" s="906"/>
      <c r="AR295" s="906"/>
      <c r="AS295" s="906"/>
      <c r="AT295" s="906"/>
      <c r="AU295" s="906"/>
      <c r="AV295" s="906"/>
      <c r="AW295" s="906"/>
      <c r="AX295" s="906"/>
      <c r="AY295" s="906"/>
      <c r="AZ295" s="906"/>
      <c r="BA295" s="906"/>
      <c r="BB295" s="906"/>
      <c r="BC295" s="906"/>
      <c r="BD295" s="906"/>
      <c r="BE295" s="906"/>
      <c r="BF295" s="906"/>
      <c r="BG295" s="906"/>
      <c r="BH295" s="906"/>
      <c r="BI295" s="906"/>
      <c r="BJ295" s="906"/>
      <c r="BK295" s="906"/>
      <c r="BL295" s="906"/>
      <c r="BM295" s="906"/>
      <c r="BN295" s="906"/>
      <c r="BO295" s="906"/>
      <c r="BP295" s="906"/>
      <c r="BQ295" s="906"/>
      <c r="BR295" s="906"/>
      <c r="BS295" s="906"/>
      <c r="BT295" s="906"/>
      <c r="BU295" s="906"/>
      <c r="BV295" s="906"/>
      <c r="BW295" s="906"/>
      <c r="BX295" s="906"/>
      <c r="BY295" s="906"/>
      <c r="BZ295" s="906"/>
      <c r="CA295" s="906"/>
      <c r="CB295" s="906"/>
      <c r="CC295" s="906"/>
      <c r="CD295" s="906"/>
      <c r="CE295" s="906"/>
      <c r="CF295" s="906"/>
      <c r="CG295" s="906"/>
      <c r="CH295" s="906"/>
      <c r="CI295" s="906"/>
      <c r="CJ295" s="906"/>
      <c r="CK295" s="906"/>
      <c r="CL295" s="906"/>
      <c r="CM295" s="906"/>
      <c r="CN295" s="906"/>
      <c r="CO295" s="906"/>
      <c r="CP295" s="906"/>
      <c r="CQ295" s="906"/>
      <c r="CR295" s="906"/>
      <c r="CS295" s="906"/>
      <c r="CT295" s="906"/>
      <c r="CU295" s="906"/>
      <c r="CV295" s="906"/>
      <c r="CW295" s="906"/>
      <c r="CX295" s="906"/>
      <c r="CY295" s="906"/>
      <c r="CZ295" s="906"/>
      <c r="DA295" s="906"/>
      <c r="DB295" s="906"/>
      <c r="DC295" s="906"/>
      <c r="DD295" s="906"/>
      <c r="DE295" s="906"/>
      <c r="DF295" s="906"/>
      <c r="DG295" s="906"/>
      <c r="DH295" s="906"/>
      <c r="DI295" s="906"/>
      <c r="DJ295" s="906"/>
      <c r="DK295" s="906"/>
      <c r="DL295" s="906"/>
      <c r="DM295" s="906"/>
      <c r="DN295" s="906"/>
      <c r="DO295" s="906"/>
      <c r="DP295" s="906"/>
      <c r="DQ295" s="906"/>
      <c r="DR295" s="906"/>
      <c r="DS295" s="906"/>
    </row>
    <row r="296" spans="9:123" s="854" customFormat="1">
      <c r="I296" s="895"/>
      <c r="J296" s="895"/>
      <c r="R296" s="906"/>
      <c r="S296" s="906"/>
      <c r="T296" s="906"/>
      <c r="U296" s="906"/>
      <c r="V296" s="906"/>
      <c r="W296" s="906"/>
      <c r="X296" s="906"/>
      <c r="Y296" s="906"/>
      <c r="Z296" s="906"/>
      <c r="AA296" s="906"/>
      <c r="AB296" s="906"/>
      <c r="AC296" s="906"/>
      <c r="AD296" s="906"/>
      <c r="AE296" s="906"/>
      <c r="AF296" s="906"/>
      <c r="AG296" s="906"/>
      <c r="AH296" s="906"/>
      <c r="AI296" s="906"/>
      <c r="AJ296" s="906"/>
      <c r="AK296" s="906"/>
      <c r="AL296" s="906"/>
      <c r="AM296" s="906"/>
      <c r="AN296" s="906"/>
      <c r="AO296" s="906"/>
      <c r="AP296" s="906"/>
      <c r="AQ296" s="906"/>
      <c r="AR296" s="906"/>
      <c r="AS296" s="906"/>
      <c r="AT296" s="906"/>
      <c r="AU296" s="906"/>
      <c r="AV296" s="906"/>
      <c r="AW296" s="906"/>
      <c r="AX296" s="906"/>
      <c r="AY296" s="906"/>
      <c r="AZ296" s="906"/>
      <c r="BA296" s="906"/>
      <c r="BB296" s="906"/>
      <c r="BC296" s="906"/>
      <c r="BD296" s="906"/>
      <c r="BE296" s="906"/>
      <c r="BF296" s="906"/>
      <c r="BG296" s="906"/>
      <c r="BH296" s="906"/>
      <c r="BI296" s="906"/>
      <c r="BJ296" s="906"/>
      <c r="BK296" s="906"/>
      <c r="BL296" s="906"/>
      <c r="BM296" s="906"/>
      <c r="BN296" s="906"/>
      <c r="BO296" s="906"/>
      <c r="BP296" s="906"/>
      <c r="BQ296" s="906"/>
      <c r="BR296" s="906"/>
      <c r="BS296" s="906"/>
      <c r="BT296" s="906"/>
      <c r="BU296" s="906"/>
      <c r="BV296" s="906"/>
      <c r="BW296" s="906"/>
      <c r="BX296" s="906"/>
      <c r="BY296" s="906"/>
      <c r="BZ296" s="906"/>
      <c r="CA296" s="906"/>
      <c r="CB296" s="906"/>
      <c r="CC296" s="906"/>
      <c r="CD296" s="906"/>
      <c r="CE296" s="906"/>
      <c r="CF296" s="906"/>
      <c r="CG296" s="906"/>
      <c r="CH296" s="906"/>
      <c r="CI296" s="906"/>
      <c r="CJ296" s="906"/>
      <c r="CK296" s="906"/>
      <c r="CL296" s="906"/>
      <c r="CM296" s="906"/>
      <c r="CN296" s="906"/>
      <c r="CO296" s="906"/>
      <c r="CP296" s="906"/>
      <c r="CQ296" s="906"/>
      <c r="CR296" s="906"/>
      <c r="CS296" s="906"/>
      <c r="CT296" s="906"/>
      <c r="CU296" s="906"/>
      <c r="CV296" s="906"/>
      <c r="CW296" s="906"/>
      <c r="CX296" s="906"/>
      <c r="CY296" s="906"/>
      <c r="CZ296" s="906"/>
      <c r="DA296" s="906"/>
      <c r="DB296" s="906"/>
      <c r="DC296" s="906"/>
      <c r="DD296" s="906"/>
      <c r="DE296" s="906"/>
      <c r="DF296" s="906"/>
      <c r="DG296" s="906"/>
      <c r="DH296" s="906"/>
      <c r="DI296" s="906"/>
      <c r="DJ296" s="906"/>
      <c r="DK296" s="906"/>
      <c r="DL296" s="906"/>
      <c r="DM296" s="906"/>
      <c r="DN296" s="906"/>
      <c r="DO296" s="906"/>
      <c r="DP296" s="906"/>
      <c r="DQ296" s="906"/>
      <c r="DR296" s="906"/>
      <c r="DS296" s="906"/>
    </row>
    <row r="297" spans="9:123" s="854" customFormat="1">
      <c r="I297" s="895"/>
      <c r="J297" s="895"/>
      <c r="R297" s="906"/>
      <c r="S297" s="906"/>
      <c r="T297" s="906"/>
      <c r="U297" s="906"/>
      <c r="V297" s="906"/>
      <c r="W297" s="906"/>
      <c r="X297" s="906"/>
      <c r="Y297" s="906"/>
      <c r="Z297" s="906"/>
      <c r="AA297" s="906"/>
      <c r="AB297" s="906"/>
      <c r="AC297" s="906"/>
      <c r="AD297" s="906"/>
      <c r="AE297" s="906"/>
      <c r="AF297" s="906"/>
      <c r="AG297" s="906"/>
      <c r="AH297" s="906"/>
      <c r="AI297" s="906"/>
      <c r="AJ297" s="906"/>
      <c r="AK297" s="906"/>
      <c r="AL297" s="906"/>
      <c r="AM297" s="906"/>
      <c r="AN297" s="906"/>
      <c r="AO297" s="906"/>
      <c r="AP297" s="906"/>
      <c r="AQ297" s="906"/>
      <c r="AR297" s="906"/>
      <c r="AS297" s="906"/>
      <c r="AT297" s="906"/>
      <c r="AU297" s="906"/>
      <c r="AV297" s="906"/>
      <c r="AW297" s="906"/>
      <c r="AX297" s="906"/>
      <c r="AY297" s="906"/>
      <c r="AZ297" s="906"/>
      <c r="BA297" s="906"/>
      <c r="BB297" s="906"/>
      <c r="BC297" s="906"/>
      <c r="BD297" s="906"/>
      <c r="BE297" s="906"/>
      <c r="BF297" s="906"/>
      <c r="BG297" s="906"/>
      <c r="BH297" s="906"/>
      <c r="BI297" s="906"/>
      <c r="BJ297" s="906"/>
      <c r="BK297" s="906"/>
      <c r="BL297" s="906"/>
      <c r="BM297" s="906"/>
      <c r="BN297" s="906"/>
      <c r="BO297" s="906"/>
      <c r="BP297" s="906"/>
      <c r="BQ297" s="906"/>
      <c r="BR297" s="906"/>
      <c r="BS297" s="906"/>
      <c r="BT297" s="906"/>
      <c r="BU297" s="906"/>
      <c r="BV297" s="906"/>
      <c r="BW297" s="906"/>
      <c r="BX297" s="906"/>
      <c r="BY297" s="906"/>
      <c r="BZ297" s="906"/>
      <c r="CA297" s="906"/>
      <c r="CB297" s="906"/>
      <c r="CC297" s="906"/>
      <c r="CD297" s="906"/>
      <c r="CE297" s="906"/>
      <c r="CF297" s="906"/>
      <c r="CG297" s="906"/>
      <c r="CH297" s="906"/>
      <c r="CI297" s="906"/>
      <c r="CJ297" s="906"/>
      <c r="CK297" s="906"/>
      <c r="CL297" s="906"/>
      <c r="CM297" s="906"/>
      <c r="CN297" s="906"/>
      <c r="CO297" s="906"/>
      <c r="CP297" s="906"/>
      <c r="CQ297" s="906"/>
      <c r="CR297" s="906"/>
      <c r="CS297" s="906"/>
      <c r="CT297" s="906"/>
      <c r="CU297" s="906"/>
      <c r="CV297" s="906"/>
      <c r="CW297" s="906"/>
      <c r="CX297" s="906"/>
      <c r="CY297" s="906"/>
      <c r="CZ297" s="906"/>
      <c r="DA297" s="906"/>
      <c r="DB297" s="906"/>
      <c r="DC297" s="906"/>
      <c r="DD297" s="906"/>
      <c r="DE297" s="906"/>
      <c r="DF297" s="906"/>
      <c r="DG297" s="906"/>
      <c r="DH297" s="906"/>
      <c r="DI297" s="906"/>
      <c r="DJ297" s="906"/>
      <c r="DK297" s="906"/>
      <c r="DL297" s="906"/>
      <c r="DM297" s="906"/>
      <c r="DN297" s="906"/>
      <c r="DO297" s="906"/>
      <c r="DP297" s="906"/>
      <c r="DQ297" s="906"/>
      <c r="DR297" s="906"/>
      <c r="DS297" s="906"/>
    </row>
    <row r="298" spans="9:123" s="854" customFormat="1">
      <c r="I298" s="895"/>
      <c r="J298" s="895"/>
      <c r="R298" s="906"/>
      <c r="S298" s="906"/>
      <c r="T298" s="906"/>
      <c r="U298" s="906"/>
      <c r="V298" s="906"/>
      <c r="W298" s="906"/>
      <c r="X298" s="906"/>
      <c r="Y298" s="906"/>
      <c r="Z298" s="906"/>
      <c r="AA298" s="906"/>
      <c r="AB298" s="906"/>
      <c r="AC298" s="906"/>
      <c r="AD298" s="906"/>
      <c r="AE298" s="906"/>
      <c r="AF298" s="906"/>
      <c r="AG298" s="906"/>
      <c r="AH298" s="906"/>
      <c r="AI298" s="906"/>
      <c r="AJ298" s="906"/>
      <c r="AK298" s="906"/>
      <c r="AL298" s="906"/>
      <c r="AM298" s="906"/>
      <c r="AN298" s="906"/>
      <c r="AO298" s="906"/>
      <c r="AP298" s="906"/>
      <c r="AQ298" s="906"/>
      <c r="AR298" s="906"/>
      <c r="AS298" s="906"/>
      <c r="AT298" s="906"/>
      <c r="AU298" s="906"/>
      <c r="AV298" s="906"/>
      <c r="AW298" s="906"/>
      <c r="AX298" s="906"/>
      <c r="AY298" s="906"/>
      <c r="AZ298" s="906"/>
      <c r="BA298" s="906"/>
      <c r="BB298" s="906"/>
      <c r="BC298" s="906"/>
      <c r="BD298" s="906"/>
      <c r="BE298" s="906"/>
      <c r="BF298" s="906"/>
      <c r="BG298" s="906"/>
      <c r="BH298" s="906"/>
      <c r="BI298" s="906"/>
      <c r="BJ298" s="906"/>
      <c r="BK298" s="906"/>
      <c r="BL298" s="906"/>
      <c r="BM298" s="906"/>
      <c r="BN298" s="906"/>
      <c r="BO298" s="906"/>
      <c r="BP298" s="906"/>
      <c r="BQ298" s="906"/>
      <c r="BR298" s="906"/>
      <c r="BS298" s="906"/>
      <c r="BT298" s="906"/>
      <c r="BU298" s="906"/>
      <c r="BV298" s="906"/>
      <c r="BW298" s="906"/>
      <c r="BX298" s="906"/>
      <c r="BY298" s="906"/>
      <c r="BZ298" s="906"/>
      <c r="CA298" s="906"/>
      <c r="CB298" s="906"/>
      <c r="CC298" s="906"/>
      <c r="CD298" s="906"/>
      <c r="CE298" s="906"/>
      <c r="CF298" s="906"/>
      <c r="CG298" s="906"/>
      <c r="CH298" s="906"/>
      <c r="CI298" s="906"/>
      <c r="CJ298" s="906"/>
      <c r="CK298" s="906"/>
      <c r="CL298" s="906"/>
      <c r="CM298" s="906"/>
      <c r="CN298" s="906"/>
      <c r="CO298" s="906"/>
      <c r="CP298" s="906"/>
      <c r="CQ298" s="906"/>
      <c r="CR298" s="906"/>
      <c r="CS298" s="906"/>
      <c r="CT298" s="906"/>
      <c r="CU298" s="906"/>
      <c r="CV298" s="906"/>
      <c r="CW298" s="906"/>
      <c r="CX298" s="906"/>
      <c r="CY298" s="906"/>
      <c r="CZ298" s="906"/>
      <c r="DA298" s="906"/>
      <c r="DB298" s="906"/>
      <c r="DC298" s="906"/>
      <c r="DD298" s="906"/>
      <c r="DE298" s="906"/>
      <c r="DF298" s="906"/>
      <c r="DG298" s="906"/>
      <c r="DH298" s="906"/>
      <c r="DI298" s="906"/>
      <c r="DJ298" s="906"/>
      <c r="DK298" s="906"/>
      <c r="DL298" s="906"/>
      <c r="DM298" s="906"/>
      <c r="DN298" s="906"/>
      <c r="DO298" s="906"/>
      <c r="DP298" s="906"/>
      <c r="DQ298" s="906"/>
      <c r="DR298" s="906"/>
      <c r="DS298" s="906"/>
    </row>
    <row r="299" spans="9:123" s="854" customFormat="1">
      <c r="I299" s="895"/>
      <c r="J299" s="895"/>
      <c r="R299" s="906"/>
      <c r="S299" s="906"/>
      <c r="T299" s="906"/>
      <c r="U299" s="906"/>
      <c r="V299" s="906"/>
      <c r="W299" s="906"/>
      <c r="X299" s="906"/>
      <c r="Y299" s="906"/>
      <c r="Z299" s="906"/>
      <c r="AA299" s="906"/>
      <c r="AB299" s="906"/>
      <c r="AC299" s="906"/>
      <c r="AD299" s="906"/>
      <c r="AE299" s="906"/>
      <c r="AF299" s="906"/>
      <c r="AG299" s="906"/>
      <c r="AH299" s="906"/>
      <c r="AI299" s="906"/>
      <c r="AJ299" s="906"/>
      <c r="AK299" s="906"/>
      <c r="AL299" s="906"/>
      <c r="AM299" s="906"/>
      <c r="AN299" s="906"/>
      <c r="AO299" s="906"/>
      <c r="AP299" s="906"/>
      <c r="AQ299" s="906"/>
      <c r="AR299" s="906"/>
      <c r="AS299" s="906"/>
      <c r="AT299" s="906"/>
      <c r="AU299" s="906"/>
      <c r="AV299" s="906"/>
      <c r="AW299" s="906"/>
      <c r="AX299" s="906"/>
      <c r="AY299" s="906"/>
      <c r="AZ299" s="906"/>
      <c r="BA299" s="906"/>
      <c r="BB299" s="906"/>
      <c r="BC299" s="906"/>
      <c r="BD299" s="906"/>
      <c r="BE299" s="906"/>
      <c r="BF299" s="906"/>
      <c r="BG299" s="906"/>
      <c r="BH299" s="906"/>
      <c r="BI299" s="906"/>
      <c r="BJ299" s="906"/>
      <c r="BK299" s="906"/>
      <c r="BL299" s="906"/>
      <c r="BM299" s="906"/>
      <c r="BN299" s="906"/>
      <c r="BO299" s="906"/>
      <c r="BP299" s="906"/>
      <c r="BQ299" s="906"/>
      <c r="BR299" s="906"/>
      <c r="BS299" s="906"/>
      <c r="BT299" s="906"/>
      <c r="BU299" s="906"/>
      <c r="BV299" s="906"/>
      <c r="BW299" s="906"/>
      <c r="BX299" s="906"/>
      <c r="BY299" s="906"/>
      <c r="BZ299" s="906"/>
      <c r="CA299" s="906"/>
      <c r="CB299" s="906"/>
      <c r="CC299" s="906"/>
      <c r="CD299" s="906"/>
      <c r="CE299" s="906"/>
      <c r="CF299" s="906"/>
      <c r="CG299" s="906"/>
      <c r="CH299" s="906"/>
      <c r="CI299" s="906"/>
      <c r="CJ299" s="906"/>
      <c r="CK299" s="906"/>
      <c r="CL299" s="906"/>
      <c r="CM299" s="906"/>
      <c r="CN299" s="906"/>
      <c r="CO299" s="906"/>
      <c r="CP299" s="906"/>
      <c r="CQ299" s="906"/>
      <c r="CR299" s="906"/>
      <c r="CS299" s="906"/>
      <c r="CT299" s="906"/>
      <c r="CU299" s="906"/>
      <c r="CV299" s="906"/>
      <c r="CW299" s="906"/>
      <c r="CX299" s="906"/>
      <c r="CY299" s="906"/>
      <c r="CZ299" s="906"/>
      <c r="DA299" s="906"/>
      <c r="DB299" s="906"/>
      <c r="DC299" s="906"/>
      <c r="DD299" s="906"/>
      <c r="DE299" s="906"/>
      <c r="DF299" s="906"/>
      <c r="DG299" s="906"/>
      <c r="DH299" s="906"/>
      <c r="DI299" s="906"/>
      <c r="DJ299" s="906"/>
      <c r="DK299" s="906"/>
      <c r="DL299" s="906"/>
      <c r="DM299" s="906"/>
      <c r="DN299" s="906"/>
      <c r="DO299" s="906"/>
      <c r="DP299" s="906"/>
      <c r="DQ299" s="906"/>
      <c r="DR299" s="906"/>
      <c r="DS299" s="906"/>
    </row>
    <row r="300" spans="9:123" s="854" customFormat="1">
      <c r="I300" s="895"/>
      <c r="J300" s="895"/>
      <c r="R300" s="906"/>
      <c r="S300" s="906"/>
      <c r="T300" s="906"/>
      <c r="U300" s="906"/>
      <c r="V300" s="906"/>
      <c r="W300" s="906"/>
      <c r="X300" s="906"/>
      <c r="Y300" s="906"/>
      <c r="Z300" s="906"/>
      <c r="AA300" s="906"/>
      <c r="AB300" s="906"/>
      <c r="AC300" s="906"/>
      <c r="AD300" s="906"/>
      <c r="AE300" s="906"/>
      <c r="AF300" s="906"/>
      <c r="AG300" s="906"/>
      <c r="AH300" s="906"/>
      <c r="AI300" s="906"/>
      <c r="AJ300" s="906"/>
      <c r="AK300" s="906"/>
      <c r="AL300" s="906"/>
      <c r="AM300" s="906"/>
      <c r="AN300" s="906"/>
      <c r="AO300" s="906"/>
      <c r="AP300" s="906"/>
      <c r="AQ300" s="906"/>
      <c r="AR300" s="906"/>
      <c r="AS300" s="906"/>
      <c r="AT300" s="906"/>
      <c r="AU300" s="906"/>
      <c r="AV300" s="906"/>
      <c r="AW300" s="906"/>
      <c r="AX300" s="906"/>
      <c r="AY300" s="906"/>
      <c r="AZ300" s="906"/>
      <c r="BA300" s="906"/>
      <c r="BB300" s="906"/>
      <c r="BC300" s="906"/>
      <c r="BD300" s="906"/>
      <c r="BE300" s="906"/>
      <c r="BF300" s="906"/>
      <c r="BG300" s="906"/>
      <c r="BH300" s="906"/>
      <c r="BI300" s="906"/>
      <c r="BJ300" s="906"/>
      <c r="BK300" s="906"/>
      <c r="BL300" s="906"/>
      <c r="BM300" s="906"/>
      <c r="BN300" s="906"/>
      <c r="BO300" s="906"/>
      <c r="BP300" s="906"/>
      <c r="BQ300" s="906"/>
      <c r="BR300" s="906"/>
      <c r="BS300" s="906"/>
      <c r="BT300" s="906"/>
      <c r="BU300" s="906"/>
      <c r="BV300" s="906"/>
      <c r="BW300" s="906"/>
      <c r="BX300" s="906"/>
      <c r="BY300" s="906"/>
      <c r="BZ300" s="906"/>
      <c r="CA300" s="906"/>
      <c r="CB300" s="906"/>
      <c r="CC300" s="906"/>
      <c r="CD300" s="906"/>
      <c r="CE300" s="906"/>
      <c r="CF300" s="906"/>
      <c r="CG300" s="906"/>
      <c r="CH300" s="906"/>
      <c r="CI300" s="906"/>
      <c r="CJ300" s="906"/>
      <c r="CK300" s="906"/>
      <c r="CL300" s="906"/>
      <c r="CM300" s="906"/>
      <c r="CN300" s="906"/>
      <c r="CO300" s="906"/>
      <c r="CP300" s="906"/>
      <c r="CQ300" s="906"/>
      <c r="CR300" s="906"/>
      <c r="CS300" s="906"/>
      <c r="CT300" s="906"/>
      <c r="CU300" s="906"/>
      <c r="CV300" s="906"/>
      <c r="CW300" s="906"/>
      <c r="CX300" s="906"/>
      <c r="CY300" s="906"/>
      <c r="CZ300" s="906"/>
      <c r="DA300" s="906"/>
      <c r="DB300" s="906"/>
      <c r="DC300" s="906"/>
      <c r="DD300" s="906"/>
      <c r="DE300" s="906"/>
      <c r="DF300" s="906"/>
      <c r="DG300" s="906"/>
      <c r="DH300" s="906"/>
      <c r="DI300" s="906"/>
      <c r="DJ300" s="906"/>
      <c r="DK300" s="906"/>
      <c r="DL300" s="906"/>
      <c r="DM300" s="906"/>
      <c r="DN300" s="906"/>
      <c r="DO300" s="906"/>
      <c r="DP300" s="906"/>
      <c r="DQ300" s="906"/>
      <c r="DR300" s="906"/>
      <c r="DS300" s="906"/>
    </row>
    <row r="301" spans="9:123" s="854" customFormat="1">
      <c r="I301" s="895"/>
      <c r="J301" s="895"/>
      <c r="R301" s="906"/>
      <c r="S301" s="906"/>
      <c r="T301" s="906"/>
      <c r="U301" s="906"/>
      <c r="V301" s="906"/>
      <c r="W301" s="906"/>
      <c r="X301" s="906"/>
      <c r="Y301" s="906"/>
      <c r="Z301" s="906"/>
      <c r="AA301" s="906"/>
      <c r="AB301" s="906"/>
      <c r="AC301" s="906"/>
      <c r="AD301" s="906"/>
      <c r="AE301" s="906"/>
      <c r="AF301" s="906"/>
      <c r="AG301" s="906"/>
      <c r="AH301" s="906"/>
      <c r="AI301" s="906"/>
      <c r="AJ301" s="906"/>
      <c r="AK301" s="906"/>
      <c r="AL301" s="906"/>
      <c r="AM301" s="906"/>
      <c r="AN301" s="906"/>
      <c r="AO301" s="906"/>
      <c r="AP301" s="906"/>
      <c r="AQ301" s="906"/>
      <c r="AR301" s="906"/>
      <c r="AS301" s="906"/>
      <c r="AT301" s="906"/>
      <c r="AU301" s="906"/>
      <c r="AV301" s="906"/>
      <c r="AW301" s="906"/>
      <c r="AX301" s="906"/>
      <c r="AY301" s="906"/>
      <c r="AZ301" s="906"/>
      <c r="BA301" s="906"/>
      <c r="BB301" s="906"/>
      <c r="BC301" s="906"/>
      <c r="BD301" s="906"/>
      <c r="BE301" s="906"/>
      <c r="BF301" s="906"/>
      <c r="BG301" s="906"/>
      <c r="BH301" s="906"/>
      <c r="BI301" s="906"/>
      <c r="BJ301" s="906"/>
      <c r="BK301" s="906"/>
      <c r="BL301" s="906"/>
      <c r="BM301" s="906"/>
      <c r="BN301" s="906"/>
      <c r="BO301" s="906"/>
      <c r="BP301" s="906"/>
      <c r="BQ301" s="906"/>
      <c r="BR301" s="906"/>
      <c r="BS301" s="906"/>
      <c r="BT301" s="906"/>
      <c r="BU301" s="906"/>
      <c r="BV301" s="906"/>
      <c r="BW301" s="906"/>
      <c r="BX301" s="906"/>
      <c r="BY301" s="906"/>
      <c r="BZ301" s="906"/>
      <c r="CA301" s="906"/>
      <c r="CB301" s="906"/>
      <c r="CC301" s="906"/>
      <c r="CD301" s="906"/>
      <c r="CE301" s="906"/>
      <c r="CF301" s="906"/>
      <c r="CG301" s="906"/>
      <c r="CH301" s="906"/>
      <c r="CI301" s="906"/>
      <c r="CJ301" s="906"/>
      <c r="CK301" s="906"/>
      <c r="CL301" s="906"/>
      <c r="CM301" s="906"/>
      <c r="CN301" s="906"/>
      <c r="CO301" s="906"/>
      <c r="CP301" s="906"/>
      <c r="CQ301" s="906"/>
      <c r="CR301" s="906"/>
      <c r="CS301" s="906"/>
      <c r="CT301" s="906"/>
      <c r="CU301" s="906"/>
      <c r="CV301" s="906"/>
      <c r="CW301" s="906"/>
      <c r="CX301" s="906"/>
      <c r="CY301" s="906"/>
      <c r="CZ301" s="906"/>
      <c r="DA301" s="906"/>
      <c r="DB301" s="906"/>
      <c r="DC301" s="906"/>
      <c r="DD301" s="906"/>
      <c r="DE301" s="906"/>
      <c r="DF301" s="906"/>
      <c r="DG301" s="906"/>
      <c r="DH301" s="906"/>
      <c r="DI301" s="906"/>
      <c r="DJ301" s="906"/>
      <c r="DK301" s="906"/>
      <c r="DL301" s="906"/>
      <c r="DM301" s="906"/>
      <c r="DN301" s="906"/>
      <c r="DO301" s="906"/>
      <c r="DP301" s="906"/>
      <c r="DQ301" s="906"/>
      <c r="DR301" s="906"/>
      <c r="DS301" s="906"/>
    </row>
    <row r="302" spans="9:123" s="854" customFormat="1">
      <c r="I302" s="895"/>
      <c r="J302" s="895"/>
      <c r="R302" s="906"/>
      <c r="S302" s="906"/>
      <c r="T302" s="906"/>
      <c r="U302" s="906"/>
      <c r="V302" s="906"/>
      <c r="W302" s="906"/>
      <c r="X302" s="906"/>
      <c r="Y302" s="906"/>
      <c r="Z302" s="906"/>
      <c r="AA302" s="906"/>
      <c r="AB302" s="906"/>
      <c r="AC302" s="906"/>
      <c r="AD302" s="906"/>
      <c r="AE302" s="906"/>
      <c r="AF302" s="906"/>
      <c r="AG302" s="906"/>
      <c r="AH302" s="906"/>
      <c r="AI302" s="906"/>
      <c r="AJ302" s="906"/>
      <c r="AK302" s="906"/>
      <c r="AL302" s="906"/>
      <c r="AM302" s="906"/>
      <c r="AN302" s="906"/>
      <c r="AO302" s="906"/>
      <c r="AP302" s="906"/>
      <c r="AQ302" s="906"/>
      <c r="AR302" s="906"/>
      <c r="AS302" s="906"/>
      <c r="AT302" s="906"/>
      <c r="AU302" s="906"/>
      <c r="AV302" s="906"/>
      <c r="AW302" s="906"/>
      <c r="AX302" s="906"/>
      <c r="AY302" s="906"/>
      <c r="AZ302" s="906"/>
      <c r="BA302" s="906"/>
      <c r="BB302" s="906"/>
      <c r="BC302" s="906"/>
      <c r="BD302" s="906"/>
      <c r="BE302" s="906"/>
      <c r="BF302" s="906"/>
      <c r="BG302" s="906"/>
      <c r="BH302" s="906"/>
      <c r="BI302" s="906"/>
      <c r="BJ302" s="906"/>
      <c r="BK302" s="906"/>
      <c r="BL302" s="906"/>
      <c r="BM302" s="906"/>
      <c r="BN302" s="906"/>
      <c r="BO302" s="906"/>
      <c r="BP302" s="906"/>
      <c r="BQ302" s="906"/>
      <c r="BR302" s="906"/>
      <c r="BS302" s="906"/>
      <c r="BT302" s="906"/>
      <c r="BU302" s="906"/>
      <c r="BV302" s="906"/>
      <c r="BW302" s="906"/>
      <c r="BX302" s="906"/>
      <c r="BY302" s="906"/>
      <c r="BZ302" s="906"/>
      <c r="CA302" s="906"/>
      <c r="CB302" s="906"/>
      <c r="CC302" s="906"/>
      <c r="CD302" s="906"/>
      <c r="CE302" s="906"/>
      <c r="CF302" s="906"/>
      <c r="CG302" s="906"/>
      <c r="CH302" s="906"/>
      <c r="CI302" s="906"/>
      <c r="CJ302" s="906"/>
      <c r="CK302" s="906"/>
      <c r="CL302" s="906"/>
      <c r="CM302" s="906"/>
      <c r="CN302" s="906"/>
      <c r="CO302" s="906"/>
      <c r="CP302" s="906"/>
      <c r="CQ302" s="906"/>
      <c r="CR302" s="906"/>
      <c r="CS302" s="906"/>
      <c r="CT302" s="906"/>
      <c r="CU302" s="906"/>
      <c r="CV302" s="906"/>
      <c r="CW302" s="906"/>
      <c r="CX302" s="906"/>
      <c r="CY302" s="906"/>
      <c r="CZ302" s="906"/>
      <c r="DA302" s="906"/>
      <c r="DB302" s="906"/>
      <c r="DC302" s="906"/>
      <c r="DD302" s="906"/>
      <c r="DE302" s="906"/>
      <c r="DF302" s="906"/>
      <c r="DG302" s="906"/>
      <c r="DH302" s="906"/>
      <c r="DI302" s="906"/>
      <c r="DJ302" s="906"/>
      <c r="DK302" s="906"/>
      <c r="DL302" s="906"/>
      <c r="DM302" s="906"/>
      <c r="DN302" s="906"/>
      <c r="DO302" s="906"/>
      <c r="DP302" s="906"/>
      <c r="DQ302" s="906"/>
      <c r="DR302" s="906"/>
      <c r="DS302" s="906"/>
    </row>
    <row r="303" spans="9:123" s="854" customFormat="1">
      <c r="I303" s="895"/>
      <c r="J303" s="895"/>
      <c r="R303" s="906"/>
      <c r="S303" s="906"/>
      <c r="T303" s="906"/>
      <c r="U303" s="906"/>
      <c r="V303" s="906"/>
      <c r="W303" s="906"/>
      <c r="X303" s="906"/>
      <c r="Y303" s="906"/>
      <c r="Z303" s="906"/>
      <c r="AA303" s="906"/>
      <c r="AB303" s="906"/>
      <c r="AC303" s="906"/>
      <c r="AD303" s="906"/>
      <c r="AE303" s="906"/>
      <c r="AF303" s="906"/>
      <c r="AG303" s="906"/>
      <c r="AH303" s="906"/>
      <c r="AI303" s="906"/>
      <c r="AJ303" s="906"/>
      <c r="AK303" s="906"/>
      <c r="AL303" s="906"/>
      <c r="AM303" s="906"/>
      <c r="AN303" s="906"/>
      <c r="AO303" s="906"/>
      <c r="AP303" s="906"/>
      <c r="AQ303" s="906"/>
      <c r="AR303" s="906"/>
      <c r="AS303" s="906"/>
      <c r="AT303" s="906"/>
      <c r="AU303" s="906"/>
      <c r="AV303" s="906"/>
      <c r="AW303" s="906"/>
      <c r="AX303" s="906"/>
      <c r="AY303" s="906"/>
      <c r="AZ303" s="906"/>
      <c r="BA303" s="906"/>
      <c r="BB303" s="906"/>
      <c r="BC303" s="906"/>
      <c r="BD303" s="906"/>
      <c r="BE303" s="906"/>
      <c r="BF303" s="906"/>
      <c r="BG303" s="906"/>
      <c r="BH303" s="906"/>
      <c r="BI303" s="906"/>
      <c r="BJ303" s="906"/>
      <c r="BK303" s="906"/>
      <c r="BL303" s="906"/>
      <c r="BM303" s="906"/>
      <c r="BN303" s="906"/>
      <c r="BO303" s="906"/>
      <c r="BP303" s="906"/>
      <c r="BQ303" s="906"/>
      <c r="BR303" s="906"/>
      <c r="BS303" s="906"/>
      <c r="BT303" s="906"/>
      <c r="BU303" s="906"/>
      <c r="BV303" s="906"/>
      <c r="BW303" s="906"/>
      <c r="BX303" s="906"/>
      <c r="BY303" s="906"/>
      <c r="BZ303" s="906"/>
      <c r="CA303" s="906"/>
      <c r="CB303" s="906"/>
      <c r="CC303" s="906"/>
      <c r="CD303" s="906"/>
      <c r="CE303" s="906"/>
      <c r="CF303" s="906"/>
      <c r="CG303" s="906"/>
      <c r="CH303" s="906"/>
      <c r="CI303" s="906"/>
      <c r="CJ303" s="906"/>
      <c r="CK303" s="906"/>
      <c r="CL303" s="906"/>
      <c r="CM303" s="906"/>
      <c r="CN303" s="906"/>
      <c r="CO303" s="906"/>
      <c r="CP303" s="906"/>
      <c r="CQ303" s="906"/>
      <c r="CR303" s="906"/>
      <c r="CS303" s="906"/>
      <c r="CT303" s="906"/>
      <c r="CU303" s="906"/>
      <c r="CV303" s="906"/>
      <c r="CW303" s="906"/>
      <c r="CX303" s="906"/>
      <c r="CY303" s="906"/>
      <c r="CZ303" s="906"/>
      <c r="DA303" s="906"/>
      <c r="DB303" s="906"/>
      <c r="DC303" s="906"/>
      <c r="DD303" s="906"/>
      <c r="DE303" s="906"/>
      <c r="DF303" s="906"/>
      <c r="DG303" s="906"/>
      <c r="DH303" s="906"/>
      <c r="DI303" s="906"/>
      <c r="DJ303" s="906"/>
      <c r="DK303" s="906"/>
      <c r="DL303" s="906"/>
      <c r="DM303" s="906"/>
      <c r="DN303" s="906"/>
      <c r="DO303" s="906"/>
      <c r="DP303" s="906"/>
      <c r="DQ303" s="906"/>
      <c r="DR303" s="906"/>
      <c r="DS303" s="906"/>
    </row>
    <row r="304" spans="9:123" s="854" customFormat="1">
      <c r="I304" s="895"/>
      <c r="J304" s="895"/>
      <c r="R304" s="906"/>
      <c r="S304" s="906"/>
      <c r="T304" s="906"/>
      <c r="U304" s="906"/>
      <c r="V304" s="906"/>
      <c r="W304" s="906"/>
      <c r="X304" s="906"/>
      <c r="Y304" s="906"/>
      <c r="Z304" s="906"/>
      <c r="AA304" s="906"/>
      <c r="AB304" s="906"/>
      <c r="AC304" s="906"/>
      <c r="AD304" s="906"/>
      <c r="AE304" s="906"/>
      <c r="AF304" s="906"/>
      <c r="AG304" s="906"/>
      <c r="AH304" s="906"/>
      <c r="AI304" s="906"/>
      <c r="AJ304" s="906"/>
      <c r="AK304" s="906"/>
      <c r="AL304" s="906"/>
      <c r="AM304" s="906"/>
      <c r="AN304" s="906"/>
      <c r="AO304" s="906"/>
      <c r="AP304" s="906"/>
      <c r="AQ304" s="906"/>
      <c r="AR304" s="906"/>
      <c r="AS304" s="906"/>
      <c r="AT304" s="906"/>
      <c r="AU304" s="906"/>
      <c r="AV304" s="906"/>
      <c r="AW304" s="906"/>
      <c r="AX304" s="906"/>
      <c r="AY304" s="906"/>
      <c r="AZ304" s="906"/>
      <c r="BA304" s="906"/>
      <c r="BB304" s="906"/>
      <c r="BC304" s="906"/>
      <c r="BD304" s="906"/>
      <c r="BE304" s="906"/>
      <c r="BF304" s="906"/>
      <c r="BG304" s="906"/>
      <c r="BH304" s="906"/>
      <c r="BI304" s="906"/>
      <c r="BJ304" s="906"/>
      <c r="BK304" s="906"/>
      <c r="BL304" s="906"/>
      <c r="BM304" s="906"/>
      <c r="BN304" s="906"/>
      <c r="BO304" s="906"/>
      <c r="BP304" s="906"/>
      <c r="BQ304" s="906"/>
      <c r="BR304" s="906"/>
      <c r="BS304" s="906"/>
      <c r="BT304" s="906"/>
      <c r="BU304" s="906"/>
      <c r="BV304" s="906"/>
      <c r="BW304" s="906"/>
      <c r="BX304" s="906"/>
      <c r="BY304" s="906"/>
      <c r="BZ304" s="906"/>
      <c r="CA304" s="906"/>
      <c r="CB304" s="906"/>
      <c r="CC304" s="906"/>
      <c r="CD304" s="906"/>
      <c r="CE304" s="906"/>
      <c r="CF304" s="906"/>
      <c r="CG304" s="906"/>
      <c r="CH304" s="906"/>
      <c r="CI304" s="906"/>
      <c r="CJ304" s="906"/>
      <c r="CK304" s="906"/>
      <c r="CL304" s="906"/>
      <c r="CM304" s="906"/>
      <c r="CN304" s="906"/>
      <c r="CO304" s="906"/>
      <c r="CP304" s="906"/>
      <c r="CQ304" s="906"/>
      <c r="CR304" s="906"/>
      <c r="CS304" s="906"/>
      <c r="CT304" s="906"/>
      <c r="CU304" s="906"/>
      <c r="CV304" s="906"/>
      <c r="CW304" s="906"/>
      <c r="CX304" s="906"/>
      <c r="CY304" s="906"/>
      <c r="CZ304" s="906"/>
      <c r="DA304" s="906"/>
      <c r="DB304" s="906"/>
      <c r="DC304" s="906"/>
      <c r="DD304" s="906"/>
      <c r="DE304" s="906"/>
      <c r="DF304" s="906"/>
      <c r="DG304" s="906"/>
      <c r="DH304" s="906"/>
      <c r="DI304" s="906"/>
      <c r="DJ304" s="906"/>
      <c r="DK304" s="906"/>
      <c r="DL304" s="906"/>
      <c r="DM304" s="906"/>
      <c r="DN304" s="906"/>
      <c r="DO304" s="906"/>
      <c r="DP304" s="906"/>
      <c r="DQ304" s="906"/>
      <c r="DR304" s="906"/>
      <c r="DS304" s="906"/>
    </row>
    <row r="305" spans="9:123" s="854" customFormat="1">
      <c r="I305" s="895"/>
      <c r="J305" s="895"/>
      <c r="R305" s="906"/>
      <c r="S305" s="906"/>
      <c r="T305" s="906"/>
      <c r="U305" s="906"/>
      <c r="V305" s="906"/>
      <c r="W305" s="906"/>
      <c r="X305" s="906"/>
      <c r="Y305" s="906"/>
      <c r="Z305" s="906"/>
      <c r="AA305" s="906"/>
      <c r="AB305" s="906"/>
      <c r="AC305" s="906"/>
      <c r="AD305" s="906"/>
      <c r="AE305" s="906"/>
      <c r="AF305" s="906"/>
      <c r="AG305" s="906"/>
      <c r="AH305" s="906"/>
      <c r="AI305" s="906"/>
      <c r="AJ305" s="906"/>
      <c r="AK305" s="906"/>
      <c r="AL305" s="906"/>
      <c r="AM305" s="906"/>
      <c r="AN305" s="906"/>
      <c r="AO305" s="906"/>
      <c r="AP305" s="906"/>
      <c r="AQ305" s="906"/>
      <c r="AR305" s="906"/>
      <c r="AS305" s="906"/>
      <c r="AT305" s="906"/>
      <c r="AU305" s="906"/>
      <c r="AV305" s="906"/>
      <c r="AW305" s="906"/>
      <c r="AX305" s="906"/>
      <c r="AY305" s="906"/>
      <c r="AZ305" s="906"/>
      <c r="BA305" s="906"/>
      <c r="BB305" s="906"/>
      <c r="BC305" s="906"/>
      <c r="BD305" s="906"/>
      <c r="BE305" s="906"/>
      <c r="BF305" s="906"/>
      <c r="BG305" s="906"/>
      <c r="BH305" s="906"/>
      <c r="BI305" s="906"/>
      <c r="BJ305" s="906"/>
      <c r="BK305" s="906"/>
      <c r="BL305" s="906"/>
      <c r="BM305" s="906"/>
      <c r="BN305" s="906"/>
      <c r="BO305" s="906"/>
      <c r="BP305" s="906"/>
      <c r="BQ305" s="906"/>
      <c r="BR305" s="906"/>
      <c r="BS305" s="906"/>
      <c r="BT305" s="906"/>
      <c r="BU305" s="906"/>
      <c r="BV305" s="906"/>
      <c r="BW305" s="906"/>
      <c r="BX305" s="906"/>
      <c r="BY305" s="906"/>
      <c r="BZ305" s="906"/>
      <c r="CA305" s="906"/>
      <c r="CB305" s="906"/>
      <c r="CC305" s="906"/>
      <c r="CD305" s="906"/>
      <c r="CE305" s="906"/>
      <c r="CF305" s="906"/>
      <c r="CG305" s="906"/>
      <c r="CH305" s="906"/>
      <c r="CI305" s="906"/>
      <c r="CJ305" s="906"/>
      <c r="CK305" s="906"/>
      <c r="CL305" s="906"/>
      <c r="CM305" s="906"/>
      <c r="CN305" s="906"/>
      <c r="CO305" s="906"/>
      <c r="CP305" s="906"/>
      <c r="CQ305" s="906"/>
      <c r="CR305" s="906"/>
      <c r="CS305" s="906"/>
      <c r="CT305" s="906"/>
      <c r="CU305" s="906"/>
      <c r="CV305" s="906"/>
      <c r="CW305" s="906"/>
      <c r="CX305" s="906"/>
      <c r="CY305" s="906"/>
      <c r="CZ305" s="906"/>
      <c r="DA305" s="906"/>
      <c r="DB305" s="906"/>
      <c r="DC305" s="906"/>
      <c r="DD305" s="906"/>
      <c r="DE305" s="906"/>
      <c r="DF305" s="906"/>
      <c r="DG305" s="906"/>
      <c r="DH305" s="906"/>
      <c r="DI305" s="906"/>
      <c r="DJ305" s="906"/>
      <c r="DK305" s="906"/>
      <c r="DL305" s="906"/>
      <c r="DM305" s="906"/>
      <c r="DN305" s="906"/>
      <c r="DO305" s="906"/>
      <c r="DP305" s="906"/>
      <c r="DQ305" s="906"/>
      <c r="DR305" s="906"/>
      <c r="DS305" s="906"/>
    </row>
    <row r="306" spans="9:123" s="854" customFormat="1">
      <c r="I306" s="895"/>
      <c r="J306" s="895"/>
      <c r="R306" s="906"/>
      <c r="S306" s="906"/>
      <c r="T306" s="906"/>
      <c r="U306" s="906"/>
      <c r="V306" s="906"/>
      <c r="W306" s="906"/>
      <c r="X306" s="906"/>
      <c r="Y306" s="906"/>
      <c r="Z306" s="906"/>
      <c r="AA306" s="906"/>
      <c r="AB306" s="906"/>
      <c r="AC306" s="906"/>
      <c r="AD306" s="906"/>
      <c r="AE306" s="906"/>
      <c r="AF306" s="906"/>
      <c r="AG306" s="906"/>
      <c r="AH306" s="906"/>
      <c r="AI306" s="906"/>
      <c r="AJ306" s="906"/>
      <c r="AK306" s="906"/>
      <c r="AL306" s="906"/>
      <c r="AM306" s="906"/>
      <c r="AN306" s="906"/>
      <c r="AO306" s="906"/>
      <c r="AP306" s="906"/>
      <c r="AQ306" s="906"/>
      <c r="AR306" s="906"/>
      <c r="AS306" s="906"/>
      <c r="AT306" s="906"/>
      <c r="AU306" s="906"/>
      <c r="AV306" s="906"/>
      <c r="AW306" s="906"/>
      <c r="AX306" s="906"/>
      <c r="AY306" s="906"/>
      <c r="AZ306" s="906"/>
      <c r="BA306" s="906"/>
      <c r="BB306" s="906"/>
      <c r="BC306" s="906"/>
      <c r="BD306" s="906"/>
      <c r="BE306" s="906"/>
      <c r="BF306" s="906"/>
      <c r="BG306" s="906"/>
      <c r="BH306" s="906"/>
      <c r="BI306" s="906"/>
      <c r="BJ306" s="906"/>
      <c r="BK306" s="906"/>
      <c r="BL306" s="906"/>
      <c r="BM306" s="906"/>
      <c r="BN306" s="906"/>
      <c r="BO306" s="906"/>
      <c r="BP306" s="906"/>
      <c r="BQ306" s="906"/>
      <c r="BR306" s="906"/>
      <c r="BS306" s="906"/>
      <c r="BT306" s="906"/>
      <c r="BU306" s="906"/>
      <c r="BV306" s="906"/>
      <c r="BW306" s="906"/>
      <c r="BX306" s="906"/>
      <c r="BY306" s="906"/>
      <c r="BZ306" s="906"/>
      <c r="CA306" s="906"/>
      <c r="CB306" s="906"/>
      <c r="CC306" s="906"/>
      <c r="CD306" s="906"/>
      <c r="CE306" s="906"/>
      <c r="CF306" s="906"/>
      <c r="CG306" s="906"/>
      <c r="CH306" s="906"/>
      <c r="CI306" s="906"/>
      <c r="CJ306" s="906"/>
      <c r="CK306" s="906"/>
      <c r="CL306" s="906"/>
      <c r="CM306" s="906"/>
      <c r="CN306" s="906"/>
      <c r="CO306" s="906"/>
      <c r="CP306" s="906"/>
      <c r="CQ306" s="906"/>
      <c r="CR306" s="906"/>
      <c r="CS306" s="906"/>
      <c r="CT306" s="906"/>
      <c r="CU306" s="906"/>
      <c r="CV306" s="906"/>
      <c r="CW306" s="906"/>
      <c r="CX306" s="906"/>
      <c r="CY306" s="906"/>
      <c r="CZ306" s="906"/>
      <c r="DA306" s="906"/>
      <c r="DB306" s="906"/>
      <c r="DC306" s="906"/>
      <c r="DD306" s="906"/>
      <c r="DE306" s="906"/>
      <c r="DF306" s="906"/>
      <c r="DG306" s="906"/>
      <c r="DH306" s="906"/>
      <c r="DI306" s="906"/>
      <c r="DJ306" s="906"/>
      <c r="DK306" s="906"/>
      <c r="DL306" s="906"/>
      <c r="DM306" s="906"/>
      <c r="DN306" s="906"/>
      <c r="DO306" s="906"/>
      <c r="DP306" s="906"/>
      <c r="DQ306" s="906"/>
      <c r="DR306" s="906"/>
      <c r="DS306" s="906"/>
    </row>
    <row r="307" spans="9:123" s="854" customFormat="1">
      <c r="I307" s="895"/>
      <c r="J307" s="895"/>
      <c r="R307" s="906"/>
      <c r="S307" s="906"/>
      <c r="T307" s="906"/>
      <c r="U307" s="906"/>
      <c r="V307" s="906"/>
      <c r="W307" s="906"/>
      <c r="X307" s="906"/>
      <c r="Y307" s="906"/>
      <c r="Z307" s="906"/>
      <c r="AA307" s="906"/>
      <c r="AB307" s="906"/>
      <c r="AC307" s="906"/>
      <c r="AD307" s="906"/>
      <c r="AE307" s="906"/>
      <c r="AF307" s="906"/>
      <c r="AG307" s="906"/>
      <c r="AH307" s="906"/>
      <c r="AI307" s="906"/>
      <c r="AJ307" s="906"/>
      <c r="AK307" s="906"/>
      <c r="AL307" s="906"/>
      <c r="AM307" s="906"/>
      <c r="AN307" s="906"/>
      <c r="AO307" s="906"/>
      <c r="AP307" s="906"/>
      <c r="AQ307" s="906"/>
      <c r="AR307" s="906"/>
      <c r="AS307" s="906"/>
      <c r="AT307" s="906"/>
      <c r="AU307" s="906"/>
      <c r="AV307" s="906"/>
      <c r="AW307" s="906"/>
      <c r="AX307" s="906"/>
      <c r="AY307" s="906"/>
      <c r="AZ307" s="906"/>
      <c r="BA307" s="906"/>
      <c r="BB307" s="906"/>
      <c r="BC307" s="906"/>
      <c r="BD307" s="906"/>
      <c r="BE307" s="906"/>
      <c r="BF307" s="906"/>
      <c r="BG307" s="906"/>
      <c r="BH307" s="906"/>
      <c r="BI307" s="906"/>
      <c r="BJ307" s="906"/>
      <c r="BK307" s="906"/>
      <c r="BL307" s="906"/>
      <c r="BM307" s="906"/>
      <c r="BN307" s="906"/>
      <c r="BO307" s="906"/>
      <c r="BP307" s="906"/>
      <c r="BQ307" s="906"/>
      <c r="BR307" s="906"/>
      <c r="BS307" s="906"/>
      <c r="BT307" s="906"/>
      <c r="BU307" s="906"/>
      <c r="BV307" s="906"/>
      <c r="BW307" s="906"/>
      <c r="BX307" s="906"/>
      <c r="BY307" s="906"/>
      <c r="BZ307" s="906"/>
      <c r="CA307" s="906"/>
      <c r="CB307" s="906"/>
      <c r="CC307" s="906"/>
      <c r="CD307" s="906"/>
      <c r="CE307" s="906"/>
      <c r="CF307" s="906"/>
      <c r="CG307" s="906"/>
      <c r="CH307" s="906"/>
      <c r="CI307" s="906"/>
      <c r="CJ307" s="906"/>
      <c r="CK307" s="906"/>
      <c r="CL307" s="906"/>
      <c r="CM307" s="906"/>
      <c r="CN307" s="906"/>
      <c r="CO307" s="906"/>
      <c r="CP307" s="906"/>
      <c r="CQ307" s="906"/>
      <c r="CR307" s="906"/>
      <c r="CS307" s="906"/>
      <c r="CT307" s="906"/>
      <c r="CU307" s="906"/>
      <c r="CV307" s="906"/>
      <c r="CW307" s="906"/>
      <c r="CX307" s="906"/>
      <c r="CY307" s="906"/>
      <c r="CZ307" s="906"/>
      <c r="DA307" s="906"/>
      <c r="DB307" s="906"/>
      <c r="DC307" s="906"/>
      <c r="DD307" s="906"/>
      <c r="DE307" s="906"/>
      <c r="DF307" s="906"/>
      <c r="DG307" s="906"/>
      <c r="DH307" s="906"/>
      <c r="DI307" s="906"/>
      <c r="DJ307" s="906"/>
      <c r="DK307" s="906"/>
      <c r="DL307" s="906"/>
      <c r="DM307" s="906"/>
      <c r="DN307" s="906"/>
      <c r="DO307" s="906"/>
      <c r="DP307" s="906"/>
      <c r="DQ307" s="906"/>
      <c r="DR307" s="906"/>
      <c r="DS307" s="906"/>
    </row>
    <row r="308" spans="9:123" s="854" customFormat="1">
      <c r="I308" s="895"/>
      <c r="J308" s="895"/>
      <c r="R308" s="906"/>
      <c r="S308" s="906"/>
      <c r="T308" s="906"/>
      <c r="U308" s="906"/>
      <c r="V308" s="906"/>
      <c r="W308" s="906"/>
      <c r="X308" s="906"/>
      <c r="Y308" s="906"/>
      <c r="Z308" s="906"/>
      <c r="AA308" s="906"/>
      <c r="AB308" s="906"/>
      <c r="AC308" s="906"/>
      <c r="AD308" s="906"/>
      <c r="AE308" s="906"/>
      <c r="AF308" s="906"/>
      <c r="AG308" s="906"/>
      <c r="AH308" s="906"/>
      <c r="AI308" s="906"/>
      <c r="AJ308" s="906"/>
      <c r="AK308" s="906"/>
      <c r="AL308" s="906"/>
      <c r="AM308" s="906"/>
      <c r="AN308" s="906"/>
      <c r="AO308" s="906"/>
      <c r="AP308" s="906"/>
      <c r="AQ308" s="906"/>
      <c r="AR308" s="906"/>
      <c r="AS308" s="906"/>
      <c r="AT308" s="906"/>
      <c r="AU308" s="906"/>
      <c r="AV308" s="906"/>
      <c r="AW308" s="906"/>
      <c r="AX308" s="906"/>
      <c r="AY308" s="906"/>
      <c r="AZ308" s="906"/>
      <c r="BA308" s="906"/>
      <c r="BB308" s="906"/>
      <c r="BC308" s="906"/>
      <c r="BD308" s="906"/>
      <c r="BE308" s="906"/>
      <c r="BF308" s="906"/>
      <c r="BG308" s="906"/>
      <c r="BH308" s="906"/>
      <c r="BI308" s="906"/>
      <c r="BJ308" s="906"/>
      <c r="BK308" s="906"/>
      <c r="BL308" s="906"/>
      <c r="BM308" s="906"/>
      <c r="BN308" s="906"/>
      <c r="BO308" s="906"/>
      <c r="BP308" s="906"/>
      <c r="BQ308" s="906"/>
      <c r="BR308" s="906"/>
      <c r="BS308" s="906"/>
      <c r="BT308" s="906"/>
      <c r="BU308" s="906"/>
      <c r="BV308" s="906"/>
      <c r="BW308" s="906"/>
      <c r="BX308" s="906"/>
      <c r="BY308" s="906"/>
      <c r="BZ308" s="906"/>
      <c r="CA308" s="906"/>
      <c r="CB308" s="906"/>
      <c r="CC308" s="906"/>
      <c r="CD308" s="906"/>
      <c r="CE308" s="906"/>
      <c r="CF308" s="906"/>
      <c r="CG308" s="906"/>
      <c r="CH308" s="906"/>
      <c r="CI308" s="906"/>
      <c r="CJ308" s="906"/>
      <c r="CK308" s="906"/>
      <c r="CL308" s="906"/>
      <c r="CM308" s="906"/>
      <c r="CN308" s="906"/>
      <c r="CO308" s="906"/>
      <c r="CP308" s="906"/>
      <c r="CQ308" s="906"/>
      <c r="CR308" s="906"/>
      <c r="CS308" s="906"/>
      <c r="CT308" s="906"/>
      <c r="CU308" s="906"/>
      <c r="CV308" s="906"/>
      <c r="CW308" s="906"/>
      <c r="CX308" s="906"/>
      <c r="CY308" s="906"/>
      <c r="CZ308" s="906"/>
      <c r="DA308" s="906"/>
      <c r="DB308" s="906"/>
      <c r="DC308" s="906"/>
      <c r="DD308" s="906"/>
      <c r="DE308" s="906"/>
      <c r="DF308" s="906"/>
      <c r="DG308" s="906"/>
      <c r="DH308" s="906"/>
      <c r="DI308" s="906"/>
      <c r="DJ308" s="906"/>
      <c r="DK308" s="906"/>
      <c r="DL308" s="906"/>
      <c r="DM308" s="906"/>
      <c r="DN308" s="906"/>
      <c r="DO308" s="906"/>
      <c r="DP308" s="906"/>
      <c r="DQ308" s="906"/>
      <c r="DR308" s="906"/>
      <c r="DS308" s="906"/>
    </row>
    <row r="309" spans="9:123" s="854" customFormat="1">
      <c r="I309" s="895"/>
      <c r="J309" s="895"/>
      <c r="R309" s="906"/>
      <c r="S309" s="906"/>
      <c r="T309" s="906"/>
      <c r="U309" s="906"/>
      <c r="V309" s="906"/>
      <c r="W309" s="906"/>
      <c r="X309" s="906"/>
      <c r="Y309" s="906"/>
      <c r="Z309" s="906"/>
      <c r="AA309" s="906"/>
      <c r="AB309" s="906"/>
      <c r="AC309" s="906"/>
      <c r="AD309" s="906"/>
      <c r="AE309" s="906"/>
      <c r="AF309" s="906"/>
      <c r="AG309" s="906"/>
      <c r="AH309" s="906"/>
      <c r="AI309" s="906"/>
      <c r="AJ309" s="906"/>
      <c r="AK309" s="906"/>
      <c r="AL309" s="906"/>
      <c r="AM309" s="906"/>
      <c r="AN309" s="906"/>
      <c r="AO309" s="906"/>
      <c r="AP309" s="906"/>
      <c r="AQ309" s="906"/>
      <c r="AR309" s="906"/>
      <c r="AS309" s="906"/>
      <c r="AT309" s="906"/>
      <c r="AU309" s="906"/>
      <c r="AV309" s="906"/>
      <c r="AW309" s="906"/>
      <c r="AX309" s="906"/>
      <c r="AY309" s="906"/>
      <c r="AZ309" s="906"/>
      <c r="BA309" s="906"/>
      <c r="BB309" s="906"/>
      <c r="BC309" s="906"/>
      <c r="BD309" s="906"/>
      <c r="BE309" s="906"/>
      <c r="BF309" s="906"/>
      <c r="BG309" s="906"/>
      <c r="BH309" s="906"/>
      <c r="BI309" s="906"/>
      <c r="BJ309" s="906"/>
      <c r="BK309" s="906"/>
      <c r="BL309" s="906"/>
      <c r="BM309" s="906"/>
      <c r="BN309" s="906"/>
      <c r="BO309" s="906"/>
      <c r="BP309" s="906"/>
      <c r="BQ309" s="906"/>
      <c r="BR309" s="906"/>
      <c r="BS309" s="906"/>
      <c r="BT309" s="906"/>
      <c r="BU309" s="906"/>
      <c r="BV309" s="906"/>
      <c r="BW309" s="906"/>
      <c r="BX309" s="906"/>
      <c r="BY309" s="906"/>
      <c r="BZ309" s="906"/>
      <c r="CA309" s="906"/>
      <c r="CB309" s="906"/>
      <c r="CC309" s="906"/>
      <c r="CD309" s="906"/>
      <c r="CE309" s="906"/>
      <c r="CF309" s="906"/>
      <c r="CG309" s="906"/>
      <c r="CH309" s="906"/>
      <c r="CI309" s="906"/>
      <c r="CJ309" s="906"/>
      <c r="CK309" s="906"/>
      <c r="CL309" s="906"/>
      <c r="CM309" s="906"/>
      <c r="CN309" s="906"/>
      <c r="CO309" s="906"/>
      <c r="CP309" s="906"/>
      <c r="CQ309" s="906"/>
      <c r="CR309" s="906"/>
      <c r="CS309" s="906"/>
      <c r="CT309" s="906"/>
      <c r="CU309" s="906"/>
      <c r="CV309" s="906"/>
      <c r="CW309" s="906"/>
      <c r="CX309" s="906"/>
      <c r="CY309" s="906"/>
      <c r="CZ309" s="906"/>
      <c r="DA309" s="906"/>
      <c r="DB309" s="906"/>
      <c r="DC309" s="906"/>
      <c r="DD309" s="906"/>
      <c r="DE309" s="906"/>
      <c r="DF309" s="906"/>
      <c r="DG309" s="906"/>
      <c r="DH309" s="906"/>
      <c r="DI309" s="906"/>
      <c r="DJ309" s="906"/>
      <c r="DK309" s="906"/>
      <c r="DL309" s="906"/>
      <c r="DM309" s="906"/>
      <c r="DN309" s="906"/>
      <c r="DO309" s="906"/>
      <c r="DP309" s="906"/>
      <c r="DQ309" s="906"/>
      <c r="DR309" s="906"/>
      <c r="DS309" s="906"/>
    </row>
    <row r="310" spans="9:123" s="854" customFormat="1">
      <c r="I310" s="895"/>
      <c r="J310" s="895"/>
      <c r="R310" s="906"/>
      <c r="S310" s="906"/>
      <c r="T310" s="906"/>
      <c r="U310" s="906"/>
      <c r="V310" s="906"/>
      <c r="W310" s="906"/>
      <c r="X310" s="906"/>
      <c r="Y310" s="906"/>
      <c r="Z310" s="906"/>
      <c r="AA310" s="906"/>
      <c r="AB310" s="906"/>
      <c r="AC310" s="906"/>
      <c r="AD310" s="906"/>
      <c r="AE310" s="906"/>
      <c r="AF310" s="906"/>
      <c r="AG310" s="906"/>
      <c r="AH310" s="906"/>
      <c r="AI310" s="906"/>
      <c r="AJ310" s="906"/>
      <c r="AK310" s="906"/>
      <c r="AL310" s="906"/>
      <c r="AM310" s="906"/>
      <c r="AN310" s="906"/>
      <c r="AO310" s="906"/>
      <c r="AP310" s="906"/>
      <c r="AQ310" s="906"/>
      <c r="AR310" s="906"/>
      <c r="AS310" s="906"/>
      <c r="AT310" s="906"/>
      <c r="AU310" s="906"/>
      <c r="AV310" s="906"/>
      <c r="AW310" s="906"/>
      <c r="AX310" s="906"/>
      <c r="AY310" s="906"/>
      <c r="AZ310" s="906"/>
      <c r="BA310" s="906"/>
      <c r="BB310" s="906"/>
      <c r="BC310" s="906"/>
      <c r="BD310" s="906"/>
      <c r="BE310" s="906"/>
      <c r="BF310" s="906"/>
      <c r="BG310" s="906"/>
      <c r="BH310" s="906"/>
      <c r="BI310" s="906"/>
      <c r="BJ310" s="906"/>
      <c r="BK310" s="906"/>
      <c r="BL310" s="906"/>
      <c r="BM310" s="906"/>
      <c r="BN310" s="906"/>
      <c r="BO310" s="906"/>
      <c r="BP310" s="906"/>
      <c r="BQ310" s="906"/>
      <c r="BR310" s="906"/>
      <c r="BS310" s="906"/>
      <c r="BT310" s="906"/>
      <c r="BU310" s="906"/>
      <c r="BV310" s="906"/>
      <c r="BW310" s="906"/>
      <c r="BX310" s="906"/>
      <c r="BY310" s="906"/>
      <c r="BZ310" s="906"/>
      <c r="CA310" s="906"/>
      <c r="CB310" s="906"/>
      <c r="CC310" s="906"/>
      <c r="CD310" s="906"/>
      <c r="CE310" s="906"/>
      <c r="CF310" s="906"/>
      <c r="CG310" s="906"/>
      <c r="CH310" s="906"/>
      <c r="CI310" s="906"/>
      <c r="CJ310" s="906"/>
      <c r="CK310" s="906"/>
      <c r="CL310" s="906"/>
      <c r="CM310" s="906"/>
      <c r="CN310" s="906"/>
      <c r="CO310" s="906"/>
      <c r="CP310" s="906"/>
      <c r="CQ310" s="906"/>
      <c r="CR310" s="906"/>
      <c r="CS310" s="906"/>
      <c r="CT310" s="906"/>
      <c r="CU310" s="906"/>
      <c r="CV310" s="906"/>
      <c r="CW310" s="906"/>
      <c r="CX310" s="906"/>
      <c r="CY310" s="906"/>
      <c r="CZ310" s="906"/>
      <c r="DA310" s="906"/>
      <c r="DB310" s="906"/>
      <c r="DC310" s="906"/>
      <c r="DD310" s="906"/>
      <c r="DE310" s="906"/>
      <c r="DF310" s="906"/>
      <c r="DG310" s="906"/>
      <c r="DH310" s="906"/>
      <c r="DI310" s="906"/>
      <c r="DJ310" s="906"/>
      <c r="DK310" s="906"/>
      <c r="DL310" s="906"/>
      <c r="DM310" s="906"/>
      <c r="DN310" s="906"/>
      <c r="DO310" s="906"/>
      <c r="DP310" s="906"/>
      <c r="DQ310" s="906"/>
      <c r="DR310" s="906"/>
      <c r="DS310" s="906"/>
    </row>
    <row r="311" spans="9:123" s="854" customFormat="1">
      <c r="I311" s="895"/>
      <c r="J311" s="895"/>
      <c r="R311" s="906"/>
      <c r="S311" s="906"/>
      <c r="T311" s="906"/>
      <c r="U311" s="906"/>
      <c r="V311" s="906"/>
      <c r="W311" s="906"/>
      <c r="X311" s="906"/>
      <c r="Y311" s="906"/>
      <c r="Z311" s="906"/>
      <c r="AA311" s="906"/>
      <c r="AB311" s="906"/>
      <c r="AC311" s="906"/>
      <c r="AD311" s="906"/>
      <c r="AE311" s="906"/>
      <c r="AF311" s="906"/>
      <c r="AG311" s="906"/>
      <c r="AH311" s="906"/>
      <c r="AI311" s="906"/>
      <c r="AJ311" s="906"/>
      <c r="AK311" s="906"/>
      <c r="AL311" s="906"/>
      <c r="AM311" s="906"/>
      <c r="AN311" s="906"/>
      <c r="AO311" s="906"/>
      <c r="AP311" s="906"/>
      <c r="AQ311" s="906"/>
      <c r="AR311" s="906"/>
      <c r="AS311" s="906"/>
      <c r="AT311" s="906"/>
      <c r="AU311" s="906"/>
      <c r="AV311" s="906"/>
      <c r="AW311" s="906"/>
      <c r="AX311" s="906"/>
      <c r="AY311" s="906"/>
      <c r="AZ311" s="906"/>
      <c r="BA311" s="906"/>
      <c r="BB311" s="906"/>
      <c r="BC311" s="906"/>
      <c r="BD311" s="906"/>
      <c r="BE311" s="906"/>
      <c r="BF311" s="906"/>
      <c r="BG311" s="906"/>
      <c r="BH311" s="906"/>
      <c r="BI311" s="906"/>
      <c r="BJ311" s="906"/>
      <c r="BK311" s="906"/>
      <c r="BL311" s="906"/>
      <c r="BM311" s="906"/>
      <c r="BN311" s="906"/>
      <c r="BO311" s="906"/>
      <c r="BP311" s="906"/>
      <c r="BQ311" s="906"/>
      <c r="BR311" s="906"/>
      <c r="BS311" s="906"/>
      <c r="BT311" s="906"/>
      <c r="BU311" s="906"/>
      <c r="BV311" s="906"/>
      <c r="BW311" s="906"/>
      <c r="BX311" s="906"/>
      <c r="BY311" s="906"/>
      <c r="BZ311" s="906"/>
      <c r="CA311" s="906"/>
      <c r="CB311" s="906"/>
      <c r="CC311" s="906"/>
      <c r="CD311" s="906"/>
      <c r="CE311" s="906"/>
      <c r="CF311" s="906"/>
      <c r="CG311" s="906"/>
      <c r="CH311" s="906"/>
      <c r="CI311" s="906"/>
      <c r="CJ311" s="906"/>
      <c r="CK311" s="906"/>
      <c r="CL311" s="906"/>
      <c r="CM311" s="906"/>
      <c r="CN311" s="906"/>
      <c r="CO311" s="906"/>
      <c r="CP311" s="906"/>
      <c r="CQ311" s="906"/>
      <c r="CR311" s="906"/>
      <c r="CS311" s="906"/>
      <c r="CT311" s="906"/>
      <c r="CU311" s="906"/>
      <c r="CV311" s="906"/>
      <c r="CW311" s="906"/>
      <c r="CX311" s="906"/>
      <c r="CY311" s="906"/>
      <c r="CZ311" s="906"/>
      <c r="DA311" s="906"/>
      <c r="DB311" s="906"/>
      <c r="DC311" s="906"/>
      <c r="DD311" s="906"/>
      <c r="DE311" s="906"/>
      <c r="DF311" s="906"/>
      <c r="DG311" s="906"/>
      <c r="DH311" s="906"/>
      <c r="DI311" s="906"/>
      <c r="DJ311" s="906"/>
      <c r="DK311" s="906"/>
      <c r="DL311" s="906"/>
      <c r="DM311" s="906"/>
      <c r="DN311" s="906"/>
      <c r="DO311" s="906"/>
      <c r="DP311" s="906"/>
      <c r="DQ311" s="906"/>
      <c r="DR311" s="906"/>
      <c r="DS311" s="906"/>
    </row>
    <row r="312" spans="9:123" s="854" customFormat="1">
      <c r="I312" s="895"/>
      <c r="J312" s="895"/>
      <c r="R312" s="906"/>
      <c r="S312" s="906"/>
      <c r="T312" s="906"/>
      <c r="U312" s="906"/>
      <c r="V312" s="906"/>
      <c r="W312" s="906"/>
      <c r="X312" s="906"/>
      <c r="Y312" s="906"/>
      <c r="Z312" s="906"/>
      <c r="AA312" s="906"/>
      <c r="AB312" s="906"/>
      <c r="AC312" s="906"/>
      <c r="AD312" s="906"/>
      <c r="AE312" s="906"/>
      <c r="AF312" s="906"/>
      <c r="AG312" s="906"/>
      <c r="AH312" s="906"/>
      <c r="AI312" s="906"/>
      <c r="AJ312" s="906"/>
      <c r="AK312" s="906"/>
      <c r="AL312" s="906"/>
      <c r="AM312" s="906"/>
      <c r="AN312" s="906"/>
      <c r="AO312" s="906"/>
      <c r="AP312" s="906"/>
      <c r="AQ312" s="906"/>
      <c r="AR312" s="906"/>
      <c r="AS312" s="906"/>
      <c r="AT312" s="906"/>
      <c r="AU312" s="906"/>
      <c r="AV312" s="906"/>
      <c r="AW312" s="906"/>
      <c r="AX312" s="906"/>
      <c r="AY312" s="906"/>
      <c r="AZ312" s="906"/>
      <c r="BA312" s="906"/>
      <c r="BB312" s="906"/>
      <c r="BC312" s="906"/>
      <c r="BD312" s="906"/>
      <c r="BE312" s="906"/>
      <c r="BF312" s="906"/>
      <c r="BG312" s="906"/>
      <c r="BH312" s="906"/>
      <c r="BI312" s="906"/>
      <c r="BJ312" s="906"/>
      <c r="BK312" s="906"/>
      <c r="BL312" s="906"/>
      <c r="BM312" s="906"/>
      <c r="BN312" s="906"/>
      <c r="BO312" s="906"/>
      <c r="BP312" s="906"/>
      <c r="BQ312" s="906"/>
      <c r="BR312" s="906"/>
      <c r="BS312" s="906"/>
      <c r="BT312" s="906"/>
      <c r="BU312" s="906"/>
      <c r="BV312" s="906"/>
      <c r="BW312" s="906"/>
      <c r="BX312" s="906"/>
      <c r="BY312" s="906"/>
      <c r="BZ312" s="906"/>
      <c r="CA312" s="906"/>
      <c r="CB312" s="906"/>
      <c r="CC312" s="906"/>
      <c r="CD312" s="906"/>
      <c r="CE312" s="906"/>
      <c r="CF312" s="906"/>
      <c r="CG312" s="906"/>
      <c r="CH312" s="906"/>
      <c r="CI312" s="906"/>
      <c r="CJ312" s="906"/>
      <c r="CK312" s="906"/>
      <c r="CL312" s="906"/>
      <c r="CM312" s="906"/>
      <c r="CN312" s="906"/>
      <c r="CO312" s="906"/>
      <c r="CP312" s="906"/>
      <c r="CQ312" s="906"/>
      <c r="CR312" s="906"/>
      <c r="CS312" s="906"/>
      <c r="CT312" s="906"/>
      <c r="CU312" s="906"/>
      <c r="CV312" s="906"/>
      <c r="CW312" s="906"/>
      <c r="CX312" s="906"/>
      <c r="CY312" s="906"/>
      <c r="CZ312" s="906"/>
      <c r="DA312" s="906"/>
      <c r="DB312" s="906"/>
      <c r="DC312" s="906"/>
      <c r="DD312" s="906"/>
      <c r="DE312" s="906"/>
      <c r="DF312" s="906"/>
      <c r="DG312" s="906"/>
      <c r="DH312" s="906"/>
      <c r="DI312" s="906"/>
      <c r="DJ312" s="906"/>
      <c r="DK312" s="906"/>
      <c r="DL312" s="906"/>
      <c r="DM312" s="906"/>
      <c r="DN312" s="906"/>
      <c r="DO312" s="906"/>
      <c r="DP312" s="906"/>
      <c r="DQ312" s="906"/>
      <c r="DR312" s="906"/>
      <c r="DS312" s="906"/>
    </row>
    <row r="313" spans="9:123" s="854" customFormat="1">
      <c r="I313" s="895"/>
      <c r="J313" s="895"/>
      <c r="R313" s="906"/>
      <c r="S313" s="906"/>
      <c r="T313" s="906"/>
      <c r="U313" s="906"/>
      <c r="V313" s="906"/>
      <c r="W313" s="906"/>
      <c r="X313" s="906"/>
      <c r="Y313" s="906"/>
      <c r="Z313" s="906"/>
      <c r="AA313" s="906"/>
      <c r="AB313" s="906"/>
      <c r="AC313" s="906"/>
      <c r="AD313" s="906"/>
      <c r="AE313" s="906"/>
      <c r="AF313" s="906"/>
      <c r="AG313" s="906"/>
      <c r="AH313" s="906"/>
      <c r="AI313" s="906"/>
      <c r="AJ313" s="906"/>
      <c r="AK313" s="906"/>
      <c r="AL313" s="906"/>
      <c r="AM313" s="906"/>
      <c r="AN313" s="906"/>
      <c r="AO313" s="906"/>
      <c r="AP313" s="906"/>
      <c r="AQ313" s="906"/>
      <c r="AR313" s="906"/>
      <c r="AS313" s="906"/>
      <c r="AT313" s="906"/>
      <c r="AU313" s="906"/>
      <c r="AV313" s="906"/>
      <c r="AW313" s="906"/>
      <c r="AX313" s="906"/>
      <c r="AY313" s="906"/>
      <c r="AZ313" s="906"/>
      <c r="BA313" s="906"/>
      <c r="BB313" s="906"/>
      <c r="BC313" s="906"/>
      <c r="BD313" s="906"/>
      <c r="BE313" s="906"/>
      <c r="BF313" s="906"/>
      <c r="BG313" s="906"/>
      <c r="BH313" s="906"/>
      <c r="BI313" s="906"/>
      <c r="BJ313" s="906"/>
      <c r="BK313" s="906"/>
      <c r="BL313" s="906"/>
      <c r="BM313" s="906"/>
      <c r="BN313" s="906"/>
      <c r="BO313" s="906"/>
      <c r="BP313" s="906"/>
      <c r="BQ313" s="906"/>
      <c r="BR313" s="906"/>
      <c r="BS313" s="906"/>
      <c r="BT313" s="906"/>
      <c r="BU313" s="906"/>
      <c r="BV313" s="906"/>
      <c r="BW313" s="906"/>
      <c r="BX313" s="906"/>
      <c r="BY313" s="906"/>
      <c r="BZ313" s="906"/>
      <c r="CA313" s="906"/>
      <c r="CB313" s="906"/>
      <c r="CC313" s="906"/>
      <c r="CD313" s="906"/>
      <c r="CE313" s="906"/>
      <c r="CF313" s="906"/>
      <c r="CG313" s="906"/>
      <c r="CH313" s="906"/>
      <c r="CI313" s="906"/>
      <c r="CJ313" s="906"/>
      <c r="CK313" s="906"/>
      <c r="CL313" s="906"/>
      <c r="CM313" s="906"/>
      <c r="CN313" s="906"/>
      <c r="CO313" s="906"/>
      <c r="CP313" s="906"/>
      <c r="CQ313" s="906"/>
      <c r="CR313" s="906"/>
      <c r="CS313" s="906"/>
      <c r="CT313" s="906"/>
      <c r="CU313" s="906"/>
      <c r="CV313" s="906"/>
      <c r="CW313" s="906"/>
      <c r="CX313" s="906"/>
      <c r="CY313" s="906"/>
      <c r="CZ313" s="906"/>
      <c r="DA313" s="906"/>
      <c r="DB313" s="906"/>
      <c r="DC313" s="906"/>
      <c r="DD313" s="906"/>
      <c r="DE313" s="906"/>
      <c r="DF313" s="906"/>
      <c r="DG313" s="906"/>
      <c r="DH313" s="906"/>
      <c r="DI313" s="906"/>
      <c r="DJ313" s="906"/>
      <c r="DK313" s="906"/>
      <c r="DL313" s="906"/>
      <c r="DM313" s="906"/>
      <c r="DN313" s="906"/>
      <c r="DO313" s="906"/>
      <c r="DP313" s="906"/>
      <c r="DQ313" s="906"/>
      <c r="DR313" s="906"/>
      <c r="DS313" s="906"/>
    </row>
    <row r="314" spans="9:123" s="854" customFormat="1">
      <c r="I314" s="895"/>
      <c r="J314" s="895"/>
      <c r="R314" s="906"/>
      <c r="S314" s="906"/>
      <c r="T314" s="906"/>
      <c r="U314" s="906"/>
      <c r="V314" s="906"/>
      <c r="W314" s="906"/>
      <c r="X314" s="906"/>
      <c r="Y314" s="906"/>
      <c r="Z314" s="906"/>
      <c r="AA314" s="906"/>
      <c r="AB314" s="906"/>
      <c r="AC314" s="906"/>
      <c r="AD314" s="906"/>
      <c r="AE314" s="906"/>
      <c r="AF314" s="906"/>
      <c r="AG314" s="906"/>
      <c r="AH314" s="906"/>
      <c r="AI314" s="906"/>
      <c r="AJ314" s="906"/>
      <c r="AK314" s="906"/>
      <c r="AL314" s="906"/>
      <c r="AM314" s="906"/>
      <c r="AN314" s="906"/>
      <c r="AO314" s="906"/>
      <c r="AP314" s="906"/>
      <c r="AQ314" s="906"/>
      <c r="AR314" s="906"/>
      <c r="AS314" s="906"/>
      <c r="AT314" s="906"/>
      <c r="AU314" s="906"/>
      <c r="AV314" s="906"/>
      <c r="AW314" s="906"/>
      <c r="AX314" s="906"/>
      <c r="AY314" s="906"/>
      <c r="AZ314" s="906"/>
      <c r="BA314" s="906"/>
      <c r="BB314" s="906"/>
      <c r="BC314" s="906"/>
      <c r="BD314" s="906"/>
      <c r="BE314" s="906"/>
      <c r="BF314" s="906"/>
      <c r="BG314" s="906"/>
      <c r="BH314" s="906"/>
      <c r="BI314" s="906"/>
      <c r="BJ314" s="906"/>
      <c r="BK314" s="906"/>
      <c r="BL314" s="906"/>
      <c r="BM314" s="906"/>
      <c r="BN314" s="906"/>
      <c r="BO314" s="906"/>
      <c r="BP314" s="906"/>
      <c r="BQ314" s="906"/>
      <c r="BR314" s="906"/>
      <c r="BS314" s="906"/>
      <c r="BT314" s="906"/>
      <c r="BU314" s="906"/>
      <c r="BV314" s="906"/>
      <c r="BW314" s="906"/>
      <c r="BX314" s="906"/>
      <c r="BY314" s="906"/>
      <c r="BZ314" s="906"/>
      <c r="CA314" s="906"/>
      <c r="CB314" s="906"/>
      <c r="CC314" s="906"/>
      <c r="CD314" s="906"/>
      <c r="CE314" s="906"/>
      <c r="CF314" s="906"/>
      <c r="CG314" s="906"/>
      <c r="CH314" s="906"/>
      <c r="CI314" s="906"/>
      <c r="CJ314" s="906"/>
      <c r="CK314" s="906"/>
      <c r="CL314" s="906"/>
      <c r="CM314" s="906"/>
      <c r="CN314" s="906"/>
      <c r="CO314" s="906"/>
      <c r="CP314" s="906"/>
      <c r="CQ314" s="906"/>
      <c r="CR314" s="906"/>
      <c r="CS314" s="906"/>
      <c r="CT314" s="906"/>
      <c r="CU314" s="906"/>
      <c r="CV314" s="906"/>
      <c r="CW314" s="906"/>
      <c r="CX314" s="906"/>
      <c r="CY314" s="906"/>
      <c r="CZ314" s="906"/>
      <c r="DA314" s="906"/>
      <c r="DB314" s="906"/>
      <c r="DC314" s="906"/>
      <c r="DD314" s="906"/>
      <c r="DE314" s="906"/>
      <c r="DF314" s="906"/>
      <c r="DG314" s="906"/>
      <c r="DH314" s="906"/>
      <c r="DI314" s="906"/>
      <c r="DJ314" s="906"/>
      <c r="DK314" s="906"/>
      <c r="DL314" s="906"/>
      <c r="DM314" s="906"/>
      <c r="DN314" s="906"/>
      <c r="DO314" s="906"/>
      <c r="DP314" s="906"/>
      <c r="DQ314" s="906"/>
      <c r="DR314" s="906"/>
      <c r="DS314" s="906"/>
    </row>
    <row r="315" spans="9:123" s="854" customFormat="1">
      <c r="I315" s="895"/>
      <c r="J315" s="895"/>
      <c r="R315" s="906"/>
      <c r="S315" s="906"/>
      <c r="T315" s="906"/>
      <c r="U315" s="906"/>
      <c r="V315" s="906"/>
      <c r="W315" s="906"/>
      <c r="X315" s="906"/>
      <c r="Y315" s="906"/>
      <c r="Z315" s="906"/>
      <c r="AA315" s="906"/>
      <c r="AB315" s="906"/>
      <c r="AC315" s="906"/>
      <c r="AD315" s="906"/>
      <c r="AE315" s="906"/>
      <c r="AF315" s="906"/>
      <c r="AG315" s="906"/>
      <c r="AH315" s="906"/>
      <c r="AI315" s="906"/>
      <c r="AJ315" s="906"/>
      <c r="AK315" s="906"/>
      <c r="AL315" s="906"/>
      <c r="AM315" s="906"/>
      <c r="AN315" s="906"/>
      <c r="AO315" s="906"/>
      <c r="AP315" s="906"/>
      <c r="AQ315" s="906"/>
      <c r="AR315" s="906"/>
      <c r="AS315" s="906"/>
      <c r="AT315" s="906"/>
      <c r="AU315" s="906"/>
      <c r="AV315" s="906"/>
      <c r="AW315" s="906"/>
      <c r="AX315" s="906"/>
      <c r="AY315" s="906"/>
      <c r="AZ315" s="906"/>
      <c r="BA315" s="906"/>
      <c r="BB315" s="906"/>
      <c r="BC315" s="906"/>
      <c r="BD315" s="906"/>
      <c r="BE315" s="906"/>
      <c r="BF315" s="906"/>
      <c r="BG315" s="906"/>
      <c r="BH315" s="906"/>
      <c r="BI315" s="906"/>
      <c r="BJ315" s="906"/>
      <c r="BK315" s="906"/>
      <c r="BL315" s="906"/>
      <c r="BM315" s="906"/>
      <c r="BN315" s="906"/>
      <c r="BO315" s="906"/>
      <c r="BP315" s="906"/>
      <c r="BQ315" s="906"/>
      <c r="BR315" s="906"/>
      <c r="BS315" s="906"/>
      <c r="BT315" s="906"/>
      <c r="BU315" s="906"/>
      <c r="BV315" s="906"/>
      <c r="BW315" s="906"/>
      <c r="BX315" s="906"/>
      <c r="BY315" s="906"/>
      <c r="BZ315" s="906"/>
      <c r="CA315" s="906"/>
      <c r="CB315" s="906"/>
      <c r="CC315" s="906"/>
      <c r="CD315" s="906"/>
      <c r="CE315" s="906"/>
      <c r="CF315" s="906"/>
      <c r="CG315" s="906"/>
      <c r="CH315" s="906"/>
      <c r="CI315" s="906"/>
      <c r="CJ315" s="906"/>
      <c r="CK315" s="906"/>
      <c r="CL315" s="906"/>
      <c r="CM315" s="906"/>
      <c r="CN315" s="906"/>
      <c r="CO315" s="906"/>
      <c r="CP315" s="906"/>
      <c r="CQ315" s="906"/>
      <c r="CR315" s="906"/>
      <c r="CS315" s="906"/>
      <c r="CT315" s="906"/>
      <c r="CU315" s="906"/>
      <c r="CV315" s="906"/>
      <c r="CW315" s="906"/>
      <c r="CX315" s="906"/>
      <c r="CY315" s="906"/>
      <c r="CZ315" s="906"/>
      <c r="DA315" s="906"/>
      <c r="DB315" s="906"/>
      <c r="DC315" s="906"/>
      <c r="DD315" s="906"/>
      <c r="DE315" s="906"/>
      <c r="DF315" s="906"/>
      <c r="DG315" s="906"/>
      <c r="DH315" s="906"/>
      <c r="DI315" s="906"/>
      <c r="DJ315" s="906"/>
      <c r="DK315" s="906"/>
      <c r="DL315" s="906"/>
      <c r="DM315" s="906"/>
      <c r="DN315" s="906"/>
      <c r="DO315" s="906"/>
      <c r="DP315" s="906"/>
      <c r="DQ315" s="906"/>
      <c r="DR315" s="906"/>
      <c r="DS315" s="906"/>
    </row>
    <row r="316" spans="9:123" s="854" customFormat="1">
      <c r="I316" s="895"/>
      <c r="J316" s="895"/>
      <c r="R316" s="906"/>
      <c r="S316" s="906"/>
      <c r="T316" s="906"/>
      <c r="U316" s="906"/>
      <c r="V316" s="906"/>
      <c r="W316" s="906"/>
      <c r="X316" s="906"/>
      <c r="Y316" s="906"/>
      <c r="Z316" s="906"/>
      <c r="AA316" s="906"/>
      <c r="AB316" s="906"/>
      <c r="AC316" s="906"/>
      <c r="AD316" s="906"/>
      <c r="AE316" s="906"/>
      <c r="AF316" s="906"/>
      <c r="AG316" s="906"/>
      <c r="AH316" s="906"/>
      <c r="AI316" s="906"/>
      <c r="AJ316" s="906"/>
      <c r="AK316" s="906"/>
      <c r="AL316" s="906"/>
      <c r="AM316" s="906"/>
      <c r="AN316" s="906"/>
      <c r="AO316" s="906"/>
      <c r="AP316" s="906"/>
      <c r="AQ316" s="906"/>
      <c r="AR316" s="906"/>
      <c r="AS316" s="906"/>
      <c r="AT316" s="906"/>
      <c r="AU316" s="906"/>
      <c r="AV316" s="906"/>
      <c r="AW316" s="906"/>
      <c r="AX316" s="906"/>
      <c r="AY316" s="906"/>
      <c r="AZ316" s="906"/>
      <c r="BA316" s="906"/>
      <c r="BB316" s="906"/>
      <c r="BC316" s="906"/>
      <c r="BD316" s="906"/>
      <c r="BE316" s="906"/>
      <c r="BF316" s="906"/>
      <c r="BG316" s="906"/>
      <c r="BH316" s="906"/>
      <c r="BI316" s="906"/>
      <c r="BJ316" s="906"/>
      <c r="BK316" s="906"/>
      <c r="BL316" s="906"/>
      <c r="BM316" s="906"/>
      <c r="BN316" s="906"/>
      <c r="BO316" s="906"/>
      <c r="BP316" s="906"/>
      <c r="BQ316" s="906"/>
      <c r="BR316" s="906"/>
      <c r="BS316" s="906"/>
      <c r="BT316" s="906"/>
      <c r="BU316" s="906"/>
      <c r="BV316" s="906"/>
      <c r="BW316" s="906"/>
      <c r="BX316" s="906"/>
      <c r="BY316" s="906"/>
      <c r="BZ316" s="906"/>
      <c r="CA316" s="906"/>
      <c r="CB316" s="906"/>
      <c r="CC316" s="906"/>
      <c r="CD316" s="906"/>
      <c r="CE316" s="906"/>
      <c r="CF316" s="906"/>
      <c r="CG316" s="906"/>
      <c r="CH316" s="906"/>
      <c r="CI316" s="906"/>
      <c r="CJ316" s="906"/>
      <c r="CK316" s="906"/>
      <c r="CL316" s="906"/>
      <c r="CM316" s="906"/>
      <c r="CN316" s="906"/>
      <c r="CO316" s="906"/>
      <c r="CP316" s="906"/>
      <c r="CQ316" s="906"/>
      <c r="CR316" s="906"/>
      <c r="CS316" s="906"/>
      <c r="CT316" s="906"/>
      <c r="CU316" s="906"/>
      <c r="CV316" s="906"/>
      <c r="CW316" s="906"/>
      <c r="CX316" s="906"/>
      <c r="CY316" s="906"/>
      <c r="CZ316" s="906"/>
      <c r="DA316" s="906"/>
      <c r="DB316" s="906"/>
      <c r="DC316" s="906"/>
      <c r="DD316" s="906"/>
      <c r="DE316" s="906"/>
      <c r="DF316" s="906"/>
      <c r="DG316" s="906"/>
      <c r="DH316" s="906"/>
      <c r="DI316" s="906"/>
      <c r="DJ316" s="906"/>
      <c r="DK316" s="906"/>
      <c r="DL316" s="906"/>
      <c r="DM316" s="906"/>
      <c r="DN316" s="906"/>
      <c r="DO316" s="906"/>
      <c r="DP316" s="906"/>
      <c r="DQ316" s="906"/>
      <c r="DR316" s="906"/>
      <c r="DS316" s="906"/>
    </row>
    <row r="317" spans="9:123" s="854" customFormat="1">
      <c r="I317" s="895"/>
      <c r="J317" s="895"/>
      <c r="R317" s="906"/>
      <c r="S317" s="906"/>
      <c r="T317" s="906"/>
      <c r="U317" s="906"/>
      <c r="V317" s="906"/>
      <c r="W317" s="906"/>
      <c r="X317" s="906"/>
      <c r="Y317" s="906"/>
      <c r="Z317" s="906"/>
      <c r="AA317" s="906"/>
      <c r="AB317" s="906"/>
      <c r="AC317" s="906"/>
      <c r="AD317" s="906"/>
      <c r="AE317" s="906"/>
      <c r="AF317" s="906"/>
      <c r="AG317" s="906"/>
      <c r="AH317" s="906"/>
      <c r="AI317" s="906"/>
      <c r="AJ317" s="906"/>
      <c r="AK317" s="906"/>
      <c r="AL317" s="906"/>
      <c r="AM317" s="906"/>
      <c r="AN317" s="906"/>
      <c r="AO317" s="906"/>
      <c r="AP317" s="906"/>
      <c r="AQ317" s="906"/>
      <c r="AR317" s="906"/>
      <c r="AS317" s="906"/>
      <c r="AT317" s="906"/>
      <c r="AU317" s="906"/>
      <c r="AV317" s="906"/>
      <c r="AW317" s="906"/>
      <c r="AX317" s="906"/>
      <c r="AY317" s="906"/>
      <c r="AZ317" s="906"/>
      <c r="BA317" s="906"/>
      <c r="BB317" s="906"/>
      <c r="BC317" s="906"/>
      <c r="BD317" s="906"/>
      <c r="BE317" s="906"/>
      <c r="BF317" s="906"/>
      <c r="BG317" s="906"/>
      <c r="BH317" s="906"/>
      <c r="BI317" s="906"/>
      <c r="BJ317" s="906"/>
      <c r="BK317" s="906"/>
      <c r="BL317" s="906"/>
      <c r="BM317" s="906"/>
      <c r="BN317" s="906"/>
      <c r="BO317" s="906"/>
      <c r="BP317" s="906"/>
      <c r="BQ317" s="906"/>
      <c r="BR317" s="906"/>
      <c r="BS317" s="906"/>
      <c r="BT317" s="906"/>
      <c r="BU317" s="906"/>
      <c r="BV317" s="906"/>
      <c r="BW317" s="906"/>
      <c r="BX317" s="906"/>
      <c r="BY317" s="906"/>
      <c r="BZ317" s="906"/>
      <c r="CA317" s="906"/>
      <c r="CB317" s="906"/>
      <c r="CC317" s="906"/>
      <c r="CD317" s="906"/>
      <c r="CE317" s="906"/>
      <c r="CF317" s="906"/>
      <c r="CG317" s="906"/>
      <c r="CH317" s="906"/>
      <c r="CI317" s="906"/>
      <c r="CJ317" s="906"/>
      <c r="CK317" s="906"/>
      <c r="CL317" s="906"/>
      <c r="CM317" s="906"/>
      <c r="CN317" s="906"/>
      <c r="CO317" s="906"/>
      <c r="CP317" s="906"/>
      <c r="CQ317" s="906"/>
      <c r="CR317" s="906"/>
      <c r="CS317" s="906"/>
      <c r="CT317" s="906"/>
      <c r="CU317" s="906"/>
      <c r="CV317" s="906"/>
      <c r="CW317" s="906"/>
      <c r="CX317" s="906"/>
      <c r="CY317" s="906"/>
      <c r="CZ317" s="906"/>
      <c r="DA317" s="906"/>
      <c r="DB317" s="906"/>
      <c r="DC317" s="906"/>
      <c r="DD317" s="906"/>
      <c r="DE317" s="906"/>
      <c r="DF317" s="906"/>
      <c r="DG317" s="906"/>
      <c r="DH317" s="906"/>
      <c r="DI317" s="906"/>
      <c r="DJ317" s="906"/>
      <c r="DK317" s="906"/>
      <c r="DL317" s="906"/>
      <c r="DM317" s="906"/>
      <c r="DN317" s="906"/>
      <c r="DO317" s="906"/>
      <c r="DP317" s="906"/>
      <c r="DQ317" s="906"/>
      <c r="DR317" s="906"/>
      <c r="DS317" s="906"/>
    </row>
    <row r="318" spans="9:123" s="854" customFormat="1">
      <c r="I318" s="895"/>
      <c r="J318" s="895"/>
      <c r="R318" s="906"/>
      <c r="S318" s="906"/>
      <c r="T318" s="906"/>
      <c r="U318" s="906"/>
      <c r="V318" s="906"/>
      <c r="W318" s="906"/>
      <c r="X318" s="906"/>
      <c r="Y318" s="906"/>
      <c r="Z318" s="906"/>
      <c r="AA318" s="906"/>
      <c r="AB318" s="906"/>
      <c r="AC318" s="906"/>
      <c r="AD318" s="906"/>
      <c r="AE318" s="906"/>
      <c r="AF318" s="906"/>
      <c r="AG318" s="906"/>
      <c r="AH318" s="906"/>
      <c r="AI318" s="906"/>
      <c r="AJ318" s="906"/>
      <c r="AK318" s="906"/>
      <c r="AL318" s="906"/>
      <c r="AM318" s="906"/>
      <c r="AN318" s="906"/>
      <c r="AO318" s="906"/>
      <c r="AP318" s="906"/>
      <c r="AQ318" s="906"/>
      <c r="AR318" s="906"/>
      <c r="AS318" s="906"/>
      <c r="AT318" s="906"/>
      <c r="AU318" s="906"/>
      <c r="AV318" s="906"/>
      <c r="AW318" s="906"/>
      <c r="AX318" s="906"/>
      <c r="AY318" s="906"/>
      <c r="AZ318" s="906"/>
      <c r="BA318" s="906"/>
      <c r="BB318" s="906"/>
      <c r="BC318" s="906"/>
      <c r="BD318" s="906"/>
      <c r="BE318" s="906"/>
      <c r="BF318" s="906"/>
      <c r="BG318" s="906"/>
      <c r="BH318" s="906"/>
      <c r="BI318" s="906"/>
      <c r="BJ318" s="906"/>
      <c r="BK318" s="906"/>
      <c r="BL318" s="906"/>
      <c r="BM318" s="906"/>
      <c r="BN318" s="906"/>
      <c r="BO318" s="906"/>
      <c r="BP318" s="906"/>
      <c r="BQ318" s="906"/>
      <c r="BR318" s="906"/>
      <c r="BS318" s="906"/>
      <c r="BT318" s="906"/>
      <c r="BU318" s="906"/>
      <c r="BV318" s="906"/>
      <c r="BW318" s="906"/>
      <c r="BX318" s="906"/>
      <c r="BY318" s="906"/>
      <c r="BZ318" s="906"/>
      <c r="CA318" s="906"/>
      <c r="CB318" s="906"/>
      <c r="CC318" s="906"/>
      <c r="CD318" s="906"/>
      <c r="CE318" s="906"/>
      <c r="CF318" s="906"/>
      <c r="CG318" s="906"/>
      <c r="CH318" s="906"/>
      <c r="CI318" s="906"/>
      <c r="CJ318" s="906"/>
      <c r="CK318" s="906"/>
      <c r="CL318" s="906"/>
      <c r="CM318" s="906"/>
      <c r="CN318" s="906"/>
      <c r="CO318" s="906"/>
      <c r="CP318" s="906"/>
      <c r="CQ318" s="906"/>
      <c r="CR318" s="906"/>
      <c r="CS318" s="906"/>
      <c r="CT318" s="906"/>
      <c r="CU318" s="906"/>
      <c r="CV318" s="906"/>
      <c r="CW318" s="906"/>
      <c r="CX318" s="906"/>
      <c r="CY318" s="906"/>
      <c r="CZ318" s="906"/>
      <c r="DA318" s="906"/>
      <c r="DB318" s="906"/>
      <c r="DC318" s="906"/>
      <c r="DD318" s="906"/>
      <c r="DE318" s="906"/>
      <c r="DF318" s="906"/>
      <c r="DG318" s="906"/>
      <c r="DH318" s="906"/>
      <c r="DI318" s="906"/>
      <c r="DJ318" s="906"/>
      <c r="DK318" s="906"/>
      <c r="DL318" s="906"/>
      <c r="DM318" s="906"/>
      <c r="DN318" s="906"/>
      <c r="DO318" s="906"/>
      <c r="DP318" s="906"/>
      <c r="DQ318" s="906"/>
      <c r="DR318" s="906"/>
      <c r="DS318" s="906"/>
    </row>
    <row r="319" spans="9:123" s="854" customFormat="1">
      <c r="I319" s="895"/>
      <c r="J319" s="895"/>
      <c r="R319" s="906"/>
      <c r="S319" s="906"/>
      <c r="T319" s="906"/>
      <c r="U319" s="906"/>
      <c r="V319" s="906"/>
      <c r="W319" s="906"/>
      <c r="X319" s="906"/>
      <c r="Y319" s="906"/>
      <c r="Z319" s="906"/>
      <c r="AA319" s="906"/>
      <c r="AB319" s="906"/>
      <c r="AC319" s="906"/>
      <c r="AD319" s="906"/>
      <c r="AE319" s="906"/>
      <c r="AF319" s="906"/>
      <c r="AG319" s="906"/>
      <c r="AH319" s="906"/>
      <c r="AI319" s="906"/>
      <c r="AJ319" s="906"/>
      <c r="AK319" s="906"/>
      <c r="AL319" s="906"/>
      <c r="AM319" s="906"/>
      <c r="AN319" s="906"/>
      <c r="AO319" s="906"/>
      <c r="AP319" s="906"/>
      <c r="AQ319" s="906"/>
      <c r="AR319" s="906"/>
      <c r="AS319" s="906"/>
      <c r="AT319" s="906"/>
      <c r="AU319" s="906"/>
      <c r="AV319" s="906"/>
      <c r="AW319" s="906"/>
      <c r="AX319" s="906"/>
      <c r="AY319" s="906"/>
      <c r="AZ319" s="906"/>
      <c r="BA319" s="906"/>
      <c r="BB319" s="906"/>
      <c r="BC319" s="906"/>
      <c r="BD319" s="906"/>
      <c r="BE319" s="906"/>
      <c r="BF319" s="906"/>
      <c r="BG319" s="906"/>
      <c r="BH319" s="906"/>
      <c r="BI319" s="906"/>
      <c r="BJ319" s="906"/>
      <c r="BK319" s="906"/>
      <c r="BL319" s="906"/>
      <c r="BM319" s="906"/>
      <c r="BN319" s="906"/>
      <c r="BO319" s="906"/>
      <c r="BP319" s="906"/>
      <c r="BQ319" s="906"/>
      <c r="BR319" s="906"/>
      <c r="BS319" s="906"/>
      <c r="BT319" s="906"/>
      <c r="BU319" s="906"/>
      <c r="BV319" s="906"/>
      <c r="BW319" s="906"/>
      <c r="BX319" s="906"/>
      <c r="BY319" s="906"/>
      <c r="BZ319" s="906"/>
      <c r="CA319" s="906"/>
      <c r="CB319" s="906"/>
      <c r="CC319" s="906"/>
      <c r="CD319" s="906"/>
      <c r="CE319" s="906"/>
      <c r="CF319" s="906"/>
      <c r="CG319" s="906"/>
      <c r="CH319" s="906"/>
      <c r="CI319" s="906"/>
      <c r="CJ319" s="906"/>
      <c r="CK319" s="906"/>
      <c r="CL319" s="906"/>
      <c r="CM319" s="906"/>
      <c r="CN319" s="906"/>
      <c r="CO319" s="906"/>
      <c r="CP319" s="906"/>
      <c r="CQ319" s="906"/>
      <c r="CR319" s="906"/>
      <c r="CS319" s="906"/>
      <c r="CT319" s="906"/>
      <c r="CU319" s="906"/>
      <c r="CV319" s="906"/>
      <c r="CW319" s="906"/>
      <c r="CX319" s="906"/>
      <c r="CY319" s="906"/>
      <c r="CZ319" s="906"/>
      <c r="DA319" s="906"/>
      <c r="DB319" s="906"/>
      <c r="DC319" s="906"/>
      <c r="DD319" s="906"/>
      <c r="DE319" s="906"/>
      <c r="DF319" s="906"/>
      <c r="DG319" s="906"/>
      <c r="DH319" s="906"/>
      <c r="DI319" s="906"/>
      <c r="DJ319" s="906"/>
      <c r="DK319" s="906"/>
      <c r="DL319" s="906"/>
      <c r="DM319" s="906"/>
      <c r="DN319" s="906"/>
      <c r="DO319" s="906"/>
      <c r="DP319" s="906"/>
      <c r="DQ319" s="906"/>
      <c r="DR319" s="906"/>
      <c r="DS319" s="906"/>
    </row>
    <row r="320" spans="9:123" s="854" customFormat="1">
      <c r="I320" s="895"/>
      <c r="J320" s="895"/>
      <c r="R320" s="906"/>
      <c r="S320" s="906"/>
      <c r="T320" s="906"/>
      <c r="U320" s="906"/>
      <c r="V320" s="906"/>
      <c r="W320" s="906"/>
      <c r="X320" s="906"/>
      <c r="Y320" s="906"/>
      <c r="Z320" s="906"/>
      <c r="AA320" s="906"/>
      <c r="AB320" s="906"/>
      <c r="AC320" s="906"/>
      <c r="AD320" s="906"/>
      <c r="AE320" s="906"/>
      <c r="AF320" s="906"/>
      <c r="AG320" s="906"/>
      <c r="AH320" s="906"/>
      <c r="AI320" s="906"/>
      <c r="AJ320" s="906"/>
      <c r="AK320" s="906"/>
      <c r="AL320" s="906"/>
      <c r="AM320" s="906"/>
      <c r="AN320" s="906"/>
      <c r="AO320" s="906"/>
      <c r="AP320" s="906"/>
      <c r="AQ320" s="906"/>
      <c r="AR320" s="906"/>
      <c r="AS320" s="906"/>
      <c r="AT320" s="906"/>
      <c r="AU320" s="906"/>
      <c r="AV320" s="906"/>
      <c r="AW320" s="906"/>
      <c r="AX320" s="906"/>
      <c r="AY320" s="906"/>
      <c r="AZ320" s="906"/>
      <c r="BA320" s="906"/>
      <c r="BB320" s="906"/>
      <c r="BC320" s="906"/>
      <c r="BD320" s="906"/>
      <c r="BE320" s="906"/>
      <c r="BF320" s="906"/>
      <c r="BG320" s="906"/>
      <c r="BH320" s="906"/>
      <c r="BI320" s="906"/>
      <c r="BJ320" s="906"/>
      <c r="BK320" s="906"/>
      <c r="BL320" s="906"/>
      <c r="BM320" s="906"/>
      <c r="BN320" s="906"/>
      <c r="BO320" s="906"/>
      <c r="BP320" s="906"/>
      <c r="BQ320" s="906"/>
      <c r="BR320" s="906"/>
      <c r="BS320" s="906"/>
      <c r="BT320" s="906"/>
      <c r="BU320" s="906"/>
      <c r="BV320" s="906"/>
      <c r="BW320" s="906"/>
      <c r="BX320" s="906"/>
      <c r="BY320" s="906"/>
      <c r="BZ320" s="906"/>
      <c r="CA320" s="906"/>
      <c r="CB320" s="906"/>
      <c r="CC320" s="906"/>
      <c r="CD320" s="906"/>
      <c r="CE320" s="906"/>
      <c r="CF320" s="906"/>
      <c r="CG320" s="906"/>
      <c r="CH320" s="906"/>
      <c r="CI320" s="906"/>
      <c r="CJ320" s="906"/>
      <c r="CK320" s="906"/>
      <c r="CL320" s="906"/>
      <c r="CM320" s="906"/>
      <c r="CN320" s="906"/>
      <c r="CO320" s="906"/>
      <c r="CP320" s="906"/>
      <c r="CQ320" s="906"/>
      <c r="CR320" s="906"/>
      <c r="CS320" s="906"/>
      <c r="CT320" s="906"/>
      <c r="CU320" s="906"/>
      <c r="CV320" s="906"/>
      <c r="CW320" s="906"/>
      <c r="CX320" s="906"/>
      <c r="CY320" s="906"/>
      <c r="CZ320" s="906"/>
      <c r="DA320" s="906"/>
      <c r="DB320" s="906"/>
      <c r="DC320" s="906"/>
      <c r="DD320" s="906"/>
      <c r="DE320" s="906"/>
      <c r="DF320" s="906"/>
      <c r="DG320" s="906"/>
      <c r="DH320" s="906"/>
      <c r="DI320" s="906"/>
      <c r="DJ320" s="906"/>
      <c r="DK320" s="906"/>
      <c r="DL320" s="906"/>
      <c r="DM320" s="906"/>
      <c r="DN320" s="906"/>
      <c r="DO320" s="906"/>
      <c r="DP320" s="906"/>
      <c r="DQ320" s="906"/>
      <c r="DR320" s="906"/>
      <c r="DS320" s="906"/>
    </row>
    <row r="321" spans="9:123" s="854" customFormat="1">
      <c r="I321" s="895"/>
      <c r="J321" s="895"/>
      <c r="R321" s="906"/>
      <c r="S321" s="906"/>
      <c r="T321" s="906"/>
      <c r="U321" s="906"/>
      <c r="V321" s="906"/>
      <c r="W321" s="906"/>
      <c r="X321" s="906"/>
      <c r="Y321" s="906"/>
      <c r="Z321" s="906"/>
      <c r="AA321" s="906"/>
      <c r="AB321" s="906"/>
      <c r="AC321" s="906"/>
      <c r="AD321" s="906"/>
      <c r="AE321" s="906"/>
      <c r="AF321" s="906"/>
      <c r="AG321" s="906"/>
      <c r="AH321" s="906"/>
      <c r="AI321" s="906"/>
      <c r="AJ321" s="906"/>
      <c r="AK321" s="906"/>
      <c r="AL321" s="906"/>
      <c r="AM321" s="906"/>
      <c r="AN321" s="906"/>
      <c r="AO321" s="906"/>
      <c r="AP321" s="906"/>
      <c r="AQ321" s="906"/>
      <c r="AR321" s="906"/>
      <c r="AS321" s="906"/>
      <c r="AT321" s="906"/>
      <c r="AU321" s="906"/>
      <c r="AV321" s="906"/>
      <c r="AW321" s="906"/>
      <c r="AX321" s="906"/>
      <c r="AY321" s="906"/>
      <c r="AZ321" s="906"/>
      <c r="BA321" s="906"/>
      <c r="BB321" s="906"/>
      <c r="BC321" s="906"/>
      <c r="BD321" s="906"/>
      <c r="BE321" s="906"/>
      <c r="BF321" s="906"/>
      <c r="BG321" s="906"/>
      <c r="BH321" s="906"/>
      <c r="BI321" s="906"/>
      <c r="BJ321" s="906"/>
      <c r="BK321" s="906"/>
      <c r="BL321" s="906"/>
      <c r="BM321" s="906"/>
      <c r="BN321" s="906"/>
      <c r="BO321" s="906"/>
      <c r="BP321" s="906"/>
      <c r="BQ321" s="906"/>
      <c r="BR321" s="906"/>
      <c r="BS321" s="906"/>
      <c r="BT321" s="906"/>
      <c r="BU321" s="906"/>
      <c r="BV321" s="906"/>
      <c r="BW321" s="906"/>
      <c r="BX321" s="906"/>
      <c r="BY321" s="906"/>
      <c r="BZ321" s="906"/>
      <c r="CA321" s="906"/>
      <c r="CB321" s="906"/>
      <c r="CC321" s="906"/>
      <c r="CD321" s="906"/>
      <c r="CE321" s="906"/>
      <c r="CF321" s="906"/>
      <c r="CG321" s="906"/>
      <c r="CH321" s="906"/>
      <c r="CI321" s="906"/>
      <c r="CJ321" s="906"/>
      <c r="CK321" s="906"/>
      <c r="CL321" s="906"/>
      <c r="CM321" s="906"/>
      <c r="CN321" s="906"/>
      <c r="CO321" s="906"/>
      <c r="CP321" s="906"/>
      <c r="CQ321" s="906"/>
      <c r="CR321" s="906"/>
      <c r="CS321" s="906"/>
      <c r="CT321" s="906"/>
      <c r="CU321" s="906"/>
      <c r="CV321" s="906"/>
      <c r="CW321" s="906"/>
      <c r="CX321" s="906"/>
      <c r="CY321" s="906"/>
      <c r="CZ321" s="906"/>
      <c r="DA321" s="906"/>
      <c r="DB321" s="906"/>
      <c r="DC321" s="906"/>
      <c r="DD321" s="906"/>
      <c r="DE321" s="906"/>
      <c r="DF321" s="906"/>
      <c r="DG321" s="906"/>
      <c r="DH321" s="906"/>
      <c r="DI321" s="906"/>
      <c r="DJ321" s="906"/>
      <c r="DK321" s="906"/>
      <c r="DL321" s="906"/>
      <c r="DM321" s="906"/>
      <c r="DN321" s="906"/>
      <c r="DO321" s="906"/>
      <c r="DP321" s="906"/>
      <c r="DQ321" s="906"/>
      <c r="DR321" s="906"/>
      <c r="DS321" s="906"/>
    </row>
    <row r="322" spans="9:123" s="854" customFormat="1">
      <c r="I322" s="895"/>
      <c r="J322" s="895"/>
      <c r="R322" s="906"/>
      <c r="S322" s="906"/>
      <c r="T322" s="906"/>
      <c r="U322" s="906"/>
      <c r="V322" s="906"/>
      <c r="W322" s="906"/>
      <c r="X322" s="906"/>
      <c r="Y322" s="906"/>
      <c r="Z322" s="906"/>
      <c r="AA322" s="906"/>
      <c r="AB322" s="906"/>
      <c r="AC322" s="906"/>
      <c r="AD322" s="906"/>
      <c r="AE322" s="906"/>
      <c r="AF322" s="906"/>
      <c r="AG322" s="906"/>
      <c r="AH322" s="906"/>
      <c r="AI322" s="906"/>
      <c r="AJ322" s="906"/>
      <c r="AK322" s="906"/>
      <c r="AL322" s="906"/>
      <c r="AM322" s="906"/>
      <c r="AN322" s="906"/>
      <c r="AO322" s="906"/>
      <c r="AP322" s="906"/>
      <c r="AQ322" s="906"/>
      <c r="AR322" s="906"/>
      <c r="AS322" s="906"/>
      <c r="AT322" s="906"/>
      <c r="AU322" s="906"/>
      <c r="AV322" s="906"/>
      <c r="AW322" s="906"/>
      <c r="AX322" s="906"/>
      <c r="AY322" s="906"/>
      <c r="AZ322" s="906"/>
      <c r="BA322" s="906"/>
      <c r="BB322" s="906"/>
      <c r="BC322" s="906"/>
      <c r="BD322" s="906"/>
      <c r="BE322" s="906"/>
      <c r="BF322" s="906"/>
      <c r="BG322" s="906"/>
      <c r="BH322" s="906"/>
      <c r="BI322" s="906"/>
      <c r="BJ322" s="906"/>
      <c r="BK322" s="906"/>
      <c r="BL322" s="906"/>
      <c r="BM322" s="906"/>
      <c r="BN322" s="906"/>
      <c r="BO322" s="906"/>
      <c r="BP322" s="906"/>
      <c r="BQ322" s="906"/>
      <c r="BR322" s="906"/>
      <c r="BS322" s="906"/>
      <c r="BT322" s="906"/>
      <c r="BU322" s="906"/>
      <c r="BV322" s="906"/>
      <c r="BW322" s="906"/>
      <c r="BX322" s="906"/>
      <c r="BY322" s="906"/>
      <c r="BZ322" s="906"/>
      <c r="CA322" s="906"/>
      <c r="CB322" s="906"/>
      <c r="CC322" s="906"/>
      <c r="CD322" s="906"/>
      <c r="CE322" s="906"/>
      <c r="CF322" s="906"/>
      <c r="CG322" s="906"/>
      <c r="CH322" s="906"/>
      <c r="CI322" s="906"/>
      <c r="CJ322" s="906"/>
      <c r="CK322" s="906"/>
      <c r="CL322" s="906"/>
      <c r="CM322" s="906"/>
      <c r="CN322" s="906"/>
      <c r="CO322" s="906"/>
      <c r="CP322" s="906"/>
      <c r="CQ322" s="906"/>
      <c r="CR322" s="906"/>
      <c r="CS322" s="906"/>
      <c r="CT322" s="906"/>
      <c r="CU322" s="906"/>
      <c r="CV322" s="906"/>
      <c r="CW322" s="906"/>
      <c r="CX322" s="906"/>
      <c r="CY322" s="906"/>
      <c r="CZ322" s="906"/>
      <c r="DA322" s="906"/>
      <c r="DB322" s="906"/>
      <c r="DC322" s="906"/>
      <c r="DD322" s="906"/>
      <c r="DE322" s="906"/>
      <c r="DF322" s="906"/>
      <c r="DG322" s="906"/>
      <c r="DH322" s="906"/>
      <c r="DI322" s="906"/>
      <c r="DJ322" s="906"/>
      <c r="DK322" s="906"/>
      <c r="DL322" s="906"/>
      <c r="DM322" s="906"/>
      <c r="DN322" s="906"/>
      <c r="DO322" s="906"/>
      <c r="DP322" s="906"/>
      <c r="DQ322" s="906"/>
      <c r="DR322" s="906"/>
      <c r="DS322" s="906"/>
    </row>
    <row r="323" spans="9:123" s="854" customFormat="1">
      <c r="I323" s="895"/>
      <c r="J323" s="895"/>
      <c r="R323" s="906"/>
      <c r="S323" s="906"/>
      <c r="T323" s="906"/>
      <c r="U323" s="906"/>
      <c r="V323" s="906"/>
      <c r="W323" s="906"/>
      <c r="X323" s="906"/>
      <c r="Y323" s="906"/>
      <c r="Z323" s="906"/>
      <c r="AA323" s="906"/>
      <c r="AB323" s="906"/>
      <c r="AC323" s="906"/>
      <c r="AD323" s="906"/>
      <c r="AE323" s="906"/>
      <c r="AF323" s="906"/>
      <c r="AG323" s="906"/>
      <c r="AH323" s="906"/>
      <c r="AI323" s="906"/>
      <c r="AJ323" s="906"/>
      <c r="AK323" s="906"/>
      <c r="AL323" s="906"/>
      <c r="AM323" s="906"/>
      <c r="AN323" s="906"/>
      <c r="AO323" s="906"/>
      <c r="AP323" s="906"/>
      <c r="AQ323" s="906"/>
      <c r="AR323" s="906"/>
      <c r="AS323" s="906"/>
      <c r="AT323" s="906"/>
      <c r="AU323" s="906"/>
      <c r="AV323" s="906"/>
      <c r="AW323" s="906"/>
      <c r="AX323" s="906"/>
      <c r="AY323" s="906"/>
      <c r="AZ323" s="906"/>
      <c r="BA323" s="906"/>
      <c r="BB323" s="906"/>
      <c r="BC323" s="906"/>
      <c r="BD323" s="906"/>
      <c r="BE323" s="906"/>
      <c r="BF323" s="906"/>
      <c r="BG323" s="906"/>
      <c r="BH323" s="906"/>
      <c r="BI323" s="906"/>
      <c r="BJ323" s="906"/>
      <c r="BK323" s="906"/>
      <c r="BL323" s="906"/>
      <c r="BM323" s="906"/>
      <c r="BN323" s="906"/>
      <c r="BO323" s="906"/>
      <c r="BP323" s="906"/>
      <c r="BQ323" s="906"/>
      <c r="BR323" s="906"/>
      <c r="BS323" s="906"/>
      <c r="BT323" s="906"/>
      <c r="BU323" s="906"/>
      <c r="BV323" s="906"/>
      <c r="BW323" s="906"/>
      <c r="BX323" s="906"/>
      <c r="BY323" s="906"/>
      <c r="BZ323" s="906"/>
      <c r="CA323" s="906"/>
      <c r="CB323" s="906"/>
      <c r="CC323" s="906"/>
      <c r="CD323" s="906"/>
      <c r="CE323" s="906"/>
      <c r="CF323" s="906"/>
      <c r="CG323" s="906"/>
      <c r="CH323" s="906"/>
      <c r="CI323" s="906"/>
      <c r="CJ323" s="906"/>
      <c r="CK323" s="906"/>
      <c r="CL323" s="906"/>
      <c r="CM323" s="906"/>
      <c r="CN323" s="906"/>
      <c r="CO323" s="906"/>
      <c r="CP323" s="906"/>
      <c r="CQ323" s="906"/>
      <c r="CR323" s="906"/>
      <c r="CS323" s="906"/>
      <c r="CT323" s="906"/>
      <c r="CU323" s="906"/>
      <c r="CV323" s="906"/>
      <c r="CW323" s="906"/>
      <c r="CX323" s="906"/>
      <c r="CY323" s="906"/>
      <c r="CZ323" s="906"/>
      <c r="DA323" s="906"/>
      <c r="DB323" s="906"/>
      <c r="DC323" s="906"/>
      <c r="DD323" s="906"/>
      <c r="DE323" s="906"/>
      <c r="DF323" s="906"/>
      <c r="DG323" s="906"/>
      <c r="DH323" s="906"/>
      <c r="DI323" s="906"/>
      <c r="DJ323" s="906"/>
      <c r="DK323" s="906"/>
      <c r="DL323" s="906"/>
      <c r="DM323" s="906"/>
      <c r="DN323" s="906"/>
      <c r="DO323" s="906"/>
      <c r="DP323" s="906"/>
      <c r="DQ323" s="906"/>
      <c r="DR323" s="906"/>
      <c r="DS323" s="906"/>
    </row>
    <row r="324" spans="9:123" s="854" customFormat="1">
      <c r="I324" s="895"/>
      <c r="J324" s="895"/>
      <c r="R324" s="906"/>
      <c r="S324" s="906"/>
      <c r="T324" s="906"/>
      <c r="U324" s="906"/>
      <c r="V324" s="906"/>
      <c r="W324" s="906"/>
      <c r="X324" s="906"/>
      <c r="Y324" s="906"/>
      <c r="Z324" s="906"/>
      <c r="AA324" s="906"/>
      <c r="AB324" s="906"/>
      <c r="AC324" s="906"/>
      <c r="AD324" s="906"/>
      <c r="AE324" s="906"/>
      <c r="AF324" s="906"/>
      <c r="AG324" s="906"/>
      <c r="AH324" s="906"/>
      <c r="AI324" s="906"/>
      <c r="AJ324" s="906"/>
      <c r="AK324" s="906"/>
      <c r="AL324" s="906"/>
      <c r="AM324" s="906"/>
      <c r="AN324" s="906"/>
      <c r="AO324" s="906"/>
      <c r="AP324" s="906"/>
      <c r="AQ324" s="906"/>
      <c r="AR324" s="906"/>
      <c r="AS324" s="906"/>
      <c r="AT324" s="906"/>
      <c r="AU324" s="906"/>
      <c r="AV324" s="906"/>
      <c r="AW324" s="906"/>
      <c r="AX324" s="906"/>
      <c r="AY324" s="906"/>
      <c r="AZ324" s="906"/>
      <c r="BA324" s="906"/>
      <c r="BB324" s="906"/>
      <c r="BC324" s="906"/>
      <c r="BD324" s="906"/>
      <c r="BE324" s="906"/>
      <c r="BF324" s="906"/>
      <c r="BG324" s="906"/>
      <c r="BH324" s="906"/>
      <c r="BI324" s="906"/>
      <c r="BJ324" s="906"/>
      <c r="BK324" s="906"/>
      <c r="BL324" s="906"/>
      <c r="BM324" s="906"/>
      <c r="BN324" s="906"/>
      <c r="BO324" s="906"/>
      <c r="BP324" s="906"/>
      <c r="BQ324" s="906"/>
      <c r="BR324" s="906"/>
      <c r="BS324" s="906"/>
      <c r="BT324" s="906"/>
      <c r="BU324" s="906"/>
      <c r="BV324" s="906"/>
      <c r="BW324" s="906"/>
      <c r="BX324" s="906"/>
      <c r="BY324" s="906"/>
      <c r="BZ324" s="906"/>
      <c r="CA324" s="906"/>
      <c r="CB324" s="906"/>
      <c r="CC324" s="906"/>
      <c r="CD324" s="906"/>
      <c r="CE324" s="906"/>
      <c r="CF324" s="906"/>
      <c r="CG324" s="906"/>
      <c r="CH324" s="906"/>
      <c r="CI324" s="906"/>
      <c r="CJ324" s="906"/>
      <c r="CK324" s="906"/>
      <c r="CL324" s="906"/>
      <c r="CM324" s="906"/>
      <c r="CN324" s="906"/>
      <c r="CO324" s="906"/>
      <c r="CP324" s="906"/>
      <c r="CQ324" s="906"/>
      <c r="CR324" s="906"/>
      <c r="CS324" s="906"/>
      <c r="CT324" s="906"/>
      <c r="CU324" s="906"/>
      <c r="CV324" s="906"/>
      <c r="CW324" s="906"/>
      <c r="CX324" s="906"/>
      <c r="CY324" s="906"/>
      <c r="CZ324" s="906"/>
      <c r="DA324" s="906"/>
      <c r="DB324" s="906"/>
      <c r="DC324" s="906"/>
      <c r="DD324" s="906"/>
      <c r="DE324" s="906"/>
      <c r="DF324" s="906"/>
      <c r="DG324" s="906"/>
      <c r="DH324" s="906"/>
      <c r="DI324" s="906"/>
      <c r="DJ324" s="906"/>
      <c r="DK324" s="906"/>
      <c r="DL324" s="906"/>
      <c r="DM324" s="906"/>
      <c r="DN324" s="906"/>
      <c r="DO324" s="906"/>
      <c r="DP324" s="906"/>
      <c r="DQ324" s="906"/>
      <c r="DR324" s="906"/>
      <c r="DS324" s="906"/>
    </row>
    <row r="325" spans="9:123" s="854" customFormat="1">
      <c r="I325" s="895"/>
      <c r="J325" s="895"/>
      <c r="R325" s="906"/>
      <c r="S325" s="906"/>
      <c r="T325" s="906"/>
      <c r="U325" s="906"/>
      <c r="V325" s="906"/>
      <c r="W325" s="906"/>
      <c r="X325" s="906"/>
      <c r="Y325" s="906"/>
      <c r="Z325" s="906"/>
      <c r="AA325" s="906"/>
      <c r="AB325" s="906"/>
      <c r="AC325" s="906"/>
      <c r="AD325" s="906"/>
      <c r="AE325" s="906"/>
      <c r="AF325" s="906"/>
      <c r="AG325" s="906"/>
      <c r="AH325" s="906"/>
      <c r="AI325" s="906"/>
      <c r="AJ325" s="906"/>
      <c r="AK325" s="906"/>
      <c r="AL325" s="906"/>
      <c r="AM325" s="906"/>
      <c r="AN325" s="906"/>
      <c r="AO325" s="906"/>
      <c r="AP325" s="906"/>
      <c r="AQ325" s="906"/>
      <c r="AR325" s="906"/>
      <c r="AS325" s="906"/>
      <c r="AT325" s="906"/>
      <c r="AU325" s="906"/>
      <c r="AV325" s="906"/>
      <c r="AW325" s="906"/>
      <c r="AX325" s="906"/>
      <c r="AY325" s="906"/>
      <c r="AZ325" s="906"/>
      <c r="BA325" s="906"/>
      <c r="BB325" s="906"/>
      <c r="BC325" s="906"/>
      <c r="BD325" s="906"/>
      <c r="BE325" s="906"/>
      <c r="BF325" s="906"/>
      <c r="BG325" s="906"/>
      <c r="BH325" s="906"/>
      <c r="BI325" s="906"/>
      <c r="BJ325" s="906"/>
      <c r="BK325" s="906"/>
      <c r="BL325" s="906"/>
      <c r="BM325" s="906"/>
      <c r="BN325" s="906"/>
      <c r="BO325" s="906"/>
      <c r="BP325" s="906"/>
      <c r="BQ325" s="906"/>
      <c r="BR325" s="906"/>
      <c r="BS325" s="906"/>
      <c r="BT325" s="906"/>
      <c r="BU325" s="906"/>
      <c r="BV325" s="906"/>
      <c r="BW325" s="906"/>
      <c r="BX325" s="906"/>
      <c r="BY325" s="906"/>
      <c r="BZ325" s="906"/>
      <c r="CA325" s="906"/>
      <c r="CB325" s="906"/>
      <c r="CC325" s="906"/>
      <c r="CD325" s="906"/>
      <c r="CE325" s="906"/>
      <c r="CF325" s="906"/>
      <c r="CG325" s="906"/>
      <c r="CH325" s="906"/>
      <c r="CI325" s="906"/>
      <c r="CJ325" s="906"/>
      <c r="CK325" s="906"/>
      <c r="CL325" s="906"/>
      <c r="CM325" s="906"/>
      <c r="CN325" s="906"/>
      <c r="CO325" s="906"/>
      <c r="CP325" s="906"/>
      <c r="CQ325" s="906"/>
      <c r="CR325" s="906"/>
      <c r="CS325" s="906"/>
      <c r="CT325" s="906"/>
      <c r="CU325" s="906"/>
      <c r="CV325" s="906"/>
      <c r="CW325" s="906"/>
      <c r="CX325" s="906"/>
      <c r="CY325" s="906"/>
      <c r="CZ325" s="906"/>
      <c r="DA325" s="906"/>
      <c r="DB325" s="906"/>
      <c r="DC325" s="906"/>
      <c r="DD325" s="906"/>
      <c r="DE325" s="906"/>
      <c r="DF325" s="906"/>
      <c r="DG325" s="906"/>
      <c r="DH325" s="906"/>
      <c r="DI325" s="906"/>
      <c r="DJ325" s="906"/>
      <c r="DK325" s="906"/>
      <c r="DL325" s="906"/>
      <c r="DM325" s="906"/>
      <c r="DN325" s="906"/>
      <c r="DO325" s="906"/>
      <c r="DP325" s="906"/>
      <c r="DQ325" s="906"/>
      <c r="DR325" s="906"/>
      <c r="DS325" s="906"/>
    </row>
    <row r="326" spans="9:123" s="854" customFormat="1">
      <c r="I326" s="895"/>
      <c r="J326" s="895"/>
      <c r="R326" s="906"/>
      <c r="S326" s="906"/>
      <c r="T326" s="906"/>
      <c r="U326" s="906"/>
      <c r="V326" s="906"/>
      <c r="W326" s="906"/>
      <c r="X326" s="906"/>
      <c r="Y326" s="906"/>
      <c r="Z326" s="906"/>
      <c r="AA326" s="906"/>
      <c r="AB326" s="906"/>
      <c r="AC326" s="906"/>
      <c r="AD326" s="906"/>
      <c r="AE326" s="906"/>
      <c r="AF326" s="906"/>
      <c r="AG326" s="906"/>
      <c r="AH326" s="906"/>
      <c r="AI326" s="906"/>
      <c r="AJ326" s="906"/>
      <c r="AK326" s="906"/>
      <c r="AL326" s="906"/>
      <c r="AM326" s="906"/>
      <c r="AN326" s="906"/>
      <c r="AO326" s="906"/>
      <c r="AP326" s="906"/>
      <c r="AQ326" s="906"/>
      <c r="AR326" s="906"/>
      <c r="AS326" s="906"/>
      <c r="AT326" s="906"/>
      <c r="AU326" s="906"/>
      <c r="AV326" s="906"/>
      <c r="AW326" s="906"/>
      <c r="AX326" s="906"/>
      <c r="AY326" s="906"/>
      <c r="AZ326" s="906"/>
      <c r="BA326" s="906"/>
      <c r="BB326" s="906"/>
      <c r="BC326" s="906"/>
      <c r="BD326" s="906"/>
      <c r="BE326" s="906"/>
      <c r="BF326" s="906"/>
      <c r="BG326" s="906"/>
      <c r="BH326" s="906"/>
      <c r="BI326" s="906"/>
      <c r="BJ326" s="906"/>
      <c r="BK326" s="906"/>
      <c r="BL326" s="906"/>
      <c r="BM326" s="906"/>
      <c r="BN326" s="906"/>
      <c r="BO326" s="906"/>
      <c r="BP326" s="906"/>
      <c r="BQ326" s="906"/>
      <c r="BR326" s="906"/>
      <c r="BS326" s="906"/>
      <c r="BT326" s="906"/>
      <c r="BU326" s="906"/>
      <c r="BV326" s="906"/>
      <c r="BW326" s="906"/>
      <c r="BX326" s="906"/>
      <c r="BY326" s="906"/>
      <c r="BZ326" s="906"/>
      <c r="CA326" s="906"/>
      <c r="CB326" s="906"/>
      <c r="CC326" s="906"/>
      <c r="CD326" s="906"/>
      <c r="CE326" s="906"/>
      <c r="CF326" s="906"/>
      <c r="CG326" s="906"/>
      <c r="CH326" s="906"/>
      <c r="CI326" s="906"/>
      <c r="CJ326" s="906"/>
      <c r="CK326" s="906"/>
      <c r="CL326" s="906"/>
      <c r="CM326" s="906"/>
      <c r="CN326" s="906"/>
      <c r="CO326" s="906"/>
      <c r="CP326" s="906"/>
      <c r="CQ326" s="906"/>
      <c r="CR326" s="906"/>
      <c r="CS326" s="906"/>
      <c r="CT326" s="906"/>
      <c r="CU326" s="906"/>
      <c r="CV326" s="906"/>
      <c r="CW326" s="906"/>
      <c r="CX326" s="906"/>
      <c r="CY326" s="906"/>
      <c r="CZ326" s="906"/>
      <c r="DA326" s="906"/>
      <c r="DB326" s="906"/>
      <c r="DC326" s="906"/>
      <c r="DD326" s="906"/>
      <c r="DE326" s="906"/>
      <c r="DF326" s="906"/>
      <c r="DG326" s="906"/>
      <c r="DH326" s="906"/>
      <c r="DI326" s="906"/>
      <c r="DJ326" s="906"/>
      <c r="DK326" s="906"/>
      <c r="DL326" s="906"/>
      <c r="DM326" s="906"/>
      <c r="DN326" s="906"/>
      <c r="DO326" s="906"/>
      <c r="DP326" s="906"/>
      <c r="DQ326" s="906"/>
      <c r="DR326" s="906"/>
      <c r="DS326" s="906"/>
    </row>
    <row r="327" spans="9:123" s="854" customFormat="1">
      <c r="I327" s="895"/>
      <c r="J327" s="895"/>
      <c r="R327" s="906"/>
      <c r="S327" s="906"/>
      <c r="T327" s="906"/>
      <c r="U327" s="906"/>
      <c r="V327" s="906"/>
      <c r="W327" s="906"/>
      <c r="X327" s="906"/>
      <c r="Y327" s="906"/>
      <c r="Z327" s="906"/>
      <c r="AA327" s="906"/>
      <c r="AB327" s="906"/>
      <c r="AC327" s="906"/>
      <c r="AD327" s="906"/>
      <c r="AE327" s="906"/>
      <c r="AF327" s="906"/>
      <c r="AG327" s="906"/>
      <c r="AH327" s="906"/>
      <c r="AI327" s="906"/>
      <c r="AJ327" s="906"/>
      <c r="AK327" s="906"/>
      <c r="AL327" s="906"/>
      <c r="AM327" s="906"/>
      <c r="AN327" s="906"/>
      <c r="AO327" s="906"/>
      <c r="AP327" s="906"/>
      <c r="AQ327" s="906"/>
      <c r="AR327" s="906"/>
      <c r="AS327" s="906"/>
      <c r="AT327" s="906"/>
      <c r="AU327" s="906"/>
      <c r="AV327" s="906"/>
      <c r="AW327" s="906"/>
      <c r="AX327" s="906"/>
      <c r="AY327" s="906"/>
      <c r="AZ327" s="906"/>
      <c r="BA327" s="906"/>
      <c r="BB327" s="906"/>
      <c r="BC327" s="906"/>
      <c r="BD327" s="906"/>
      <c r="BE327" s="906"/>
      <c r="BF327" s="906"/>
      <c r="BG327" s="906"/>
      <c r="BH327" s="906"/>
      <c r="BI327" s="906"/>
      <c r="BJ327" s="906"/>
      <c r="BK327" s="906"/>
      <c r="BL327" s="906"/>
      <c r="BM327" s="906"/>
      <c r="BN327" s="906"/>
      <c r="BO327" s="906"/>
      <c r="BP327" s="906"/>
      <c r="BQ327" s="906"/>
      <c r="BR327" s="906"/>
      <c r="BS327" s="906"/>
      <c r="BT327" s="906"/>
      <c r="BU327" s="906"/>
      <c r="BV327" s="906"/>
      <c r="BW327" s="906"/>
      <c r="BX327" s="906"/>
      <c r="BY327" s="906"/>
      <c r="BZ327" s="906"/>
      <c r="CA327" s="906"/>
      <c r="CB327" s="906"/>
      <c r="CC327" s="906"/>
      <c r="CD327" s="906"/>
      <c r="CE327" s="906"/>
      <c r="CF327" s="906"/>
      <c r="CG327" s="906"/>
      <c r="CH327" s="906"/>
      <c r="CI327" s="906"/>
      <c r="CJ327" s="906"/>
      <c r="CK327" s="906"/>
      <c r="CL327" s="906"/>
      <c r="CM327" s="906"/>
      <c r="CN327" s="906"/>
      <c r="CO327" s="906"/>
      <c r="CP327" s="906"/>
      <c r="CQ327" s="906"/>
      <c r="CR327" s="906"/>
      <c r="CS327" s="906"/>
      <c r="CT327" s="906"/>
      <c r="CU327" s="906"/>
      <c r="CV327" s="906"/>
      <c r="CW327" s="906"/>
      <c r="CX327" s="906"/>
      <c r="CY327" s="906"/>
      <c r="CZ327" s="906"/>
      <c r="DA327" s="906"/>
      <c r="DB327" s="906"/>
      <c r="DC327" s="906"/>
      <c r="DD327" s="906"/>
      <c r="DE327" s="906"/>
      <c r="DF327" s="906"/>
      <c r="DG327" s="906"/>
      <c r="DH327" s="906"/>
      <c r="DI327" s="906"/>
      <c r="DJ327" s="906"/>
      <c r="DK327" s="906"/>
      <c r="DL327" s="906"/>
      <c r="DM327" s="906"/>
      <c r="DN327" s="906"/>
      <c r="DO327" s="906"/>
      <c r="DP327" s="906"/>
      <c r="DQ327" s="906"/>
      <c r="DR327" s="906"/>
      <c r="DS327" s="906"/>
    </row>
    <row r="328" spans="9:123" s="854" customFormat="1">
      <c r="I328" s="895"/>
      <c r="J328" s="895"/>
      <c r="R328" s="906"/>
      <c r="S328" s="906"/>
      <c r="T328" s="906"/>
      <c r="U328" s="906"/>
      <c r="V328" s="906"/>
      <c r="W328" s="906"/>
      <c r="X328" s="906"/>
      <c r="Y328" s="906"/>
      <c r="Z328" s="906"/>
      <c r="AA328" s="906"/>
      <c r="AB328" s="906"/>
      <c r="AC328" s="906"/>
      <c r="AD328" s="906"/>
      <c r="AE328" s="906"/>
      <c r="AF328" s="906"/>
      <c r="AG328" s="906"/>
      <c r="AH328" s="906"/>
      <c r="AI328" s="906"/>
      <c r="AJ328" s="906"/>
      <c r="AK328" s="906"/>
      <c r="AL328" s="906"/>
      <c r="AM328" s="906"/>
      <c r="AN328" s="906"/>
      <c r="AO328" s="906"/>
      <c r="AP328" s="906"/>
      <c r="AQ328" s="906"/>
      <c r="AR328" s="906"/>
      <c r="AS328" s="906"/>
      <c r="AT328" s="906"/>
      <c r="AU328" s="906"/>
      <c r="AV328" s="906"/>
      <c r="AW328" s="906"/>
      <c r="AX328" s="906"/>
      <c r="AY328" s="906"/>
      <c r="AZ328" s="906"/>
      <c r="BA328" s="906"/>
      <c r="BB328" s="906"/>
      <c r="BC328" s="906"/>
      <c r="BD328" s="906"/>
      <c r="BE328" s="906"/>
      <c r="BF328" s="906"/>
      <c r="BG328" s="906"/>
      <c r="BH328" s="906"/>
      <c r="BI328" s="906"/>
      <c r="BJ328" s="906"/>
      <c r="BK328" s="906"/>
      <c r="BL328" s="906"/>
      <c r="BM328" s="906"/>
      <c r="BN328" s="906"/>
      <c r="BO328" s="906"/>
      <c r="BP328" s="906"/>
      <c r="BQ328" s="906"/>
      <c r="BR328" s="906"/>
      <c r="BS328" s="906"/>
      <c r="BT328" s="906"/>
      <c r="BU328" s="906"/>
      <c r="BV328" s="906"/>
      <c r="BW328" s="906"/>
      <c r="BX328" s="906"/>
      <c r="BY328" s="906"/>
      <c r="BZ328" s="906"/>
      <c r="CA328" s="906"/>
      <c r="CB328" s="906"/>
      <c r="CC328" s="906"/>
      <c r="CD328" s="906"/>
      <c r="CE328" s="906"/>
      <c r="CF328" s="906"/>
      <c r="CG328" s="906"/>
      <c r="CH328" s="906"/>
      <c r="CI328" s="906"/>
      <c r="CJ328" s="906"/>
      <c r="CK328" s="906"/>
      <c r="CL328" s="906"/>
      <c r="CM328" s="906"/>
      <c r="CN328" s="906"/>
      <c r="CO328" s="906"/>
      <c r="CP328" s="906"/>
      <c r="CQ328" s="906"/>
      <c r="CR328" s="906"/>
      <c r="CS328" s="906"/>
      <c r="CT328" s="906"/>
      <c r="CU328" s="906"/>
      <c r="CV328" s="906"/>
      <c r="CW328" s="906"/>
      <c r="CX328" s="906"/>
      <c r="CY328" s="906"/>
      <c r="CZ328" s="906"/>
      <c r="DA328" s="906"/>
      <c r="DB328" s="906"/>
      <c r="DC328" s="906"/>
      <c r="DD328" s="906"/>
      <c r="DE328" s="906"/>
      <c r="DF328" s="906"/>
      <c r="DG328" s="906"/>
      <c r="DH328" s="906"/>
      <c r="DI328" s="906"/>
      <c r="DJ328" s="906"/>
      <c r="DK328" s="906"/>
      <c r="DL328" s="906"/>
      <c r="DM328" s="906"/>
      <c r="DN328" s="906"/>
      <c r="DO328" s="906"/>
      <c r="DP328" s="906"/>
      <c r="DQ328" s="906"/>
      <c r="DR328" s="906"/>
      <c r="DS328" s="906"/>
    </row>
    <row r="329" spans="9:123" s="854" customFormat="1">
      <c r="I329" s="895"/>
      <c r="J329" s="895"/>
      <c r="R329" s="906"/>
      <c r="S329" s="906"/>
      <c r="T329" s="906"/>
      <c r="U329" s="906"/>
      <c r="V329" s="906"/>
      <c r="W329" s="906"/>
      <c r="X329" s="906"/>
      <c r="Y329" s="906"/>
      <c r="Z329" s="906"/>
      <c r="AA329" s="906"/>
      <c r="AB329" s="906"/>
      <c r="AC329" s="906"/>
      <c r="AD329" s="906"/>
      <c r="AE329" s="906"/>
      <c r="AF329" s="906"/>
      <c r="AG329" s="906"/>
      <c r="AH329" s="906"/>
      <c r="AI329" s="906"/>
      <c r="AJ329" s="906"/>
      <c r="AK329" s="906"/>
      <c r="AL329" s="906"/>
      <c r="AM329" s="906"/>
      <c r="AN329" s="906"/>
      <c r="AO329" s="906"/>
      <c r="AP329" s="906"/>
      <c r="AQ329" s="906"/>
      <c r="AR329" s="906"/>
      <c r="AS329" s="906"/>
      <c r="AT329" s="906"/>
      <c r="AU329" s="906"/>
      <c r="AV329" s="906"/>
      <c r="AW329" s="906"/>
      <c r="AX329" s="906"/>
      <c r="AY329" s="906"/>
      <c r="AZ329" s="906"/>
      <c r="BA329" s="906"/>
      <c r="BB329" s="906"/>
      <c r="BC329" s="906"/>
      <c r="BD329" s="906"/>
      <c r="BE329" s="906"/>
      <c r="BF329" s="906"/>
      <c r="BG329" s="906"/>
      <c r="BH329" s="906"/>
      <c r="BI329" s="906"/>
      <c r="BJ329" s="906"/>
      <c r="BK329" s="906"/>
      <c r="BL329" s="906"/>
      <c r="BM329" s="906"/>
      <c r="BN329" s="906"/>
      <c r="BO329" s="906"/>
      <c r="BP329" s="906"/>
      <c r="BQ329" s="906"/>
      <c r="BR329" s="906"/>
      <c r="BS329" s="906"/>
      <c r="BT329" s="906"/>
      <c r="BU329" s="906"/>
      <c r="BV329" s="906"/>
      <c r="BW329" s="906"/>
      <c r="BX329" s="906"/>
      <c r="BY329" s="906"/>
      <c r="BZ329" s="906"/>
      <c r="CA329" s="906"/>
      <c r="CB329" s="906"/>
      <c r="CC329" s="906"/>
      <c r="CD329" s="906"/>
      <c r="CE329" s="906"/>
      <c r="CF329" s="906"/>
      <c r="CG329" s="906"/>
      <c r="CH329" s="906"/>
      <c r="CI329" s="906"/>
      <c r="CJ329" s="906"/>
      <c r="CK329" s="906"/>
      <c r="CL329" s="906"/>
      <c r="CM329" s="906"/>
      <c r="CN329" s="906"/>
      <c r="CO329" s="906"/>
      <c r="CP329" s="906"/>
      <c r="CQ329" s="906"/>
      <c r="CR329" s="906"/>
      <c r="CS329" s="906"/>
      <c r="CT329" s="906"/>
      <c r="CU329" s="906"/>
      <c r="CV329" s="906"/>
      <c r="CW329" s="906"/>
      <c r="CX329" s="906"/>
      <c r="CY329" s="906"/>
      <c r="CZ329" s="906"/>
      <c r="DA329" s="906"/>
      <c r="DB329" s="906"/>
      <c r="DC329" s="906"/>
      <c r="DD329" s="906"/>
      <c r="DE329" s="906"/>
      <c r="DF329" s="906"/>
      <c r="DG329" s="906"/>
      <c r="DH329" s="906"/>
      <c r="DI329" s="906"/>
      <c r="DJ329" s="906"/>
      <c r="DK329" s="906"/>
      <c r="DL329" s="906"/>
      <c r="DM329" s="906"/>
      <c r="DN329" s="906"/>
      <c r="DO329" s="906"/>
      <c r="DP329" s="906"/>
      <c r="DQ329" s="906"/>
      <c r="DR329" s="906"/>
      <c r="DS329" s="906"/>
    </row>
    <row r="330" spans="9:123" s="854" customFormat="1">
      <c r="I330" s="895"/>
      <c r="J330" s="895"/>
      <c r="R330" s="906"/>
      <c r="S330" s="906"/>
      <c r="T330" s="906"/>
      <c r="U330" s="906"/>
      <c r="V330" s="906"/>
      <c r="W330" s="906"/>
      <c r="X330" s="906"/>
      <c r="Y330" s="906"/>
      <c r="Z330" s="906"/>
      <c r="AA330" s="906"/>
      <c r="AB330" s="906"/>
      <c r="AC330" s="906"/>
      <c r="AD330" s="906"/>
      <c r="AE330" s="906"/>
      <c r="AF330" s="906"/>
      <c r="AG330" s="906"/>
      <c r="AH330" s="906"/>
      <c r="AI330" s="906"/>
      <c r="AJ330" s="906"/>
      <c r="AK330" s="906"/>
      <c r="AL330" s="906"/>
      <c r="AM330" s="906"/>
      <c r="AN330" s="906"/>
      <c r="AO330" s="906"/>
      <c r="AP330" s="906"/>
      <c r="AQ330" s="906"/>
      <c r="AR330" s="906"/>
      <c r="AS330" s="906"/>
      <c r="AT330" s="906"/>
      <c r="AU330" s="906"/>
      <c r="AV330" s="906"/>
      <c r="AW330" s="906"/>
      <c r="AX330" s="906"/>
      <c r="AY330" s="906"/>
      <c r="AZ330" s="906"/>
      <c r="BA330" s="906"/>
      <c r="BB330" s="906"/>
      <c r="BC330" s="906"/>
      <c r="BD330" s="906"/>
      <c r="BE330" s="906"/>
      <c r="BF330" s="906"/>
      <c r="BG330" s="906"/>
      <c r="BH330" s="906"/>
      <c r="BI330" s="906"/>
      <c r="BJ330" s="906"/>
      <c r="BK330" s="906"/>
      <c r="BL330" s="906"/>
      <c r="BM330" s="906"/>
      <c r="BN330" s="906"/>
      <c r="BO330" s="906"/>
      <c r="BP330" s="906"/>
      <c r="BQ330" s="906"/>
      <c r="BR330" s="906"/>
      <c r="BS330" s="906"/>
      <c r="BT330" s="906"/>
      <c r="BU330" s="906"/>
      <c r="BV330" s="906"/>
      <c r="BW330" s="906"/>
      <c r="BX330" s="906"/>
      <c r="BY330" s="906"/>
      <c r="BZ330" s="906"/>
      <c r="CA330" s="906"/>
      <c r="CB330" s="906"/>
      <c r="CC330" s="906"/>
      <c r="CD330" s="906"/>
      <c r="CE330" s="906"/>
      <c r="CF330" s="906"/>
      <c r="CG330" s="906"/>
      <c r="CH330" s="906"/>
      <c r="CI330" s="906"/>
      <c r="CJ330" s="906"/>
      <c r="CK330" s="906"/>
      <c r="CL330" s="906"/>
      <c r="CM330" s="906"/>
      <c r="CN330" s="906"/>
      <c r="CO330" s="906"/>
      <c r="CP330" s="906"/>
      <c r="CQ330" s="906"/>
      <c r="CR330" s="906"/>
      <c r="CS330" s="906"/>
      <c r="CT330" s="906"/>
      <c r="CU330" s="906"/>
      <c r="CV330" s="906"/>
      <c r="CW330" s="906"/>
      <c r="CX330" s="906"/>
      <c r="CY330" s="906"/>
      <c r="CZ330" s="906"/>
      <c r="DA330" s="906"/>
      <c r="DB330" s="906"/>
      <c r="DC330" s="906"/>
      <c r="DD330" s="906"/>
      <c r="DE330" s="906"/>
      <c r="DF330" s="906"/>
      <c r="DG330" s="906"/>
      <c r="DH330" s="906"/>
      <c r="DI330" s="906"/>
      <c r="DJ330" s="906"/>
      <c r="DK330" s="906"/>
      <c r="DL330" s="906"/>
      <c r="DM330" s="906"/>
      <c r="DN330" s="906"/>
      <c r="DO330" s="906"/>
      <c r="DP330" s="906"/>
      <c r="DQ330" s="906"/>
      <c r="DR330" s="906"/>
      <c r="DS330" s="906"/>
    </row>
    <row r="331" spans="9:123" s="854" customFormat="1">
      <c r="I331" s="895"/>
      <c r="J331" s="895"/>
      <c r="R331" s="906"/>
      <c r="S331" s="906"/>
      <c r="T331" s="906"/>
      <c r="U331" s="906"/>
      <c r="V331" s="906"/>
      <c r="W331" s="906"/>
      <c r="X331" s="906"/>
      <c r="Y331" s="906"/>
      <c r="Z331" s="906"/>
      <c r="AA331" s="906"/>
      <c r="AB331" s="906"/>
      <c r="AC331" s="906"/>
      <c r="AD331" s="906"/>
      <c r="AE331" s="906"/>
      <c r="AF331" s="906"/>
      <c r="AG331" s="906"/>
      <c r="AH331" s="906"/>
      <c r="AI331" s="906"/>
      <c r="AJ331" s="906"/>
      <c r="AK331" s="906"/>
      <c r="AL331" s="906"/>
      <c r="AM331" s="906"/>
      <c r="AN331" s="906"/>
      <c r="AO331" s="906"/>
      <c r="AP331" s="906"/>
      <c r="AQ331" s="906"/>
      <c r="AR331" s="906"/>
      <c r="AS331" s="906"/>
      <c r="AT331" s="906"/>
      <c r="AU331" s="906"/>
      <c r="AV331" s="906"/>
      <c r="AW331" s="906"/>
      <c r="AX331" s="906"/>
      <c r="AY331" s="906"/>
      <c r="AZ331" s="906"/>
      <c r="BA331" s="906"/>
      <c r="BB331" s="906"/>
      <c r="BC331" s="906"/>
      <c r="BD331" s="906"/>
      <c r="BE331" s="906"/>
      <c r="BF331" s="906"/>
      <c r="BG331" s="906"/>
      <c r="BH331" s="906"/>
      <c r="BI331" s="906"/>
      <c r="BJ331" s="906"/>
      <c r="BK331" s="906"/>
      <c r="BL331" s="906"/>
      <c r="BM331" s="906"/>
      <c r="BN331" s="906"/>
      <c r="BO331" s="906"/>
      <c r="BP331" s="906"/>
      <c r="BQ331" s="906"/>
      <c r="BR331" s="906"/>
      <c r="BS331" s="906"/>
      <c r="BT331" s="906"/>
      <c r="BU331" s="906"/>
      <c r="BV331" s="906"/>
      <c r="BW331" s="906"/>
      <c r="BX331" s="906"/>
      <c r="BY331" s="906"/>
      <c r="BZ331" s="906"/>
      <c r="CA331" s="906"/>
      <c r="CB331" s="906"/>
      <c r="CC331" s="906"/>
      <c r="CD331" s="906"/>
      <c r="CE331" s="906"/>
      <c r="CF331" s="906"/>
      <c r="CG331" s="906"/>
      <c r="CH331" s="906"/>
      <c r="CI331" s="906"/>
      <c r="CJ331" s="906"/>
      <c r="CK331" s="906"/>
      <c r="CL331" s="906"/>
      <c r="CM331" s="906"/>
      <c r="CN331" s="906"/>
      <c r="CO331" s="906"/>
      <c r="CP331" s="906"/>
      <c r="CQ331" s="906"/>
      <c r="CR331" s="906"/>
      <c r="CS331" s="906"/>
      <c r="CT331" s="906"/>
      <c r="CU331" s="906"/>
      <c r="CV331" s="906"/>
      <c r="CW331" s="906"/>
      <c r="CX331" s="906"/>
      <c r="CY331" s="906"/>
      <c r="CZ331" s="906"/>
      <c r="DA331" s="906"/>
      <c r="DB331" s="906"/>
      <c r="DC331" s="906"/>
      <c r="DD331" s="906"/>
      <c r="DE331" s="906"/>
      <c r="DF331" s="906"/>
      <c r="DG331" s="906"/>
      <c r="DH331" s="906"/>
      <c r="DI331" s="906"/>
      <c r="DJ331" s="906"/>
      <c r="DK331" s="906"/>
      <c r="DL331" s="906"/>
      <c r="DM331" s="906"/>
      <c r="DN331" s="906"/>
      <c r="DO331" s="906"/>
      <c r="DP331" s="906"/>
      <c r="DQ331" s="906"/>
      <c r="DR331" s="906"/>
      <c r="DS331" s="906"/>
    </row>
    <row r="332" spans="9:123" s="854" customFormat="1">
      <c r="I332" s="895"/>
      <c r="J332" s="895"/>
      <c r="R332" s="906"/>
      <c r="S332" s="906"/>
      <c r="T332" s="906"/>
      <c r="U332" s="906"/>
      <c r="V332" s="906"/>
      <c r="W332" s="906"/>
      <c r="X332" s="906"/>
      <c r="Y332" s="906"/>
      <c r="Z332" s="906"/>
      <c r="AA332" s="906"/>
      <c r="AB332" s="906"/>
      <c r="AC332" s="906"/>
      <c r="AD332" s="906"/>
      <c r="AE332" s="906"/>
      <c r="AF332" s="906"/>
      <c r="AG332" s="906"/>
      <c r="AH332" s="906"/>
      <c r="AI332" s="906"/>
      <c r="AJ332" s="906"/>
      <c r="AK332" s="906"/>
      <c r="AL332" s="906"/>
      <c r="AM332" s="906"/>
      <c r="AN332" s="906"/>
      <c r="AO332" s="906"/>
      <c r="AP332" s="906"/>
      <c r="AQ332" s="906"/>
      <c r="AR332" s="906"/>
      <c r="AS332" s="906"/>
      <c r="AT332" s="906"/>
      <c r="AU332" s="906"/>
      <c r="AV332" s="906"/>
      <c r="AW332" s="906"/>
      <c r="AX332" s="906"/>
      <c r="AY332" s="906"/>
      <c r="AZ332" s="906"/>
      <c r="BA332" s="906"/>
      <c r="BB332" s="906"/>
      <c r="BC332" s="906"/>
      <c r="BD332" s="906"/>
      <c r="BE332" s="906"/>
      <c r="BF332" s="906"/>
      <c r="BG332" s="906"/>
      <c r="BH332" s="906"/>
      <c r="BI332" s="906"/>
      <c r="BJ332" s="906"/>
      <c r="BK332" s="906"/>
      <c r="BL332" s="906"/>
      <c r="BM332" s="906"/>
      <c r="BN332" s="906"/>
      <c r="BO332" s="906"/>
      <c r="BP332" s="906"/>
      <c r="BQ332" s="906"/>
      <c r="BR332" s="906"/>
      <c r="BS332" s="906"/>
      <c r="BT332" s="906"/>
      <c r="BU332" s="906"/>
      <c r="BV332" s="906"/>
      <c r="BW332" s="906"/>
      <c r="BX332" s="906"/>
      <c r="BY332" s="906"/>
      <c r="BZ332" s="906"/>
      <c r="CA332" s="906"/>
      <c r="CB332" s="906"/>
      <c r="CC332" s="906"/>
      <c r="CD332" s="906"/>
      <c r="CE332" s="906"/>
      <c r="CF332" s="906"/>
      <c r="CG332" s="906"/>
      <c r="CH332" s="906"/>
      <c r="CI332" s="906"/>
      <c r="CJ332" s="906"/>
      <c r="CK332" s="906"/>
      <c r="CL332" s="906"/>
      <c r="CM332" s="906"/>
      <c r="CN332" s="906"/>
      <c r="CO332" s="906"/>
      <c r="CP332" s="906"/>
      <c r="CQ332" s="906"/>
      <c r="CR332" s="906"/>
      <c r="CS332" s="906"/>
      <c r="CT332" s="906"/>
      <c r="CU332" s="906"/>
      <c r="CV332" s="906"/>
      <c r="CW332" s="906"/>
      <c r="CX332" s="906"/>
      <c r="CY332" s="906"/>
      <c r="CZ332" s="906"/>
      <c r="DA332" s="906"/>
      <c r="DB332" s="906"/>
      <c r="DC332" s="906"/>
      <c r="DD332" s="906"/>
      <c r="DE332" s="906"/>
      <c r="DF332" s="906"/>
      <c r="DG332" s="906"/>
      <c r="DH332" s="906"/>
      <c r="DI332" s="906"/>
      <c r="DJ332" s="906"/>
      <c r="DK332" s="906"/>
      <c r="DL332" s="906"/>
      <c r="DM332" s="906"/>
      <c r="DN332" s="906"/>
      <c r="DO332" s="906"/>
      <c r="DP332" s="906"/>
      <c r="DQ332" s="906"/>
      <c r="DR332" s="906"/>
      <c r="DS332" s="906"/>
    </row>
    <row r="333" spans="9:123" s="854" customFormat="1">
      <c r="I333" s="895"/>
      <c r="J333" s="895"/>
      <c r="R333" s="906"/>
      <c r="S333" s="906"/>
      <c r="T333" s="906"/>
      <c r="U333" s="906"/>
      <c r="V333" s="906"/>
      <c r="W333" s="906"/>
      <c r="X333" s="906"/>
      <c r="Y333" s="906"/>
      <c r="Z333" s="906"/>
      <c r="AA333" s="906"/>
      <c r="AB333" s="906"/>
      <c r="AC333" s="906"/>
      <c r="AD333" s="906"/>
      <c r="AE333" s="906"/>
      <c r="AF333" s="906"/>
      <c r="AG333" s="906"/>
      <c r="AH333" s="906"/>
      <c r="AI333" s="906"/>
      <c r="AJ333" s="906"/>
      <c r="AK333" s="906"/>
      <c r="AL333" s="906"/>
      <c r="AM333" s="906"/>
      <c r="AN333" s="906"/>
      <c r="AO333" s="906"/>
      <c r="AP333" s="906"/>
      <c r="AQ333" s="906"/>
      <c r="AR333" s="906"/>
      <c r="AS333" s="906"/>
      <c r="AT333" s="906"/>
      <c r="AU333" s="906"/>
      <c r="AV333" s="906"/>
      <c r="AW333" s="906"/>
      <c r="AX333" s="906"/>
      <c r="AY333" s="906"/>
      <c r="AZ333" s="906"/>
      <c r="BA333" s="906"/>
      <c r="BB333" s="906"/>
      <c r="BC333" s="906"/>
      <c r="BD333" s="906"/>
      <c r="BE333" s="906"/>
      <c r="BF333" s="906"/>
      <c r="BG333" s="906"/>
      <c r="BH333" s="906"/>
      <c r="BI333" s="906"/>
      <c r="BJ333" s="906"/>
      <c r="BK333" s="906"/>
      <c r="BL333" s="906"/>
      <c r="BM333" s="906"/>
      <c r="BN333" s="906"/>
      <c r="BO333" s="906"/>
      <c r="BP333" s="906"/>
      <c r="BQ333" s="906"/>
      <c r="BR333" s="906"/>
      <c r="BS333" s="906"/>
      <c r="BT333" s="906"/>
      <c r="BU333" s="906"/>
      <c r="BV333" s="906"/>
      <c r="BW333" s="906"/>
      <c r="BX333" s="906"/>
      <c r="BY333" s="906"/>
      <c r="BZ333" s="906"/>
      <c r="CA333" s="906"/>
      <c r="CB333" s="906"/>
      <c r="CC333" s="906"/>
      <c r="CD333" s="906"/>
      <c r="CE333" s="906"/>
      <c r="CF333" s="906"/>
      <c r="CG333" s="906"/>
      <c r="CH333" s="906"/>
      <c r="CI333" s="906"/>
      <c r="CJ333" s="906"/>
      <c r="CK333" s="906"/>
      <c r="CL333" s="906"/>
      <c r="CM333" s="906"/>
      <c r="CN333" s="906"/>
      <c r="CO333" s="906"/>
      <c r="CP333" s="906"/>
      <c r="CQ333" s="906"/>
      <c r="CR333" s="906"/>
      <c r="CS333" s="906"/>
      <c r="CT333" s="906"/>
      <c r="CU333" s="906"/>
      <c r="CV333" s="906"/>
      <c r="CW333" s="906"/>
      <c r="CX333" s="906"/>
      <c r="CY333" s="906"/>
      <c r="CZ333" s="906"/>
      <c r="DA333" s="906"/>
      <c r="DB333" s="906"/>
      <c r="DC333" s="906"/>
      <c r="DD333" s="906"/>
      <c r="DE333" s="906"/>
      <c r="DF333" s="906"/>
      <c r="DG333" s="906"/>
      <c r="DH333" s="906"/>
      <c r="DI333" s="906"/>
      <c r="DJ333" s="906"/>
      <c r="DK333" s="906"/>
      <c r="DL333" s="906"/>
      <c r="DM333" s="906"/>
      <c r="DN333" s="906"/>
      <c r="DO333" s="906"/>
      <c r="DP333" s="906"/>
      <c r="DQ333" s="906"/>
      <c r="DR333" s="906"/>
      <c r="DS333" s="906"/>
    </row>
    <row r="334" spans="9:123" s="854" customFormat="1">
      <c r="I334" s="895"/>
      <c r="J334" s="895"/>
      <c r="R334" s="906"/>
      <c r="S334" s="906"/>
      <c r="T334" s="906"/>
      <c r="U334" s="906"/>
      <c r="V334" s="906"/>
      <c r="W334" s="906"/>
      <c r="X334" s="906"/>
      <c r="Y334" s="906"/>
      <c r="Z334" s="906"/>
      <c r="AA334" s="906"/>
      <c r="AB334" s="906"/>
      <c r="AC334" s="906"/>
      <c r="AD334" s="906"/>
      <c r="AE334" s="906"/>
      <c r="AF334" s="906"/>
      <c r="AG334" s="906"/>
      <c r="AH334" s="906"/>
      <c r="AI334" s="906"/>
      <c r="AJ334" s="906"/>
      <c r="AK334" s="906"/>
      <c r="AL334" s="906"/>
      <c r="AM334" s="906"/>
      <c r="AN334" s="906"/>
      <c r="AO334" s="906"/>
      <c r="AP334" s="906"/>
      <c r="AQ334" s="906"/>
      <c r="AR334" s="906"/>
      <c r="AS334" s="906"/>
      <c r="AT334" s="906"/>
      <c r="AU334" s="906"/>
      <c r="AV334" s="906"/>
      <c r="AW334" s="906"/>
      <c r="AX334" s="906"/>
      <c r="AY334" s="906"/>
      <c r="AZ334" s="906"/>
      <c r="BA334" s="906"/>
      <c r="BB334" s="906"/>
      <c r="BC334" s="906"/>
      <c r="BD334" s="906"/>
      <c r="BE334" s="906"/>
      <c r="BF334" s="906"/>
      <c r="BG334" s="906"/>
      <c r="BH334" s="906"/>
      <c r="BI334" s="906"/>
      <c r="BJ334" s="906"/>
      <c r="BK334" s="906"/>
      <c r="BL334" s="906"/>
      <c r="BM334" s="906"/>
      <c r="BN334" s="906"/>
      <c r="BO334" s="906"/>
      <c r="BP334" s="906"/>
      <c r="BQ334" s="906"/>
      <c r="BR334" s="906"/>
      <c r="BS334" s="906"/>
      <c r="BT334" s="906"/>
      <c r="BU334" s="906"/>
      <c r="BV334" s="906"/>
      <c r="BW334" s="906"/>
      <c r="BX334" s="906"/>
      <c r="BY334" s="906"/>
      <c r="BZ334" s="906"/>
      <c r="CA334" s="906"/>
      <c r="CB334" s="906"/>
      <c r="CC334" s="906"/>
      <c r="CD334" s="906"/>
      <c r="CE334" s="906"/>
      <c r="CF334" s="906"/>
      <c r="CG334" s="906"/>
      <c r="CH334" s="906"/>
      <c r="CI334" s="906"/>
      <c r="CJ334" s="906"/>
      <c r="CK334" s="906"/>
      <c r="CL334" s="906"/>
      <c r="CM334" s="906"/>
      <c r="CN334" s="906"/>
      <c r="CO334" s="906"/>
      <c r="CP334" s="906"/>
      <c r="CQ334" s="906"/>
      <c r="CR334" s="906"/>
      <c r="CS334" s="906"/>
      <c r="CT334" s="906"/>
      <c r="CU334" s="906"/>
      <c r="CV334" s="906"/>
      <c r="CW334" s="906"/>
      <c r="CX334" s="906"/>
      <c r="CY334" s="906"/>
      <c r="CZ334" s="906"/>
      <c r="DA334" s="906"/>
      <c r="DB334" s="906"/>
      <c r="DC334" s="906"/>
      <c r="DD334" s="906"/>
      <c r="DE334" s="906"/>
      <c r="DF334" s="906"/>
      <c r="DG334" s="906"/>
      <c r="DH334" s="906"/>
      <c r="DI334" s="906"/>
      <c r="DJ334" s="906"/>
      <c r="DK334" s="906"/>
      <c r="DL334" s="906"/>
      <c r="DM334" s="906"/>
      <c r="DN334" s="906"/>
      <c r="DO334" s="906"/>
      <c r="DP334" s="906"/>
      <c r="DQ334" s="906"/>
      <c r="DR334" s="906"/>
      <c r="DS334" s="906"/>
    </row>
    <row r="335" spans="9:123" s="854" customFormat="1">
      <c r="I335" s="895"/>
      <c r="J335" s="895"/>
      <c r="R335" s="906"/>
      <c r="S335" s="906"/>
      <c r="T335" s="906"/>
      <c r="U335" s="906"/>
      <c r="V335" s="906"/>
      <c r="W335" s="906"/>
      <c r="X335" s="906"/>
      <c r="Y335" s="906"/>
      <c r="Z335" s="906"/>
      <c r="AA335" s="906"/>
      <c r="AB335" s="906"/>
      <c r="AC335" s="906"/>
      <c r="AD335" s="906"/>
      <c r="AE335" s="906"/>
      <c r="AF335" s="906"/>
      <c r="AG335" s="906"/>
      <c r="AH335" s="906"/>
      <c r="AI335" s="906"/>
      <c r="AJ335" s="906"/>
      <c r="AK335" s="906"/>
      <c r="AL335" s="906"/>
      <c r="AM335" s="906"/>
      <c r="AN335" s="906"/>
      <c r="AO335" s="906"/>
      <c r="AP335" s="906"/>
      <c r="AQ335" s="906"/>
      <c r="AR335" s="906"/>
      <c r="AS335" s="906"/>
      <c r="AT335" s="906"/>
      <c r="AU335" s="906"/>
      <c r="AV335" s="906"/>
      <c r="AW335" s="906"/>
      <c r="AX335" s="906"/>
      <c r="AY335" s="906"/>
      <c r="AZ335" s="906"/>
      <c r="BA335" s="906"/>
      <c r="BB335" s="906"/>
      <c r="BC335" s="906"/>
      <c r="BD335" s="906"/>
      <c r="BE335" s="906"/>
      <c r="BF335" s="906"/>
      <c r="BG335" s="906"/>
      <c r="BH335" s="906"/>
      <c r="BI335" s="906"/>
      <c r="BJ335" s="906"/>
      <c r="BK335" s="906"/>
      <c r="BL335" s="906"/>
      <c r="BM335" s="906"/>
      <c r="BN335" s="906"/>
      <c r="BO335" s="906"/>
      <c r="BP335" s="906"/>
      <c r="BQ335" s="906"/>
      <c r="BR335" s="906"/>
      <c r="BS335" s="906"/>
      <c r="BT335" s="906"/>
      <c r="BU335" s="906"/>
      <c r="BV335" s="906"/>
      <c r="BW335" s="906"/>
      <c r="BX335" s="906"/>
      <c r="BY335" s="906"/>
      <c r="BZ335" s="906"/>
      <c r="CA335" s="906"/>
      <c r="CB335" s="906"/>
      <c r="CC335" s="906"/>
      <c r="CD335" s="906"/>
      <c r="CE335" s="906"/>
      <c r="CF335" s="906"/>
      <c r="CG335" s="906"/>
      <c r="CH335" s="906"/>
      <c r="CI335" s="906"/>
      <c r="CJ335" s="906"/>
      <c r="CK335" s="906"/>
      <c r="CL335" s="906"/>
      <c r="CM335" s="906"/>
      <c r="CN335" s="906"/>
      <c r="CO335" s="906"/>
      <c r="CP335" s="906"/>
      <c r="CQ335" s="906"/>
      <c r="CR335" s="906"/>
      <c r="CS335" s="906"/>
      <c r="CT335" s="906"/>
      <c r="CU335" s="906"/>
      <c r="CV335" s="906"/>
      <c r="CW335" s="906"/>
      <c r="CX335" s="906"/>
      <c r="CY335" s="906"/>
      <c r="CZ335" s="906"/>
      <c r="DA335" s="906"/>
      <c r="DB335" s="906"/>
      <c r="DC335" s="906"/>
      <c r="DD335" s="906"/>
      <c r="DE335" s="906"/>
      <c r="DF335" s="906"/>
      <c r="DG335" s="906"/>
      <c r="DH335" s="906"/>
      <c r="DI335" s="906"/>
      <c r="DJ335" s="906"/>
      <c r="DK335" s="906"/>
      <c r="DL335" s="906"/>
      <c r="DM335" s="906"/>
      <c r="DN335" s="906"/>
      <c r="DO335" s="906"/>
      <c r="DP335" s="906"/>
      <c r="DQ335" s="906"/>
      <c r="DR335" s="906"/>
      <c r="DS335" s="906"/>
    </row>
    <row r="336" spans="9:123" s="854" customFormat="1">
      <c r="I336" s="895"/>
      <c r="J336" s="895"/>
      <c r="R336" s="906"/>
      <c r="S336" s="906"/>
      <c r="T336" s="906"/>
      <c r="U336" s="906"/>
      <c r="V336" s="906"/>
      <c r="W336" s="906"/>
      <c r="X336" s="906"/>
      <c r="Y336" s="906"/>
      <c r="Z336" s="906"/>
      <c r="AA336" s="906"/>
      <c r="AB336" s="906"/>
      <c r="AC336" s="906"/>
      <c r="AD336" s="906"/>
      <c r="AE336" s="906"/>
      <c r="AF336" s="906"/>
      <c r="AG336" s="906"/>
      <c r="AH336" s="906"/>
      <c r="AI336" s="906"/>
      <c r="AJ336" s="906"/>
      <c r="AK336" s="906"/>
      <c r="AL336" s="906"/>
      <c r="AM336" s="906"/>
      <c r="AN336" s="906"/>
      <c r="AO336" s="906"/>
      <c r="AP336" s="906"/>
      <c r="AQ336" s="906"/>
      <c r="AR336" s="906"/>
      <c r="AS336" s="906"/>
      <c r="AT336" s="906"/>
      <c r="AU336" s="906"/>
      <c r="AV336" s="906"/>
      <c r="AW336" s="906"/>
      <c r="AX336" s="906"/>
      <c r="AY336" s="906"/>
      <c r="AZ336" s="906"/>
      <c r="BA336" s="906"/>
      <c r="BB336" s="906"/>
      <c r="BC336" s="906"/>
      <c r="BD336" s="906"/>
      <c r="BE336" s="906"/>
      <c r="BF336" s="906"/>
      <c r="BG336" s="906"/>
      <c r="BH336" s="906"/>
      <c r="BI336" s="906"/>
      <c r="BJ336" s="906"/>
      <c r="BK336" s="906"/>
      <c r="BL336" s="906"/>
      <c r="BM336" s="906"/>
      <c r="BN336" s="906"/>
      <c r="BO336" s="906"/>
      <c r="BP336" s="906"/>
      <c r="BQ336" s="906"/>
      <c r="BR336" s="906"/>
      <c r="BS336" s="906"/>
      <c r="BT336" s="906"/>
      <c r="BU336" s="906"/>
      <c r="BV336" s="906"/>
      <c r="BW336" s="906"/>
      <c r="BX336" s="906"/>
      <c r="BY336" s="906"/>
      <c r="BZ336" s="906"/>
      <c r="CA336" s="906"/>
      <c r="CB336" s="906"/>
      <c r="CC336" s="906"/>
      <c r="CD336" s="906"/>
      <c r="CE336" s="906"/>
      <c r="CF336" s="906"/>
      <c r="CG336" s="906"/>
      <c r="CH336" s="906"/>
      <c r="CI336" s="906"/>
      <c r="CJ336" s="906"/>
      <c r="CK336" s="906"/>
      <c r="CL336" s="906"/>
      <c r="CM336" s="906"/>
      <c r="CN336" s="906"/>
      <c r="CO336" s="906"/>
      <c r="CP336" s="906"/>
      <c r="CQ336" s="906"/>
      <c r="CR336" s="906"/>
      <c r="CS336" s="906"/>
      <c r="CT336" s="906"/>
      <c r="CU336" s="906"/>
      <c r="CV336" s="906"/>
      <c r="CW336" s="906"/>
      <c r="CX336" s="906"/>
      <c r="CY336" s="906"/>
      <c r="CZ336" s="906"/>
      <c r="DA336" s="906"/>
      <c r="DB336" s="906"/>
      <c r="DC336" s="906"/>
      <c r="DD336" s="906"/>
      <c r="DE336" s="906"/>
      <c r="DF336" s="906"/>
      <c r="DG336" s="906"/>
      <c r="DH336" s="906"/>
      <c r="DI336" s="906"/>
      <c r="DJ336" s="906"/>
      <c r="DK336" s="906"/>
      <c r="DL336" s="906"/>
      <c r="DM336" s="906"/>
      <c r="DN336" s="906"/>
      <c r="DO336" s="906"/>
      <c r="DP336" s="906"/>
      <c r="DQ336" s="906"/>
      <c r="DR336" s="906"/>
      <c r="DS336" s="906"/>
    </row>
    <row r="337" spans="9:123" s="854" customFormat="1">
      <c r="I337" s="895"/>
      <c r="J337" s="895"/>
      <c r="R337" s="906"/>
      <c r="S337" s="906"/>
      <c r="T337" s="906"/>
      <c r="U337" s="906"/>
      <c r="V337" s="906"/>
      <c r="W337" s="906"/>
      <c r="X337" s="906"/>
      <c r="Y337" s="906"/>
      <c r="Z337" s="906"/>
      <c r="AA337" s="906"/>
      <c r="AB337" s="906"/>
      <c r="AC337" s="906"/>
      <c r="AD337" s="906"/>
      <c r="AE337" s="906"/>
      <c r="AF337" s="906"/>
      <c r="AG337" s="906"/>
      <c r="AH337" s="906"/>
      <c r="AI337" s="906"/>
      <c r="AJ337" s="906"/>
      <c r="AK337" s="906"/>
      <c r="AL337" s="906"/>
      <c r="AM337" s="906"/>
      <c r="AN337" s="906"/>
      <c r="AO337" s="906"/>
      <c r="AP337" s="906"/>
      <c r="AQ337" s="906"/>
      <c r="AR337" s="906"/>
      <c r="AS337" s="906"/>
      <c r="AT337" s="906"/>
      <c r="AU337" s="906"/>
      <c r="AV337" s="906"/>
      <c r="AW337" s="906"/>
      <c r="AX337" s="906"/>
      <c r="AY337" s="906"/>
      <c r="AZ337" s="906"/>
      <c r="BA337" s="906"/>
      <c r="BB337" s="906"/>
      <c r="BC337" s="906"/>
      <c r="BD337" s="906"/>
      <c r="BE337" s="906"/>
      <c r="BF337" s="906"/>
      <c r="BG337" s="906"/>
      <c r="BH337" s="906"/>
      <c r="BI337" s="906"/>
      <c r="BJ337" s="906"/>
      <c r="BK337" s="906"/>
      <c r="BL337" s="906"/>
      <c r="BM337" s="906"/>
      <c r="BN337" s="906"/>
      <c r="BO337" s="906"/>
      <c r="BP337" s="906"/>
      <c r="BQ337" s="906"/>
      <c r="BR337" s="906"/>
      <c r="BS337" s="906"/>
      <c r="BT337" s="906"/>
      <c r="BU337" s="906"/>
      <c r="BV337" s="906"/>
      <c r="BW337" s="906"/>
      <c r="BX337" s="906"/>
      <c r="BY337" s="906"/>
      <c r="BZ337" s="906"/>
      <c r="CA337" s="906"/>
      <c r="CB337" s="906"/>
      <c r="CC337" s="906"/>
      <c r="CD337" s="906"/>
      <c r="CE337" s="906"/>
      <c r="CF337" s="906"/>
      <c r="CG337" s="906"/>
      <c r="CH337" s="906"/>
      <c r="CI337" s="906"/>
      <c r="CJ337" s="906"/>
      <c r="CK337" s="906"/>
      <c r="CL337" s="906"/>
      <c r="CM337" s="906"/>
      <c r="CN337" s="906"/>
      <c r="CO337" s="906"/>
      <c r="CP337" s="906"/>
      <c r="CQ337" s="906"/>
      <c r="CR337" s="906"/>
      <c r="CS337" s="906"/>
      <c r="CT337" s="906"/>
      <c r="CU337" s="906"/>
      <c r="CV337" s="906"/>
      <c r="CW337" s="906"/>
      <c r="CX337" s="906"/>
      <c r="CY337" s="906"/>
      <c r="CZ337" s="906"/>
      <c r="DA337" s="906"/>
      <c r="DB337" s="906"/>
      <c r="DC337" s="906"/>
      <c r="DD337" s="906"/>
      <c r="DE337" s="906"/>
      <c r="DF337" s="906"/>
      <c r="DG337" s="906"/>
      <c r="DH337" s="906"/>
      <c r="DI337" s="906"/>
      <c r="DJ337" s="906"/>
      <c r="DK337" s="906"/>
      <c r="DL337" s="906"/>
      <c r="DM337" s="906"/>
      <c r="DN337" s="906"/>
      <c r="DO337" s="906"/>
      <c r="DP337" s="906"/>
      <c r="DQ337" s="906"/>
      <c r="DR337" s="906"/>
      <c r="DS337" s="906"/>
    </row>
    <row r="338" spans="9:123" s="854" customFormat="1">
      <c r="I338" s="895"/>
      <c r="J338" s="895"/>
      <c r="R338" s="906"/>
      <c r="S338" s="906"/>
      <c r="T338" s="906"/>
      <c r="U338" s="906"/>
      <c r="V338" s="906"/>
      <c r="W338" s="906"/>
      <c r="X338" s="906"/>
      <c r="Y338" s="906"/>
      <c r="Z338" s="906"/>
      <c r="AA338" s="906"/>
      <c r="AB338" s="906"/>
      <c r="AC338" s="906"/>
      <c r="AD338" s="906"/>
      <c r="AE338" s="906"/>
      <c r="AF338" s="906"/>
      <c r="AG338" s="906"/>
      <c r="AH338" s="906"/>
      <c r="AI338" s="906"/>
      <c r="AJ338" s="906"/>
      <c r="AK338" s="906"/>
      <c r="AL338" s="906"/>
      <c r="AM338" s="906"/>
      <c r="AN338" s="906"/>
      <c r="AO338" s="906"/>
      <c r="AP338" s="906"/>
      <c r="AQ338" s="906"/>
      <c r="AR338" s="906"/>
      <c r="AS338" s="906"/>
      <c r="AT338" s="906"/>
      <c r="AU338" s="906"/>
      <c r="AV338" s="906"/>
      <c r="AW338" s="906"/>
      <c r="AX338" s="906"/>
      <c r="AY338" s="906"/>
      <c r="AZ338" s="906"/>
      <c r="BA338" s="906"/>
      <c r="BB338" s="906"/>
      <c r="BC338" s="906"/>
      <c r="BD338" s="906"/>
      <c r="BE338" s="906"/>
      <c r="BF338" s="906"/>
      <c r="BG338" s="906"/>
      <c r="BH338" s="906"/>
      <c r="BI338" s="906"/>
      <c r="BJ338" s="906"/>
      <c r="BK338" s="906"/>
      <c r="BL338" s="906"/>
      <c r="BM338" s="906"/>
      <c r="BN338" s="906"/>
      <c r="BO338" s="906"/>
      <c r="BP338" s="906"/>
      <c r="BQ338" s="906"/>
      <c r="BR338" s="906"/>
      <c r="BS338" s="906"/>
      <c r="BT338" s="906"/>
      <c r="BU338" s="906"/>
      <c r="BV338" s="906"/>
      <c r="BW338" s="906"/>
      <c r="BX338" s="906"/>
      <c r="BY338" s="906"/>
      <c r="BZ338" s="906"/>
      <c r="CA338" s="906"/>
      <c r="CB338" s="906"/>
      <c r="CC338" s="906"/>
      <c r="CD338" s="906"/>
      <c r="CE338" s="906"/>
      <c r="CF338" s="906"/>
      <c r="CG338" s="906"/>
      <c r="CH338" s="906"/>
      <c r="CI338" s="906"/>
      <c r="CJ338" s="906"/>
      <c r="CK338" s="906"/>
      <c r="CL338" s="906"/>
      <c r="CM338" s="906"/>
      <c r="CN338" s="906"/>
      <c r="CO338" s="906"/>
      <c r="CP338" s="906"/>
      <c r="CQ338" s="906"/>
      <c r="CR338" s="906"/>
      <c r="CS338" s="906"/>
      <c r="CT338" s="906"/>
      <c r="CU338" s="906"/>
      <c r="CV338" s="906"/>
      <c r="CW338" s="906"/>
      <c r="CX338" s="906"/>
      <c r="CY338" s="906"/>
      <c r="CZ338" s="906"/>
      <c r="DA338" s="906"/>
      <c r="DB338" s="906"/>
      <c r="DC338" s="906"/>
      <c r="DD338" s="906"/>
      <c r="DE338" s="906"/>
      <c r="DF338" s="906"/>
      <c r="DG338" s="906"/>
      <c r="DH338" s="906"/>
      <c r="DI338" s="906"/>
      <c r="DJ338" s="906"/>
      <c r="DK338" s="906"/>
      <c r="DL338" s="906"/>
      <c r="DM338" s="906"/>
      <c r="DN338" s="906"/>
      <c r="DO338" s="906"/>
      <c r="DP338" s="906"/>
      <c r="DQ338" s="906"/>
      <c r="DR338" s="906"/>
      <c r="DS338" s="906"/>
    </row>
  </sheetData>
  <mergeCells count="6">
    <mergeCell ref="O1:Q1"/>
    <mergeCell ref="C5:C8"/>
    <mergeCell ref="E5:E8"/>
    <mergeCell ref="G5:J6"/>
    <mergeCell ref="K5:Q5"/>
    <mergeCell ref="I7:J7"/>
  </mergeCells>
  <phoneticPr fontId="0" type="noConversion"/>
  <dataValidations count="1">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K23:Q23 JG23:JM23 TC23:TI23 ACY23:ADE23 AMU23:ANA23 AWQ23:AWW23 BGM23:BGS23 BQI23:BQO23 CAE23:CAK23 CKA23:CKG23 CTW23:CUC23 DDS23:DDY23 DNO23:DNU23 DXK23:DXQ23 EHG23:EHM23 ERC23:ERI23 FAY23:FBE23 FKU23:FLA23 FUQ23:FUW23 GEM23:GES23 GOI23:GOO23 GYE23:GYK23 HIA23:HIG23 HRW23:HSC23 IBS23:IBY23 ILO23:ILU23 IVK23:IVQ23 JFG23:JFM23 JPC23:JPI23 JYY23:JZE23 KIU23:KJA23 KSQ23:KSW23 LCM23:LCS23 LMI23:LMO23 LWE23:LWK23 MGA23:MGG23 MPW23:MQC23 MZS23:MZY23 NJO23:NJU23 NTK23:NTQ23 ODG23:ODM23 ONC23:ONI23 OWY23:OXE23 PGU23:PHA23 PQQ23:PQW23 QAM23:QAS23 QKI23:QKO23 QUE23:QUK23 REA23:REG23 RNW23:ROC23 RXS23:RXY23 SHO23:SHU23 SRK23:SRQ23 TBG23:TBM23 TLC23:TLI23 TUY23:TVE23 UEU23:UFA23 UOQ23:UOW23 UYM23:UYS23 VII23:VIO23 VSE23:VSK23 WCA23:WCG23 WLW23:WMC23 WVS23:WVY23 K65559:Q65559 JG65559:JM65559 TC65559:TI65559 ACY65559:ADE65559 AMU65559:ANA65559 AWQ65559:AWW65559 BGM65559:BGS65559 BQI65559:BQO65559 CAE65559:CAK65559 CKA65559:CKG65559 CTW65559:CUC65559 DDS65559:DDY65559 DNO65559:DNU65559 DXK65559:DXQ65559 EHG65559:EHM65559 ERC65559:ERI65559 FAY65559:FBE65559 FKU65559:FLA65559 FUQ65559:FUW65559 GEM65559:GES65559 GOI65559:GOO65559 GYE65559:GYK65559 HIA65559:HIG65559 HRW65559:HSC65559 IBS65559:IBY65559 ILO65559:ILU65559 IVK65559:IVQ65559 JFG65559:JFM65559 JPC65559:JPI65559 JYY65559:JZE65559 KIU65559:KJA65559 KSQ65559:KSW65559 LCM65559:LCS65559 LMI65559:LMO65559 LWE65559:LWK65559 MGA65559:MGG65559 MPW65559:MQC65559 MZS65559:MZY65559 NJO65559:NJU65559 NTK65559:NTQ65559 ODG65559:ODM65559 ONC65559:ONI65559 OWY65559:OXE65559 PGU65559:PHA65559 PQQ65559:PQW65559 QAM65559:QAS65559 QKI65559:QKO65559 QUE65559:QUK65559 REA65559:REG65559 RNW65559:ROC65559 RXS65559:RXY65559 SHO65559:SHU65559 SRK65559:SRQ65559 TBG65559:TBM65559 TLC65559:TLI65559 TUY65559:TVE65559 UEU65559:UFA65559 UOQ65559:UOW65559 UYM65559:UYS65559 VII65559:VIO65559 VSE65559:VSK65559 WCA65559:WCG65559 WLW65559:WMC65559 WVS65559:WVY65559 K131095:Q131095 JG131095:JM131095 TC131095:TI131095 ACY131095:ADE131095 AMU131095:ANA131095 AWQ131095:AWW131095 BGM131095:BGS131095 BQI131095:BQO131095 CAE131095:CAK131095 CKA131095:CKG131095 CTW131095:CUC131095 DDS131095:DDY131095 DNO131095:DNU131095 DXK131095:DXQ131095 EHG131095:EHM131095 ERC131095:ERI131095 FAY131095:FBE131095 FKU131095:FLA131095 FUQ131095:FUW131095 GEM131095:GES131095 GOI131095:GOO131095 GYE131095:GYK131095 HIA131095:HIG131095 HRW131095:HSC131095 IBS131095:IBY131095 ILO131095:ILU131095 IVK131095:IVQ131095 JFG131095:JFM131095 JPC131095:JPI131095 JYY131095:JZE131095 KIU131095:KJA131095 KSQ131095:KSW131095 LCM131095:LCS131095 LMI131095:LMO131095 LWE131095:LWK131095 MGA131095:MGG131095 MPW131095:MQC131095 MZS131095:MZY131095 NJO131095:NJU131095 NTK131095:NTQ131095 ODG131095:ODM131095 ONC131095:ONI131095 OWY131095:OXE131095 PGU131095:PHA131095 PQQ131095:PQW131095 QAM131095:QAS131095 QKI131095:QKO131095 QUE131095:QUK131095 REA131095:REG131095 RNW131095:ROC131095 RXS131095:RXY131095 SHO131095:SHU131095 SRK131095:SRQ131095 TBG131095:TBM131095 TLC131095:TLI131095 TUY131095:TVE131095 UEU131095:UFA131095 UOQ131095:UOW131095 UYM131095:UYS131095 VII131095:VIO131095 VSE131095:VSK131095 WCA131095:WCG131095 WLW131095:WMC131095 WVS131095:WVY131095 K196631:Q196631 JG196631:JM196631 TC196631:TI196631 ACY196631:ADE196631 AMU196631:ANA196631 AWQ196631:AWW196631 BGM196631:BGS196631 BQI196631:BQO196631 CAE196631:CAK196631 CKA196631:CKG196631 CTW196631:CUC196631 DDS196631:DDY196631 DNO196631:DNU196631 DXK196631:DXQ196631 EHG196631:EHM196631 ERC196631:ERI196631 FAY196631:FBE196631 FKU196631:FLA196631 FUQ196631:FUW196631 GEM196631:GES196631 GOI196631:GOO196631 GYE196631:GYK196631 HIA196631:HIG196631 HRW196631:HSC196631 IBS196631:IBY196631 ILO196631:ILU196631 IVK196631:IVQ196631 JFG196631:JFM196631 JPC196631:JPI196631 JYY196631:JZE196631 KIU196631:KJA196631 KSQ196631:KSW196631 LCM196631:LCS196631 LMI196631:LMO196631 LWE196631:LWK196631 MGA196631:MGG196631 MPW196631:MQC196631 MZS196631:MZY196631 NJO196631:NJU196631 NTK196631:NTQ196631 ODG196631:ODM196631 ONC196631:ONI196631 OWY196631:OXE196631 PGU196631:PHA196631 PQQ196631:PQW196631 QAM196631:QAS196631 QKI196631:QKO196631 QUE196631:QUK196631 REA196631:REG196631 RNW196631:ROC196631 RXS196631:RXY196631 SHO196631:SHU196631 SRK196631:SRQ196631 TBG196631:TBM196631 TLC196631:TLI196631 TUY196631:TVE196631 UEU196631:UFA196631 UOQ196631:UOW196631 UYM196631:UYS196631 VII196631:VIO196631 VSE196631:VSK196631 WCA196631:WCG196631 WLW196631:WMC196631 WVS196631:WVY196631 K262167:Q262167 JG262167:JM262167 TC262167:TI262167 ACY262167:ADE262167 AMU262167:ANA262167 AWQ262167:AWW262167 BGM262167:BGS262167 BQI262167:BQO262167 CAE262167:CAK262167 CKA262167:CKG262167 CTW262167:CUC262167 DDS262167:DDY262167 DNO262167:DNU262167 DXK262167:DXQ262167 EHG262167:EHM262167 ERC262167:ERI262167 FAY262167:FBE262167 FKU262167:FLA262167 FUQ262167:FUW262167 GEM262167:GES262167 GOI262167:GOO262167 GYE262167:GYK262167 HIA262167:HIG262167 HRW262167:HSC262167 IBS262167:IBY262167 ILO262167:ILU262167 IVK262167:IVQ262167 JFG262167:JFM262167 JPC262167:JPI262167 JYY262167:JZE262167 KIU262167:KJA262167 KSQ262167:KSW262167 LCM262167:LCS262167 LMI262167:LMO262167 LWE262167:LWK262167 MGA262167:MGG262167 MPW262167:MQC262167 MZS262167:MZY262167 NJO262167:NJU262167 NTK262167:NTQ262167 ODG262167:ODM262167 ONC262167:ONI262167 OWY262167:OXE262167 PGU262167:PHA262167 PQQ262167:PQW262167 QAM262167:QAS262167 QKI262167:QKO262167 QUE262167:QUK262167 REA262167:REG262167 RNW262167:ROC262167 RXS262167:RXY262167 SHO262167:SHU262167 SRK262167:SRQ262167 TBG262167:TBM262167 TLC262167:TLI262167 TUY262167:TVE262167 UEU262167:UFA262167 UOQ262167:UOW262167 UYM262167:UYS262167 VII262167:VIO262167 VSE262167:VSK262167 WCA262167:WCG262167 WLW262167:WMC262167 WVS262167:WVY262167 K327703:Q327703 JG327703:JM327703 TC327703:TI327703 ACY327703:ADE327703 AMU327703:ANA327703 AWQ327703:AWW327703 BGM327703:BGS327703 BQI327703:BQO327703 CAE327703:CAK327703 CKA327703:CKG327703 CTW327703:CUC327703 DDS327703:DDY327703 DNO327703:DNU327703 DXK327703:DXQ327703 EHG327703:EHM327703 ERC327703:ERI327703 FAY327703:FBE327703 FKU327703:FLA327703 FUQ327703:FUW327703 GEM327703:GES327703 GOI327703:GOO327703 GYE327703:GYK327703 HIA327703:HIG327703 HRW327703:HSC327703 IBS327703:IBY327703 ILO327703:ILU327703 IVK327703:IVQ327703 JFG327703:JFM327703 JPC327703:JPI327703 JYY327703:JZE327703 KIU327703:KJA327703 KSQ327703:KSW327703 LCM327703:LCS327703 LMI327703:LMO327703 LWE327703:LWK327703 MGA327703:MGG327703 MPW327703:MQC327703 MZS327703:MZY327703 NJO327703:NJU327703 NTK327703:NTQ327703 ODG327703:ODM327703 ONC327703:ONI327703 OWY327703:OXE327703 PGU327703:PHA327703 PQQ327703:PQW327703 QAM327703:QAS327703 QKI327703:QKO327703 QUE327703:QUK327703 REA327703:REG327703 RNW327703:ROC327703 RXS327703:RXY327703 SHO327703:SHU327703 SRK327703:SRQ327703 TBG327703:TBM327703 TLC327703:TLI327703 TUY327703:TVE327703 UEU327703:UFA327703 UOQ327703:UOW327703 UYM327703:UYS327703 VII327703:VIO327703 VSE327703:VSK327703 WCA327703:WCG327703 WLW327703:WMC327703 WVS327703:WVY327703 K393239:Q393239 JG393239:JM393239 TC393239:TI393239 ACY393239:ADE393239 AMU393239:ANA393239 AWQ393239:AWW393239 BGM393239:BGS393239 BQI393239:BQO393239 CAE393239:CAK393239 CKA393239:CKG393239 CTW393239:CUC393239 DDS393239:DDY393239 DNO393239:DNU393239 DXK393239:DXQ393239 EHG393239:EHM393239 ERC393239:ERI393239 FAY393239:FBE393239 FKU393239:FLA393239 FUQ393239:FUW393239 GEM393239:GES393239 GOI393239:GOO393239 GYE393239:GYK393239 HIA393239:HIG393239 HRW393239:HSC393239 IBS393239:IBY393239 ILO393239:ILU393239 IVK393239:IVQ393239 JFG393239:JFM393239 JPC393239:JPI393239 JYY393239:JZE393239 KIU393239:KJA393239 KSQ393239:KSW393239 LCM393239:LCS393239 LMI393239:LMO393239 LWE393239:LWK393239 MGA393239:MGG393239 MPW393239:MQC393239 MZS393239:MZY393239 NJO393239:NJU393239 NTK393239:NTQ393239 ODG393239:ODM393239 ONC393239:ONI393239 OWY393239:OXE393239 PGU393239:PHA393239 PQQ393239:PQW393239 QAM393239:QAS393239 QKI393239:QKO393239 QUE393239:QUK393239 REA393239:REG393239 RNW393239:ROC393239 RXS393239:RXY393239 SHO393239:SHU393239 SRK393239:SRQ393239 TBG393239:TBM393239 TLC393239:TLI393239 TUY393239:TVE393239 UEU393239:UFA393239 UOQ393239:UOW393239 UYM393239:UYS393239 VII393239:VIO393239 VSE393239:VSK393239 WCA393239:WCG393239 WLW393239:WMC393239 WVS393239:WVY393239 K458775:Q458775 JG458775:JM458775 TC458775:TI458775 ACY458775:ADE458775 AMU458775:ANA458775 AWQ458775:AWW458775 BGM458775:BGS458775 BQI458775:BQO458775 CAE458775:CAK458775 CKA458775:CKG458775 CTW458775:CUC458775 DDS458775:DDY458775 DNO458775:DNU458775 DXK458775:DXQ458775 EHG458775:EHM458775 ERC458775:ERI458775 FAY458775:FBE458775 FKU458775:FLA458775 FUQ458775:FUW458775 GEM458775:GES458775 GOI458775:GOO458775 GYE458775:GYK458775 HIA458775:HIG458775 HRW458775:HSC458775 IBS458775:IBY458775 ILO458775:ILU458775 IVK458775:IVQ458775 JFG458775:JFM458775 JPC458775:JPI458775 JYY458775:JZE458775 KIU458775:KJA458775 KSQ458775:KSW458775 LCM458775:LCS458775 LMI458775:LMO458775 LWE458775:LWK458775 MGA458775:MGG458775 MPW458775:MQC458775 MZS458775:MZY458775 NJO458775:NJU458775 NTK458775:NTQ458775 ODG458775:ODM458775 ONC458775:ONI458775 OWY458775:OXE458775 PGU458775:PHA458775 PQQ458775:PQW458775 QAM458775:QAS458775 QKI458775:QKO458775 QUE458775:QUK458775 REA458775:REG458775 RNW458775:ROC458775 RXS458775:RXY458775 SHO458775:SHU458775 SRK458775:SRQ458775 TBG458775:TBM458775 TLC458775:TLI458775 TUY458775:TVE458775 UEU458775:UFA458775 UOQ458775:UOW458775 UYM458775:UYS458775 VII458775:VIO458775 VSE458775:VSK458775 WCA458775:WCG458775 WLW458775:WMC458775 WVS458775:WVY458775 K524311:Q524311 JG524311:JM524311 TC524311:TI524311 ACY524311:ADE524311 AMU524311:ANA524311 AWQ524311:AWW524311 BGM524311:BGS524311 BQI524311:BQO524311 CAE524311:CAK524311 CKA524311:CKG524311 CTW524311:CUC524311 DDS524311:DDY524311 DNO524311:DNU524311 DXK524311:DXQ524311 EHG524311:EHM524311 ERC524311:ERI524311 FAY524311:FBE524311 FKU524311:FLA524311 FUQ524311:FUW524311 GEM524311:GES524311 GOI524311:GOO524311 GYE524311:GYK524311 HIA524311:HIG524311 HRW524311:HSC524311 IBS524311:IBY524311 ILO524311:ILU524311 IVK524311:IVQ524311 JFG524311:JFM524311 JPC524311:JPI524311 JYY524311:JZE524311 KIU524311:KJA524311 KSQ524311:KSW524311 LCM524311:LCS524311 LMI524311:LMO524311 LWE524311:LWK524311 MGA524311:MGG524311 MPW524311:MQC524311 MZS524311:MZY524311 NJO524311:NJU524311 NTK524311:NTQ524311 ODG524311:ODM524311 ONC524311:ONI524311 OWY524311:OXE524311 PGU524311:PHA524311 PQQ524311:PQW524311 QAM524311:QAS524311 QKI524311:QKO524311 QUE524311:QUK524311 REA524311:REG524311 RNW524311:ROC524311 RXS524311:RXY524311 SHO524311:SHU524311 SRK524311:SRQ524311 TBG524311:TBM524311 TLC524311:TLI524311 TUY524311:TVE524311 UEU524311:UFA524311 UOQ524311:UOW524311 UYM524311:UYS524311 VII524311:VIO524311 VSE524311:VSK524311 WCA524311:WCG524311 WLW524311:WMC524311 WVS524311:WVY524311 K589847:Q589847 JG589847:JM589847 TC589847:TI589847 ACY589847:ADE589847 AMU589847:ANA589847 AWQ589847:AWW589847 BGM589847:BGS589847 BQI589847:BQO589847 CAE589847:CAK589847 CKA589847:CKG589847 CTW589847:CUC589847 DDS589847:DDY589847 DNO589847:DNU589847 DXK589847:DXQ589847 EHG589847:EHM589847 ERC589847:ERI589847 FAY589847:FBE589847 FKU589847:FLA589847 FUQ589847:FUW589847 GEM589847:GES589847 GOI589847:GOO589847 GYE589847:GYK589847 HIA589847:HIG589847 HRW589847:HSC589847 IBS589847:IBY589847 ILO589847:ILU589847 IVK589847:IVQ589847 JFG589847:JFM589847 JPC589847:JPI589847 JYY589847:JZE589847 KIU589847:KJA589847 KSQ589847:KSW589847 LCM589847:LCS589847 LMI589847:LMO589847 LWE589847:LWK589847 MGA589847:MGG589847 MPW589847:MQC589847 MZS589847:MZY589847 NJO589847:NJU589847 NTK589847:NTQ589847 ODG589847:ODM589847 ONC589847:ONI589847 OWY589847:OXE589847 PGU589847:PHA589847 PQQ589847:PQW589847 QAM589847:QAS589847 QKI589847:QKO589847 QUE589847:QUK589847 REA589847:REG589847 RNW589847:ROC589847 RXS589847:RXY589847 SHO589847:SHU589847 SRK589847:SRQ589847 TBG589847:TBM589847 TLC589847:TLI589847 TUY589847:TVE589847 UEU589847:UFA589847 UOQ589847:UOW589847 UYM589847:UYS589847 VII589847:VIO589847 VSE589847:VSK589847 WCA589847:WCG589847 WLW589847:WMC589847 WVS589847:WVY589847 K655383:Q655383 JG655383:JM655383 TC655383:TI655383 ACY655383:ADE655383 AMU655383:ANA655383 AWQ655383:AWW655383 BGM655383:BGS655383 BQI655383:BQO655383 CAE655383:CAK655383 CKA655383:CKG655383 CTW655383:CUC655383 DDS655383:DDY655383 DNO655383:DNU655383 DXK655383:DXQ655383 EHG655383:EHM655383 ERC655383:ERI655383 FAY655383:FBE655383 FKU655383:FLA655383 FUQ655383:FUW655383 GEM655383:GES655383 GOI655383:GOO655383 GYE655383:GYK655383 HIA655383:HIG655383 HRW655383:HSC655383 IBS655383:IBY655383 ILO655383:ILU655383 IVK655383:IVQ655383 JFG655383:JFM655383 JPC655383:JPI655383 JYY655383:JZE655383 KIU655383:KJA655383 KSQ655383:KSW655383 LCM655383:LCS655383 LMI655383:LMO655383 LWE655383:LWK655383 MGA655383:MGG655383 MPW655383:MQC655383 MZS655383:MZY655383 NJO655383:NJU655383 NTK655383:NTQ655383 ODG655383:ODM655383 ONC655383:ONI655383 OWY655383:OXE655383 PGU655383:PHA655383 PQQ655383:PQW655383 QAM655383:QAS655383 QKI655383:QKO655383 QUE655383:QUK655383 REA655383:REG655383 RNW655383:ROC655383 RXS655383:RXY655383 SHO655383:SHU655383 SRK655383:SRQ655383 TBG655383:TBM655383 TLC655383:TLI655383 TUY655383:TVE655383 UEU655383:UFA655383 UOQ655383:UOW655383 UYM655383:UYS655383 VII655383:VIO655383 VSE655383:VSK655383 WCA655383:WCG655383 WLW655383:WMC655383 WVS655383:WVY655383 K720919:Q720919 JG720919:JM720919 TC720919:TI720919 ACY720919:ADE720919 AMU720919:ANA720919 AWQ720919:AWW720919 BGM720919:BGS720919 BQI720919:BQO720919 CAE720919:CAK720919 CKA720919:CKG720919 CTW720919:CUC720919 DDS720919:DDY720919 DNO720919:DNU720919 DXK720919:DXQ720919 EHG720919:EHM720919 ERC720919:ERI720919 FAY720919:FBE720919 FKU720919:FLA720919 FUQ720919:FUW720919 GEM720919:GES720919 GOI720919:GOO720919 GYE720919:GYK720919 HIA720919:HIG720919 HRW720919:HSC720919 IBS720919:IBY720919 ILO720919:ILU720919 IVK720919:IVQ720919 JFG720919:JFM720919 JPC720919:JPI720919 JYY720919:JZE720919 KIU720919:KJA720919 KSQ720919:KSW720919 LCM720919:LCS720919 LMI720919:LMO720919 LWE720919:LWK720919 MGA720919:MGG720919 MPW720919:MQC720919 MZS720919:MZY720919 NJO720919:NJU720919 NTK720919:NTQ720919 ODG720919:ODM720919 ONC720919:ONI720919 OWY720919:OXE720919 PGU720919:PHA720919 PQQ720919:PQW720919 QAM720919:QAS720919 QKI720919:QKO720919 QUE720919:QUK720919 REA720919:REG720919 RNW720919:ROC720919 RXS720919:RXY720919 SHO720919:SHU720919 SRK720919:SRQ720919 TBG720919:TBM720919 TLC720919:TLI720919 TUY720919:TVE720919 UEU720919:UFA720919 UOQ720919:UOW720919 UYM720919:UYS720919 VII720919:VIO720919 VSE720919:VSK720919 WCA720919:WCG720919 WLW720919:WMC720919 WVS720919:WVY720919 K786455:Q786455 JG786455:JM786455 TC786455:TI786455 ACY786455:ADE786455 AMU786455:ANA786455 AWQ786455:AWW786455 BGM786455:BGS786455 BQI786455:BQO786455 CAE786455:CAK786455 CKA786455:CKG786455 CTW786455:CUC786455 DDS786455:DDY786455 DNO786455:DNU786455 DXK786455:DXQ786455 EHG786455:EHM786455 ERC786455:ERI786455 FAY786455:FBE786455 FKU786455:FLA786455 FUQ786455:FUW786455 GEM786455:GES786455 GOI786455:GOO786455 GYE786455:GYK786455 HIA786455:HIG786455 HRW786455:HSC786455 IBS786455:IBY786455 ILO786455:ILU786455 IVK786455:IVQ786455 JFG786455:JFM786455 JPC786455:JPI786455 JYY786455:JZE786455 KIU786455:KJA786455 KSQ786455:KSW786455 LCM786455:LCS786455 LMI786455:LMO786455 LWE786455:LWK786455 MGA786455:MGG786455 MPW786455:MQC786455 MZS786455:MZY786455 NJO786455:NJU786455 NTK786455:NTQ786455 ODG786455:ODM786455 ONC786455:ONI786455 OWY786455:OXE786455 PGU786455:PHA786455 PQQ786455:PQW786455 QAM786455:QAS786455 QKI786455:QKO786455 QUE786455:QUK786455 REA786455:REG786455 RNW786455:ROC786455 RXS786455:RXY786455 SHO786455:SHU786455 SRK786455:SRQ786455 TBG786455:TBM786455 TLC786455:TLI786455 TUY786455:TVE786455 UEU786455:UFA786455 UOQ786455:UOW786455 UYM786455:UYS786455 VII786455:VIO786455 VSE786455:VSK786455 WCA786455:WCG786455 WLW786455:WMC786455 WVS786455:WVY786455 K851991:Q851991 JG851991:JM851991 TC851991:TI851991 ACY851991:ADE851991 AMU851991:ANA851991 AWQ851991:AWW851991 BGM851991:BGS851991 BQI851991:BQO851991 CAE851991:CAK851991 CKA851991:CKG851991 CTW851991:CUC851991 DDS851991:DDY851991 DNO851991:DNU851991 DXK851991:DXQ851991 EHG851991:EHM851991 ERC851991:ERI851991 FAY851991:FBE851991 FKU851991:FLA851991 FUQ851991:FUW851991 GEM851991:GES851991 GOI851991:GOO851991 GYE851991:GYK851991 HIA851991:HIG851991 HRW851991:HSC851991 IBS851991:IBY851991 ILO851991:ILU851991 IVK851991:IVQ851991 JFG851991:JFM851991 JPC851991:JPI851991 JYY851991:JZE851991 KIU851991:KJA851991 KSQ851991:KSW851991 LCM851991:LCS851991 LMI851991:LMO851991 LWE851991:LWK851991 MGA851991:MGG851991 MPW851991:MQC851991 MZS851991:MZY851991 NJO851991:NJU851991 NTK851991:NTQ851991 ODG851991:ODM851991 ONC851991:ONI851991 OWY851991:OXE851991 PGU851991:PHA851991 PQQ851991:PQW851991 QAM851991:QAS851991 QKI851991:QKO851991 QUE851991:QUK851991 REA851991:REG851991 RNW851991:ROC851991 RXS851991:RXY851991 SHO851991:SHU851991 SRK851991:SRQ851991 TBG851991:TBM851991 TLC851991:TLI851991 TUY851991:TVE851991 UEU851991:UFA851991 UOQ851991:UOW851991 UYM851991:UYS851991 VII851991:VIO851991 VSE851991:VSK851991 WCA851991:WCG851991 WLW851991:WMC851991 WVS851991:WVY851991 K917527:Q917527 JG917527:JM917527 TC917527:TI917527 ACY917527:ADE917527 AMU917527:ANA917527 AWQ917527:AWW917527 BGM917527:BGS917527 BQI917527:BQO917527 CAE917527:CAK917527 CKA917527:CKG917527 CTW917527:CUC917527 DDS917527:DDY917527 DNO917527:DNU917527 DXK917527:DXQ917527 EHG917527:EHM917527 ERC917527:ERI917527 FAY917527:FBE917527 FKU917527:FLA917527 FUQ917527:FUW917527 GEM917527:GES917527 GOI917527:GOO917527 GYE917527:GYK917527 HIA917527:HIG917527 HRW917527:HSC917527 IBS917527:IBY917527 ILO917527:ILU917527 IVK917527:IVQ917527 JFG917527:JFM917527 JPC917527:JPI917527 JYY917527:JZE917527 KIU917527:KJA917527 KSQ917527:KSW917527 LCM917527:LCS917527 LMI917527:LMO917527 LWE917527:LWK917527 MGA917527:MGG917527 MPW917527:MQC917527 MZS917527:MZY917527 NJO917527:NJU917527 NTK917527:NTQ917527 ODG917527:ODM917527 ONC917527:ONI917527 OWY917527:OXE917527 PGU917527:PHA917527 PQQ917527:PQW917527 QAM917527:QAS917527 QKI917527:QKO917527 QUE917527:QUK917527 REA917527:REG917527 RNW917527:ROC917527 RXS917527:RXY917527 SHO917527:SHU917527 SRK917527:SRQ917527 TBG917527:TBM917527 TLC917527:TLI917527 TUY917527:TVE917527 UEU917527:UFA917527 UOQ917527:UOW917527 UYM917527:UYS917527 VII917527:VIO917527 VSE917527:VSK917527 WCA917527:WCG917527 WLW917527:WMC917527 WVS917527:WVY917527 K983063:Q983063 JG983063:JM983063 TC983063:TI983063 ACY983063:ADE983063 AMU983063:ANA983063 AWQ983063:AWW983063 BGM983063:BGS983063 BQI983063:BQO983063 CAE983063:CAK983063 CKA983063:CKG983063 CTW983063:CUC983063 DDS983063:DDY983063 DNO983063:DNU983063 DXK983063:DXQ983063 EHG983063:EHM983063 ERC983063:ERI983063 FAY983063:FBE983063 FKU983063:FLA983063 FUQ983063:FUW983063 GEM983063:GES983063 GOI983063:GOO983063 GYE983063:GYK983063 HIA983063:HIG983063 HRW983063:HSC983063 IBS983063:IBY983063 ILO983063:ILU983063 IVK983063:IVQ983063 JFG983063:JFM983063 JPC983063:JPI983063 JYY983063:JZE983063 KIU983063:KJA983063 KSQ983063:KSW983063 LCM983063:LCS983063 LMI983063:LMO983063 LWE983063:LWK983063 MGA983063:MGG983063 MPW983063:MQC983063 MZS983063:MZY983063 NJO983063:NJU983063 NTK983063:NTQ983063 ODG983063:ODM983063 ONC983063:ONI983063 OWY983063:OXE983063 PGU983063:PHA983063 PQQ983063:PQW983063 QAM983063:QAS983063 QKI983063:QKO983063 QUE983063:QUK983063 REA983063:REG983063 RNW983063:ROC983063 RXS983063:RXY983063 SHO983063:SHU983063 SRK983063:SRQ983063 TBG983063:TBM983063 TLC983063:TLI983063 TUY983063:TVE983063 UEU983063:UFA983063 UOQ983063:UOW983063 UYM983063:UYS983063 VII983063:VIO983063 VSE983063:VSK983063 WCA983063:WCG983063 WLW983063:WMC983063 WVS983063:WVY983063 E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47 JA65547 SW65547 ACS65547 AMO65547 AWK65547 BGG65547 BQC65547 BZY65547 CJU65547 CTQ65547 DDM65547 DNI65547 DXE65547 EHA65547 EQW65547 FAS65547 FKO65547 FUK65547 GEG65547 GOC65547 GXY65547 HHU65547 HRQ65547 IBM65547 ILI65547 IVE65547 JFA65547 JOW65547 JYS65547 KIO65547 KSK65547 LCG65547 LMC65547 LVY65547 MFU65547 MPQ65547 MZM65547 NJI65547 NTE65547 ODA65547 OMW65547 OWS65547 PGO65547 PQK65547 QAG65547 QKC65547 QTY65547 RDU65547 RNQ65547 RXM65547 SHI65547 SRE65547 TBA65547 TKW65547 TUS65547 UEO65547 UOK65547 UYG65547 VIC65547 VRY65547 WBU65547 WLQ65547 WVM65547 E131083 JA131083 SW131083 ACS131083 AMO131083 AWK131083 BGG131083 BQC131083 BZY131083 CJU131083 CTQ131083 DDM131083 DNI131083 DXE131083 EHA131083 EQW131083 FAS131083 FKO131083 FUK131083 GEG131083 GOC131083 GXY131083 HHU131083 HRQ131083 IBM131083 ILI131083 IVE131083 JFA131083 JOW131083 JYS131083 KIO131083 KSK131083 LCG131083 LMC131083 LVY131083 MFU131083 MPQ131083 MZM131083 NJI131083 NTE131083 ODA131083 OMW131083 OWS131083 PGO131083 PQK131083 QAG131083 QKC131083 QTY131083 RDU131083 RNQ131083 RXM131083 SHI131083 SRE131083 TBA131083 TKW131083 TUS131083 UEO131083 UOK131083 UYG131083 VIC131083 VRY131083 WBU131083 WLQ131083 WVM131083 E196619 JA196619 SW196619 ACS196619 AMO196619 AWK196619 BGG196619 BQC196619 BZY196619 CJU196619 CTQ196619 DDM196619 DNI196619 DXE196619 EHA196619 EQW196619 FAS196619 FKO196619 FUK196619 GEG196619 GOC196619 GXY196619 HHU196619 HRQ196619 IBM196619 ILI196619 IVE196619 JFA196619 JOW196619 JYS196619 KIO196619 KSK196619 LCG196619 LMC196619 LVY196619 MFU196619 MPQ196619 MZM196619 NJI196619 NTE196619 ODA196619 OMW196619 OWS196619 PGO196619 PQK196619 QAG196619 QKC196619 QTY196619 RDU196619 RNQ196619 RXM196619 SHI196619 SRE196619 TBA196619 TKW196619 TUS196619 UEO196619 UOK196619 UYG196619 VIC196619 VRY196619 WBU196619 WLQ196619 WVM196619 E262155 JA262155 SW262155 ACS262155 AMO262155 AWK262155 BGG262155 BQC262155 BZY262155 CJU262155 CTQ262155 DDM262155 DNI262155 DXE262155 EHA262155 EQW262155 FAS262155 FKO262155 FUK262155 GEG262155 GOC262155 GXY262155 HHU262155 HRQ262155 IBM262155 ILI262155 IVE262155 JFA262155 JOW262155 JYS262155 KIO262155 KSK262155 LCG262155 LMC262155 LVY262155 MFU262155 MPQ262155 MZM262155 NJI262155 NTE262155 ODA262155 OMW262155 OWS262155 PGO262155 PQK262155 QAG262155 QKC262155 QTY262155 RDU262155 RNQ262155 RXM262155 SHI262155 SRE262155 TBA262155 TKW262155 TUS262155 UEO262155 UOK262155 UYG262155 VIC262155 VRY262155 WBU262155 WLQ262155 WVM262155 E327691 JA327691 SW327691 ACS327691 AMO327691 AWK327691 BGG327691 BQC327691 BZY327691 CJU327691 CTQ327691 DDM327691 DNI327691 DXE327691 EHA327691 EQW327691 FAS327691 FKO327691 FUK327691 GEG327691 GOC327691 GXY327691 HHU327691 HRQ327691 IBM327691 ILI327691 IVE327691 JFA327691 JOW327691 JYS327691 KIO327691 KSK327691 LCG327691 LMC327691 LVY327691 MFU327691 MPQ327691 MZM327691 NJI327691 NTE327691 ODA327691 OMW327691 OWS327691 PGO327691 PQK327691 QAG327691 QKC327691 QTY327691 RDU327691 RNQ327691 RXM327691 SHI327691 SRE327691 TBA327691 TKW327691 TUS327691 UEO327691 UOK327691 UYG327691 VIC327691 VRY327691 WBU327691 WLQ327691 WVM327691 E393227 JA393227 SW393227 ACS393227 AMO393227 AWK393227 BGG393227 BQC393227 BZY393227 CJU393227 CTQ393227 DDM393227 DNI393227 DXE393227 EHA393227 EQW393227 FAS393227 FKO393227 FUK393227 GEG393227 GOC393227 GXY393227 HHU393227 HRQ393227 IBM393227 ILI393227 IVE393227 JFA393227 JOW393227 JYS393227 KIO393227 KSK393227 LCG393227 LMC393227 LVY393227 MFU393227 MPQ393227 MZM393227 NJI393227 NTE393227 ODA393227 OMW393227 OWS393227 PGO393227 PQK393227 QAG393227 QKC393227 QTY393227 RDU393227 RNQ393227 RXM393227 SHI393227 SRE393227 TBA393227 TKW393227 TUS393227 UEO393227 UOK393227 UYG393227 VIC393227 VRY393227 WBU393227 WLQ393227 WVM393227 E458763 JA458763 SW458763 ACS458763 AMO458763 AWK458763 BGG458763 BQC458763 BZY458763 CJU458763 CTQ458763 DDM458763 DNI458763 DXE458763 EHA458763 EQW458763 FAS458763 FKO458763 FUK458763 GEG458763 GOC458763 GXY458763 HHU458763 HRQ458763 IBM458763 ILI458763 IVE458763 JFA458763 JOW458763 JYS458763 KIO458763 KSK458763 LCG458763 LMC458763 LVY458763 MFU458763 MPQ458763 MZM458763 NJI458763 NTE458763 ODA458763 OMW458763 OWS458763 PGO458763 PQK458763 QAG458763 QKC458763 QTY458763 RDU458763 RNQ458763 RXM458763 SHI458763 SRE458763 TBA458763 TKW458763 TUS458763 UEO458763 UOK458763 UYG458763 VIC458763 VRY458763 WBU458763 WLQ458763 WVM458763 E524299 JA524299 SW524299 ACS524299 AMO524299 AWK524299 BGG524299 BQC524299 BZY524299 CJU524299 CTQ524299 DDM524299 DNI524299 DXE524299 EHA524299 EQW524299 FAS524299 FKO524299 FUK524299 GEG524299 GOC524299 GXY524299 HHU524299 HRQ524299 IBM524299 ILI524299 IVE524299 JFA524299 JOW524299 JYS524299 KIO524299 KSK524299 LCG524299 LMC524299 LVY524299 MFU524299 MPQ524299 MZM524299 NJI524299 NTE524299 ODA524299 OMW524299 OWS524299 PGO524299 PQK524299 QAG524299 QKC524299 QTY524299 RDU524299 RNQ524299 RXM524299 SHI524299 SRE524299 TBA524299 TKW524299 TUS524299 UEO524299 UOK524299 UYG524299 VIC524299 VRY524299 WBU524299 WLQ524299 WVM524299 E589835 JA589835 SW589835 ACS589835 AMO589835 AWK589835 BGG589835 BQC589835 BZY589835 CJU589835 CTQ589835 DDM589835 DNI589835 DXE589835 EHA589835 EQW589835 FAS589835 FKO589835 FUK589835 GEG589835 GOC589835 GXY589835 HHU589835 HRQ589835 IBM589835 ILI589835 IVE589835 JFA589835 JOW589835 JYS589835 KIO589835 KSK589835 LCG589835 LMC589835 LVY589835 MFU589835 MPQ589835 MZM589835 NJI589835 NTE589835 ODA589835 OMW589835 OWS589835 PGO589835 PQK589835 QAG589835 QKC589835 QTY589835 RDU589835 RNQ589835 RXM589835 SHI589835 SRE589835 TBA589835 TKW589835 TUS589835 UEO589835 UOK589835 UYG589835 VIC589835 VRY589835 WBU589835 WLQ589835 WVM589835 E655371 JA655371 SW655371 ACS655371 AMO655371 AWK655371 BGG655371 BQC655371 BZY655371 CJU655371 CTQ655371 DDM655371 DNI655371 DXE655371 EHA655371 EQW655371 FAS655371 FKO655371 FUK655371 GEG655371 GOC655371 GXY655371 HHU655371 HRQ655371 IBM655371 ILI655371 IVE655371 JFA655371 JOW655371 JYS655371 KIO655371 KSK655371 LCG655371 LMC655371 LVY655371 MFU655371 MPQ655371 MZM655371 NJI655371 NTE655371 ODA655371 OMW655371 OWS655371 PGO655371 PQK655371 QAG655371 QKC655371 QTY655371 RDU655371 RNQ655371 RXM655371 SHI655371 SRE655371 TBA655371 TKW655371 TUS655371 UEO655371 UOK655371 UYG655371 VIC655371 VRY655371 WBU655371 WLQ655371 WVM655371 E720907 JA720907 SW720907 ACS720907 AMO720907 AWK720907 BGG720907 BQC720907 BZY720907 CJU720907 CTQ720907 DDM720907 DNI720907 DXE720907 EHA720907 EQW720907 FAS720907 FKO720907 FUK720907 GEG720907 GOC720907 GXY720907 HHU720907 HRQ720907 IBM720907 ILI720907 IVE720907 JFA720907 JOW720907 JYS720907 KIO720907 KSK720907 LCG720907 LMC720907 LVY720907 MFU720907 MPQ720907 MZM720907 NJI720907 NTE720907 ODA720907 OMW720907 OWS720907 PGO720907 PQK720907 QAG720907 QKC720907 QTY720907 RDU720907 RNQ720907 RXM720907 SHI720907 SRE720907 TBA720907 TKW720907 TUS720907 UEO720907 UOK720907 UYG720907 VIC720907 VRY720907 WBU720907 WLQ720907 WVM720907 E786443 JA786443 SW786443 ACS786443 AMO786443 AWK786443 BGG786443 BQC786443 BZY786443 CJU786443 CTQ786443 DDM786443 DNI786443 DXE786443 EHA786443 EQW786443 FAS786443 FKO786443 FUK786443 GEG786443 GOC786443 GXY786443 HHU786443 HRQ786443 IBM786443 ILI786443 IVE786443 JFA786443 JOW786443 JYS786443 KIO786443 KSK786443 LCG786443 LMC786443 LVY786443 MFU786443 MPQ786443 MZM786443 NJI786443 NTE786443 ODA786443 OMW786443 OWS786443 PGO786443 PQK786443 QAG786443 QKC786443 QTY786443 RDU786443 RNQ786443 RXM786443 SHI786443 SRE786443 TBA786443 TKW786443 TUS786443 UEO786443 UOK786443 UYG786443 VIC786443 VRY786443 WBU786443 WLQ786443 WVM786443 E851979 JA851979 SW851979 ACS851979 AMO851979 AWK851979 BGG851979 BQC851979 BZY851979 CJU851979 CTQ851979 DDM851979 DNI851979 DXE851979 EHA851979 EQW851979 FAS851979 FKO851979 FUK851979 GEG851979 GOC851979 GXY851979 HHU851979 HRQ851979 IBM851979 ILI851979 IVE851979 JFA851979 JOW851979 JYS851979 KIO851979 KSK851979 LCG851979 LMC851979 LVY851979 MFU851979 MPQ851979 MZM851979 NJI851979 NTE851979 ODA851979 OMW851979 OWS851979 PGO851979 PQK851979 QAG851979 QKC851979 QTY851979 RDU851979 RNQ851979 RXM851979 SHI851979 SRE851979 TBA851979 TKW851979 TUS851979 UEO851979 UOK851979 UYG851979 VIC851979 VRY851979 WBU851979 WLQ851979 WVM851979 E917515 JA917515 SW917515 ACS917515 AMO917515 AWK917515 BGG917515 BQC917515 BZY917515 CJU917515 CTQ917515 DDM917515 DNI917515 DXE917515 EHA917515 EQW917515 FAS917515 FKO917515 FUK917515 GEG917515 GOC917515 GXY917515 HHU917515 HRQ917515 IBM917515 ILI917515 IVE917515 JFA917515 JOW917515 JYS917515 KIO917515 KSK917515 LCG917515 LMC917515 LVY917515 MFU917515 MPQ917515 MZM917515 NJI917515 NTE917515 ODA917515 OMW917515 OWS917515 PGO917515 PQK917515 QAG917515 QKC917515 QTY917515 RDU917515 RNQ917515 RXM917515 SHI917515 SRE917515 TBA917515 TKW917515 TUS917515 UEO917515 UOK917515 UYG917515 VIC917515 VRY917515 WBU917515 WLQ917515 WVM917515 E983051 JA983051 SW983051 ACS983051 AMO983051 AWK983051 BGG983051 BQC983051 BZY983051 CJU983051 CTQ983051 DDM983051 DNI983051 DXE983051 EHA983051 EQW983051 FAS983051 FKO983051 FUK983051 GEG983051 GOC983051 GXY983051 HHU983051 HRQ983051 IBM983051 ILI983051 IVE983051 JFA983051 JOW983051 JYS983051 KIO983051 KSK983051 LCG983051 LMC983051 LVY983051 MFU983051 MPQ983051 MZM983051 NJI983051 NTE983051 ODA983051 OMW983051 OWS983051 PGO983051 PQK983051 QAG983051 QKC983051 QTY983051 RDU983051 RNQ983051 RXM983051 SHI983051 SRE983051 TBA983051 TKW983051 TUS983051 UEO983051 UOK983051 UYG983051 VIC983051 VRY983051 WBU983051 WLQ983051 WVM983051 K11:Q11 JG11:JM11 TC11:TI11 ACY11:ADE11 AMU11:ANA11 AWQ11:AWW11 BGM11:BGS11 BQI11:BQO11 CAE11:CAK11 CKA11:CKG11 CTW11:CUC11 DDS11:DDY11 DNO11:DNU11 DXK11:DXQ11 EHG11:EHM11 ERC11:ERI11 FAY11:FBE11 FKU11:FLA11 FUQ11:FUW11 GEM11:GES11 GOI11:GOO11 GYE11:GYK11 HIA11:HIG11 HRW11:HSC11 IBS11:IBY11 ILO11:ILU11 IVK11:IVQ11 JFG11:JFM11 JPC11:JPI11 JYY11:JZE11 KIU11:KJA11 KSQ11:KSW11 LCM11:LCS11 LMI11:LMO11 LWE11:LWK11 MGA11:MGG11 MPW11:MQC11 MZS11:MZY11 NJO11:NJU11 NTK11:NTQ11 ODG11:ODM11 ONC11:ONI11 OWY11:OXE11 PGU11:PHA11 PQQ11:PQW11 QAM11:QAS11 QKI11:QKO11 QUE11:QUK11 REA11:REG11 RNW11:ROC11 RXS11:RXY11 SHO11:SHU11 SRK11:SRQ11 TBG11:TBM11 TLC11:TLI11 TUY11:TVE11 UEU11:UFA11 UOQ11:UOW11 UYM11:UYS11 VII11:VIO11 VSE11:VSK11 WCA11:WCG11 WLW11:WMC11 WVS11:WVY11 K65547:Q65547 JG65547:JM65547 TC65547:TI65547 ACY65547:ADE65547 AMU65547:ANA65547 AWQ65547:AWW65547 BGM65547:BGS65547 BQI65547:BQO65547 CAE65547:CAK65547 CKA65547:CKG65547 CTW65547:CUC65547 DDS65547:DDY65547 DNO65547:DNU65547 DXK65547:DXQ65547 EHG65547:EHM65547 ERC65547:ERI65547 FAY65547:FBE65547 FKU65547:FLA65547 FUQ65547:FUW65547 GEM65547:GES65547 GOI65547:GOO65547 GYE65547:GYK65547 HIA65547:HIG65547 HRW65547:HSC65547 IBS65547:IBY65547 ILO65547:ILU65547 IVK65547:IVQ65547 JFG65547:JFM65547 JPC65547:JPI65547 JYY65547:JZE65547 KIU65547:KJA65547 KSQ65547:KSW65547 LCM65547:LCS65547 LMI65547:LMO65547 LWE65547:LWK65547 MGA65547:MGG65547 MPW65547:MQC65547 MZS65547:MZY65547 NJO65547:NJU65547 NTK65547:NTQ65547 ODG65547:ODM65547 ONC65547:ONI65547 OWY65547:OXE65547 PGU65547:PHA65547 PQQ65547:PQW65547 QAM65547:QAS65547 QKI65547:QKO65547 QUE65547:QUK65547 REA65547:REG65547 RNW65547:ROC65547 RXS65547:RXY65547 SHO65547:SHU65547 SRK65547:SRQ65547 TBG65547:TBM65547 TLC65547:TLI65547 TUY65547:TVE65547 UEU65547:UFA65547 UOQ65547:UOW65547 UYM65547:UYS65547 VII65547:VIO65547 VSE65547:VSK65547 WCA65547:WCG65547 WLW65547:WMC65547 WVS65547:WVY65547 K131083:Q131083 JG131083:JM131083 TC131083:TI131083 ACY131083:ADE131083 AMU131083:ANA131083 AWQ131083:AWW131083 BGM131083:BGS131083 BQI131083:BQO131083 CAE131083:CAK131083 CKA131083:CKG131083 CTW131083:CUC131083 DDS131083:DDY131083 DNO131083:DNU131083 DXK131083:DXQ131083 EHG131083:EHM131083 ERC131083:ERI131083 FAY131083:FBE131083 FKU131083:FLA131083 FUQ131083:FUW131083 GEM131083:GES131083 GOI131083:GOO131083 GYE131083:GYK131083 HIA131083:HIG131083 HRW131083:HSC131083 IBS131083:IBY131083 ILO131083:ILU131083 IVK131083:IVQ131083 JFG131083:JFM131083 JPC131083:JPI131083 JYY131083:JZE131083 KIU131083:KJA131083 KSQ131083:KSW131083 LCM131083:LCS131083 LMI131083:LMO131083 LWE131083:LWK131083 MGA131083:MGG131083 MPW131083:MQC131083 MZS131083:MZY131083 NJO131083:NJU131083 NTK131083:NTQ131083 ODG131083:ODM131083 ONC131083:ONI131083 OWY131083:OXE131083 PGU131083:PHA131083 PQQ131083:PQW131083 QAM131083:QAS131083 QKI131083:QKO131083 QUE131083:QUK131083 REA131083:REG131083 RNW131083:ROC131083 RXS131083:RXY131083 SHO131083:SHU131083 SRK131083:SRQ131083 TBG131083:TBM131083 TLC131083:TLI131083 TUY131083:TVE131083 UEU131083:UFA131083 UOQ131083:UOW131083 UYM131083:UYS131083 VII131083:VIO131083 VSE131083:VSK131083 WCA131083:WCG131083 WLW131083:WMC131083 WVS131083:WVY131083 K196619:Q196619 JG196619:JM196619 TC196619:TI196619 ACY196619:ADE196619 AMU196619:ANA196619 AWQ196619:AWW196619 BGM196619:BGS196619 BQI196619:BQO196619 CAE196619:CAK196619 CKA196619:CKG196619 CTW196619:CUC196619 DDS196619:DDY196619 DNO196619:DNU196619 DXK196619:DXQ196619 EHG196619:EHM196619 ERC196619:ERI196619 FAY196619:FBE196619 FKU196619:FLA196619 FUQ196619:FUW196619 GEM196619:GES196619 GOI196619:GOO196619 GYE196619:GYK196619 HIA196619:HIG196619 HRW196619:HSC196619 IBS196619:IBY196619 ILO196619:ILU196619 IVK196619:IVQ196619 JFG196619:JFM196619 JPC196619:JPI196619 JYY196619:JZE196619 KIU196619:KJA196619 KSQ196619:KSW196619 LCM196619:LCS196619 LMI196619:LMO196619 LWE196619:LWK196619 MGA196619:MGG196619 MPW196619:MQC196619 MZS196619:MZY196619 NJO196619:NJU196619 NTK196619:NTQ196619 ODG196619:ODM196619 ONC196619:ONI196619 OWY196619:OXE196619 PGU196619:PHA196619 PQQ196619:PQW196619 QAM196619:QAS196619 QKI196619:QKO196619 QUE196619:QUK196619 REA196619:REG196619 RNW196619:ROC196619 RXS196619:RXY196619 SHO196619:SHU196619 SRK196619:SRQ196619 TBG196619:TBM196619 TLC196619:TLI196619 TUY196619:TVE196619 UEU196619:UFA196619 UOQ196619:UOW196619 UYM196619:UYS196619 VII196619:VIO196619 VSE196619:VSK196619 WCA196619:WCG196619 WLW196619:WMC196619 WVS196619:WVY196619 K262155:Q262155 JG262155:JM262155 TC262155:TI262155 ACY262155:ADE262155 AMU262155:ANA262155 AWQ262155:AWW262155 BGM262155:BGS262155 BQI262155:BQO262155 CAE262155:CAK262155 CKA262155:CKG262155 CTW262155:CUC262155 DDS262155:DDY262155 DNO262155:DNU262155 DXK262155:DXQ262155 EHG262155:EHM262155 ERC262155:ERI262155 FAY262155:FBE262155 FKU262155:FLA262155 FUQ262155:FUW262155 GEM262155:GES262155 GOI262155:GOO262155 GYE262155:GYK262155 HIA262155:HIG262155 HRW262155:HSC262155 IBS262155:IBY262155 ILO262155:ILU262155 IVK262155:IVQ262155 JFG262155:JFM262155 JPC262155:JPI262155 JYY262155:JZE262155 KIU262155:KJA262155 KSQ262155:KSW262155 LCM262155:LCS262155 LMI262155:LMO262155 LWE262155:LWK262155 MGA262155:MGG262155 MPW262155:MQC262155 MZS262155:MZY262155 NJO262155:NJU262155 NTK262155:NTQ262155 ODG262155:ODM262155 ONC262155:ONI262155 OWY262155:OXE262155 PGU262155:PHA262155 PQQ262155:PQW262155 QAM262155:QAS262155 QKI262155:QKO262155 QUE262155:QUK262155 REA262155:REG262155 RNW262155:ROC262155 RXS262155:RXY262155 SHO262155:SHU262155 SRK262155:SRQ262155 TBG262155:TBM262155 TLC262155:TLI262155 TUY262155:TVE262155 UEU262155:UFA262155 UOQ262155:UOW262155 UYM262155:UYS262155 VII262155:VIO262155 VSE262155:VSK262155 WCA262155:WCG262155 WLW262155:WMC262155 WVS262155:WVY262155 K327691:Q327691 JG327691:JM327691 TC327691:TI327691 ACY327691:ADE327691 AMU327691:ANA327691 AWQ327691:AWW327691 BGM327691:BGS327691 BQI327691:BQO327691 CAE327691:CAK327691 CKA327691:CKG327691 CTW327691:CUC327691 DDS327691:DDY327691 DNO327691:DNU327691 DXK327691:DXQ327691 EHG327691:EHM327691 ERC327691:ERI327691 FAY327691:FBE327691 FKU327691:FLA327691 FUQ327691:FUW327691 GEM327691:GES327691 GOI327691:GOO327691 GYE327691:GYK327691 HIA327691:HIG327691 HRW327691:HSC327691 IBS327691:IBY327691 ILO327691:ILU327691 IVK327691:IVQ327691 JFG327691:JFM327691 JPC327691:JPI327691 JYY327691:JZE327691 KIU327691:KJA327691 KSQ327691:KSW327691 LCM327691:LCS327691 LMI327691:LMO327691 LWE327691:LWK327691 MGA327691:MGG327691 MPW327691:MQC327691 MZS327691:MZY327691 NJO327691:NJU327691 NTK327691:NTQ327691 ODG327691:ODM327691 ONC327691:ONI327691 OWY327691:OXE327691 PGU327691:PHA327691 PQQ327691:PQW327691 QAM327691:QAS327691 QKI327691:QKO327691 QUE327691:QUK327691 REA327691:REG327691 RNW327691:ROC327691 RXS327691:RXY327691 SHO327691:SHU327691 SRK327691:SRQ327691 TBG327691:TBM327691 TLC327691:TLI327691 TUY327691:TVE327691 UEU327691:UFA327691 UOQ327691:UOW327691 UYM327691:UYS327691 VII327691:VIO327691 VSE327691:VSK327691 WCA327691:WCG327691 WLW327691:WMC327691 WVS327691:WVY327691 K393227:Q393227 JG393227:JM393227 TC393227:TI393227 ACY393227:ADE393227 AMU393227:ANA393227 AWQ393227:AWW393227 BGM393227:BGS393227 BQI393227:BQO393227 CAE393227:CAK393227 CKA393227:CKG393227 CTW393227:CUC393227 DDS393227:DDY393227 DNO393227:DNU393227 DXK393227:DXQ393227 EHG393227:EHM393227 ERC393227:ERI393227 FAY393227:FBE393227 FKU393227:FLA393227 FUQ393227:FUW393227 GEM393227:GES393227 GOI393227:GOO393227 GYE393227:GYK393227 HIA393227:HIG393227 HRW393227:HSC393227 IBS393227:IBY393227 ILO393227:ILU393227 IVK393227:IVQ393227 JFG393227:JFM393227 JPC393227:JPI393227 JYY393227:JZE393227 KIU393227:KJA393227 KSQ393227:KSW393227 LCM393227:LCS393227 LMI393227:LMO393227 LWE393227:LWK393227 MGA393227:MGG393227 MPW393227:MQC393227 MZS393227:MZY393227 NJO393227:NJU393227 NTK393227:NTQ393227 ODG393227:ODM393227 ONC393227:ONI393227 OWY393227:OXE393227 PGU393227:PHA393227 PQQ393227:PQW393227 QAM393227:QAS393227 QKI393227:QKO393227 QUE393227:QUK393227 REA393227:REG393227 RNW393227:ROC393227 RXS393227:RXY393227 SHO393227:SHU393227 SRK393227:SRQ393227 TBG393227:TBM393227 TLC393227:TLI393227 TUY393227:TVE393227 UEU393227:UFA393227 UOQ393227:UOW393227 UYM393227:UYS393227 VII393227:VIO393227 VSE393227:VSK393227 WCA393227:WCG393227 WLW393227:WMC393227 WVS393227:WVY393227 K458763:Q458763 JG458763:JM458763 TC458763:TI458763 ACY458763:ADE458763 AMU458763:ANA458763 AWQ458763:AWW458763 BGM458763:BGS458763 BQI458763:BQO458763 CAE458763:CAK458763 CKA458763:CKG458763 CTW458763:CUC458763 DDS458763:DDY458763 DNO458763:DNU458763 DXK458763:DXQ458763 EHG458763:EHM458763 ERC458763:ERI458763 FAY458763:FBE458763 FKU458763:FLA458763 FUQ458763:FUW458763 GEM458763:GES458763 GOI458763:GOO458763 GYE458763:GYK458763 HIA458763:HIG458763 HRW458763:HSC458763 IBS458763:IBY458763 ILO458763:ILU458763 IVK458763:IVQ458763 JFG458763:JFM458763 JPC458763:JPI458763 JYY458763:JZE458763 KIU458763:KJA458763 KSQ458763:KSW458763 LCM458763:LCS458763 LMI458763:LMO458763 LWE458763:LWK458763 MGA458763:MGG458763 MPW458763:MQC458763 MZS458763:MZY458763 NJO458763:NJU458763 NTK458763:NTQ458763 ODG458763:ODM458763 ONC458763:ONI458763 OWY458763:OXE458763 PGU458763:PHA458763 PQQ458763:PQW458763 QAM458763:QAS458763 QKI458763:QKO458763 QUE458763:QUK458763 REA458763:REG458763 RNW458763:ROC458763 RXS458763:RXY458763 SHO458763:SHU458763 SRK458763:SRQ458763 TBG458763:TBM458763 TLC458763:TLI458763 TUY458763:TVE458763 UEU458763:UFA458763 UOQ458763:UOW458763 UYM458763:UYS458763 VII458763:VIO458763 VSE458763:VSK458763 WCA458763:WCG458763 WLW458763:WMC458763 WVS458763:WVY458763 K524299:Q524299 JG524299:JM524299 TC524299:TI524299 ACY524299:ADE524299 AMU524299:ANA524299 AWQ524299:AWW524299 BGM524299:BGS524299 BQI524299:BQO524299 CAE524299:CAK524299 CKA524299:CKG524299 CTW524299:CUC524299 DDS524299:DDY524299 DNO524299:DNU524299 DXK524299:DXQ524299 EHG524299:EHM524299 ERC524299:ERI524299 FAY524299:FBE524299 FKU524299:FLA524299 FUQ524299:FUW524299 GEM524299:GES524299 GOI524299:GOO524299 GYE524299:GYK524299 HIA524299:HIG524299 HRW524299:HSC524299 IBS524299:IBY524299 ILO524299:ILU524299 IVK524299:IVQ524299 JFG524299:JFM524299 JPC524299:JPI524299 JYY524299:JZE524299 KIU524299:KJA524299 KSQ524299:KSW524299 LCM524299:LCS524299 LMI524299:LMO524299 LWE524299:LWK524299 MGA524299:MGG524299 MPW524299:MQC524299 MZS524299:MZY524299 NJO524299:NJU524299 NTK524299:NTQ524299 ODG524299:ODM524299 ONC524299:ONI524299 OWY524299:OXE524299 PGU524299:PHA524299 PQQ524299:PQW524299 QAM524299:QAS524299 QKI524299:QKO524299 QUE524299:QUK524299 REA524299:REG524299 RNW524299:ROC524299 RXS524299:RXY524299 SHO524299:SHU524299 SRK524299:SRQ524299 TBG524299:TBM524299 TLC524299:TLI524299 TUY524299:TVE524299 UEU524299:UFA524299 UOQ524299:UOW524299 UYM524299:UYS524299 VII524299:VIO524299 VSE524299:VSK524299 WCA524299:WCG524299 WLW524299:WMC524299 WVS524299:WVY524299 K589835:Q589835 JG589835:JM589835 TC589835:TI589835 ACY589835:ADE589835 AMU589835:ANA589835 AWQ589835:AWW589835 BGM589835:BGS589835 BQI589835:BQO589835 CAE589835:CAK589835 CKA589835:CKG589835 CTW589835:CUC589835 DDS589835:DDY589835 DNO589835:DNU589835 DXK589835:DXQ589835 EHG589835:EHM589835 ERC589835:ERI589835 FAY589835:FBE589835 FKU589835:FLA589835 FUQ589835:FUW589835 GEM589835:GES589835 GOI589835:GOO589835 GYE589835:GYK589835 HIA589835:HIG589835 HRW589835:HSC589835 IBS589835:IBY589835 ILO589835:ILU589835 IVK589835:IVQ589835 JFG589835:JFM589835 JPC589835:JPI589835 JYY589835:JZE589835 KIU589835:KJA589835 KSQ589835:KSW589835 LCM589835:LCS589835 LMI589835:LMO589835 LWE589835:LWK589835 MGA589835:MGG589835 MPW589835:MQC589835 MZS589835:MZY589835 NJO589835:NJU589835 NTK589835:NTQ589835 ODG589835:ODM589835 ONC589835:ONI589835 OWY589835:OXE589835 PGU589835:PHA589835 PQQ589835:PQW589835 QAM589835:QAS589835 QKI589835:QKO589835 QUE589835:QUK589835 REA589835:REG589835 RNW589835:ROC589835 RXS589835:RXY589835 SHO589835:SHU589835 SRK589835:SRQ589835 TBG589835:TBM589835 TLC589835:TLI589835 TUY589835:TVE589835 UEU589835:UFA589835 UOQ589835:UOW589835 UYM589835:UYS589835 VII589835:VIO589835 VSE589835:VSK589835 WCA589835:WCG589835 WLW589835:WMC589835 WVS589835:WVY589835 K655371:Q655371 JG655371:JM655371 TC655371:TI655371 ACY655371:ADE655371 AMU655371:ANA655371 AWQ655371:AWW655371 BGM655371:BGS655371 BQI655371:BQO655371 CAE655371:CAK655371 CKA655371:CKG655371 CTW655371:CUC655371 DDS655371:DDY655371 DNO655371:DNU655371 DXK655371:DXQ655371 EHG655371:EHM655371 ERC655371:ERI655371 FAY655371:FBE655371 FKU655371:FLA655371 FUQ655371:FUW655371 GEM655371:GES655371 GOI655371:GOO655371 GYE655371:GYK655371 HIA655371:HIG655371 HRW655371:HSC655371 IBS655371:IBY655371 ILO655371:ILU655371 IVK655371:IVQ655371 JFG655371:JFM655371 JPC655371:JPI655371 JYY655371:JZE655371 KIU655371:KJA655371 KSQ655371:KSW655371 LCM655371:LCS655371 LMI655371:LMO655371 LWE655371:LWK655371 MGA655371:MGG655371 MPW655371:MQC655371 MZS655371:MZY655371 NJO655371:NJU655371 NTK655371:NTQ655371 ODG655371:ODM655371 ONC655371:ONI655371 OWY655371:OXE655371 PGU655371:PHA655371 PQQ655371:PQW655371 QAM655371:QAS655371 QKI655371:QKO655371 QUE655371:QUK655371 REA655371:REG655371 RNW655371:ROC655371 RXS655371:RXY655371 SHO655371:SHU655371 SRK655371:SRQ655371 TBG655371:TBM655371 TLC655371:TLI655371 TUY655371:TVE655371 UEU655371:UFA655371 UOQ655371:UOW655371 UYM655371:UYS655371 VII655371:VIO655371 VSE655371:VSK655371 WCA655371:WCG655371 WLW655371:WMC655371 WVS655371:WVY655371 K720907:Q720907 JG720907:JM720907 TC720907:TI720907 ACY720907:ADE720907 AMU720907:ANA720907 AWQ720907:AWW720907 BGM720907:BGS720907 BQI720907:BQO720907 CAE720907:CAK720907 CKA720907:CKG720907 CTW720907:CUC720907 DDS720907:DDY720907 DNO720907:DNU720907 DXK720907:DXQ720907 EHG720907:EHM720907 ERC720907:ERI720907 FAY720907:FBE720907 FKU720907:FLA720907 FUQ720907:FUW720907 GEM720907:GES720907 GOI720907:GOO720907 GYE720907:GYK720907 HIA720907:HIG720907 HRW720907:HSC720907 IBS720907:IBY720907 ILO720907:ILU720907 IVK720907:IVQ720907 JFG720907:JFM720907 JPC720907:JPI720907 JYY720907:JZE720907 KIU720907:KJA720907 KSQ720907:KSW720907 LCM720907:LCS720907 LMI720907:LMO720907 LWE720907:LWK720907 MGA720907:MGG720907 MPW720907:MQC720907 MZS720907:MZY720907 NJO720907:NJU720907 NTK720907:NTQ720907 ODG720907:ODM720907 ONC720907:ONI720907 OWY720907:OXE720907 PGU720907:PHA720907 PQQ720907:PQW720907 QAM720907:QAS720907 QKI720907:QKO720907 QUE720907:QUK720907 REA720907:REG720907 RNW720907:ROC720907 RXS720907:RXY720907 SHO720907:SHU720907 SRK720907:SRQ720907 TBG720907:TBM720907 TLC720907:TLI720907 TUY720907:TVE720907 UEU720907:UFA720907 UOQ720907:UOW720907 UYM720907:UYS720907 VII720907:VIO720907 VSE720907:VSK720907 WCA720907:WCG720907 WLW720907:WMC720907 WVS720907:WVY720907 K786443:Q786443 JG786443:JM786443 TC786443:TI786443 ACY786443:ADE786443 AMU786443:ANA786443 AWQ786443:AWW786443 BGM786443:BGS786443 BQI786443:BQO786443 CAE786443:CAK786443 CKA786443:CKG786443 CTW786443:CUC786443 DDS786443:DDY786443 DNO786443:DNU786443 DXK786443:DXQ786443 EHG786443:EHM786443 ERC786443:ERI786443 FAY786443:FBE786443 FKU786443:FLA786443 FUQ786443:FUW786443 GEM786443:GES786443 GOI786443:GOO786443 GYE786443:GYK786443 HIA786443:HIG786443 HRW786443:HSC786443 IBS786443:IBY786443 ILO786443:ILU786443 IVK786443:IVQ786443 JFG786443:JFM786443 JPC786443:JPI786443 JYY786443:JZE786443 KIU786443:KJA786443 KSQ786443:KSW786443 LCM786443:LCS786443 LMI786443:LMO786443 LWE786443:LWK786443 MGA786443:MGG786443 MPW786443:MQC786443 MZS786443:MZY786443 NJO786443:NJU786443 NTK786443:NTQ786443 ODG786443:ODM786443 ONC786443:ONI786443 OWY786443:OXE786443 PGU786443:PHA786443 PQQ786443:PQW786443 QAM786443:QAS786443 QKI786443:QKO786443 QUE786443:QUK786443 REA786443:REG786443 RNW786443:ROC786443 RXS786443:RXY786443 SHO786443:SHU786443 SRK786443:SRQ786443 TBG786443:TBM786443 TLC786443:TLI786443 TUY786443:TVE786443 UEU786443:UFA786443 UOQ786443:UOW786443 UYM786443:UYS786443 VII786443:VIO786443 VSE786443:VSK786443 WCA786443:WCG786443 WLW786443:WMC786443 WVS786443:WVY786443 K851979:Q851979 JG851979:JM851979 TC851979:TI851979 ACY851979:ADE851979 AMU851979:ANA851979 AWQ851979:AWW851979 BGM851979:BGS851979 BQI851979:BQO851979 CAE851979:CAK851979 CKA851979:CKG851979 CTW851979:CUC851979 DDS851979:DDY851979 DNO851979:DNU851979 DXK851979:DXQ851979 EHG851979:EHM851979 ERC851979:ERI851979 FAY851979:FBE851979 FKU851979:FLA851979 FUQ851979:FUW851979 GEM851979:GES851979 GOI851979:GOO851979 GYE851979:GYK851979 HIA851979:HIG851979 HRW851979:HSC851979 IBS851979:IBY851979 ILO851979:ILU851979 IVK851979:IVQ851979 JFG851979:JFM851979 JPC851979:JPI851979 JYY851979:JZE851979 KIU851979:KJA851979 KSQ851979:KSW851979 LCM851979:LCS851979 LMI851979:LMO851979 LWE851979:LWK851979 MGA851979:MGG851979 MPW851979:MQC851979 MZS851979:MZY851979 NJO851979:NJU851979 NTK851979:NTQ851979 ODG851979:ODM851979 ONC851979:ONI851979 OWY851979:OXE851979 PGU851979:PHA851979 PQQ851979:PQW851979 QAM851979:QAS851979 QKI851979:QKO851979 QUE851979:QUK851979 REA851979:REG851979 RNW851979:ROC851979 RXS851979:RXY851979 SHO851979:SHU851979 SRK851979:SRQ851979 TBG851979:TBM851979 TLC851979:TLI851979 TUY851979:TVE851979 UEU851979:UFA851979 UOQ851979:UOW851979 UYM851979:UYS851979 VII851979:VIO851979 VSE851979:VSK851979 WCA851979:WCG851979 WLW851979:WMC851979 WVS851979:WVY851979 K917515:Q917515 JG917515:JM917515 TC917515:TI917515 ACY917515:ADE917515 AMU917515:ANA917515 AWQ917515:AWW917515 BGM917515:BGS917515 BQI917515:BQO917515 CAE917515:CAK917515 CKA917515:CKG917515 CTW917515:CUC917515 DDS917515:DDY917515 DNO917515:DNU917515 DXK917515:DXQ917515 EHG917515:EHM917515 ERC917515:ERI917515 FAY917515:FBE917515 FKU917515:FLA917515 FUQ917515:FUW917515 GEM917515:GES917515 GOI917515:GOO917515 GYE917515:GYK917515 HIA917515:HIG917515 HRW917515:HSC917515 IBS917515:IBY917515 ILO917515:ILU917515 IVK917515:IVQ917515 JFG917515:JFM917515 JPC917515:JPI917515 JYY917515:JZE917515 KIU917515:KJA917515 KSQ917515:KSW917515 LCM917515:LCS917515 LMI917515:LMO917515 LWE917515:LWK917515 MGA917515:MGG917515 MPW917515:MQC917515 MZS917515:MZY917515 NJO917515:NJU917515 NTK917515:NTQ917515 ODG917515:ODM917515 ONC917515:ONI917515 OWY917515:OXE917515 PGU917515:PHA917515 PQQ917515:PQW917515 QAM917515:QAS917515 QKI917515:QKO917515 QUE917515:QUK917515 REA917515:REG917515 RNW917515:ROC917515 RXS917515:RXY917515 SHO917515:SHU917515 SRK917515:SRQ917515 TBG917515:TBM917515 TLC917515:TLI917515 TUY917515:TVE917515 UEU917515:UFA917515 UOQ917515:UOW917515 UYM917515:UYS917515 VII917515:VIO917515 VSE917515:VSK917515 WCA917515:WCG917515 WLW917515:WMC917515 WVS917515:WVY917515 K983051:Q983051 JG983051:JM983051 TC983051:TI983051 ACY983051:ADE983051 AMU983051:ANA983051 AWQ983051:AWW983051 BGM983051:BGS983051 BQI983051:BQO983051 CAE983051:CAK983051 CKA983051:CKG983051 CTW983051:CUC983051 DDS983051:DDY983051 DNO983051:DNU983051 DXK983051:DXQ983051 EHG983051:EHM983051 ERC983051:ERI983051 FAY983051:FBE983051 FKU983051:FLA983051 FUQ983051:FUW983051 GEM983051:GES983051 GOI983051:GOO983051 GYE983051:GYK983051 HIA983051:HIG983051 HRW983051:HSC983051 IBS983051:IBY983051 ILO983051:ILU983051 IVK983051:IVQ983051 JFG983051:JFM983051 JPC983051:JPI983051 JYY983051:JZE983051 KIU983051:KJA983051 KSQ983051:KSW983051 LCM983051:LCS983051 LMI983051:LMO983051 LWE983051:LWK983051 MGA983051:MGG983051 MPW983051:MQC983051 MZS983051:MZY983051 NJO983051:NJU983051 NTK983051:NTQ983051 ODG983051:ODM983051 ONC983051:ONI983051 OWY983051:OXE983051 PGU983051:PHA983051 PQQ983051:PQW983051 QAM983051:QAS983051 QKI983051:QKO983051 QUE983051:QUK983051 REA983051:REG983051 RNW983051:ROC983051 RXS983051:RXY983051 SHO983051:SHU983051 SRK983051:SRQ983051 TBG983051:TBM983051 TLC983051:TLI983051 TUY983051:TVE983051 UEU983051:UFA983051 UOQ983051:UOW983051 UYM983051:UYS983051 VII983051:VIO983051 VSE983051:VSK983051 WCA983051:WCG983051 WLW983051:WMC983051 WVS983051:WVY983051 K35:Q35 JG35:JM35 TC35:TI35 ACY35:ADE35 AMU35:ANA35 AWQ35:AWW35 BGM35:BGS35 BQI35:BQO35 CAE35:CAK35 CKA35:CKG35 CTW35:CUC35 DDS35:DDY35 DNO35:DNU35 DXK35:DXQ35 EHG35:EHM35 ERC35:ERI35 FAY35:FBE35 FKU35:FLA35 FUQ35:FUW35 GEM35:GES35 GOI35:GOO35 GYE35:GYK35 HIA35:HIG35 HRW35:HSC35 IBS35:IBY35 ILO35:ILU35 IVK35:IVQ35 JFG35:JFM35 JPC35:JPI35 JYY35:JZE35 KIU35:KJA35 KSQ35:KSW35 LCM35:LCS35 LMI35:LMO35 LWE35:LWK35 MGA35:MGG35 MPW35:MQC35 MZS35:MZY35 NJO35:NJU35 NTK35:NTQ35 ODG35:ODM35 ONC35:ONI35 OWY35:OXE35 PGU35:PHA35 PQQ35:PQW35 QAM35:QAS35 QKI35:QKO35 QUE35:QUK35 REA35:REG35 RNW35:ROC35 RXS35:RXY35 SHO35:SHU35 SRK35:SRQ35 TBG35:TBM35 TLC35:TLI35 TUY35:TVE35 UEU35:UFA35 UOQ35:UOW35 UYM35:UYS35 VII35:VIO35 VSE35:VSK35 WCA35:WCG35 WLW35:WMC35 WVS35:WVY35 K65571:Q65571 JG65571:JM65571 TC65571:TI65571 ACY65571:ADE65571 AMU65571:ANA65571 AWQ65571:AWW65571 BGM65571:BGS65571 BQI65571:BQO65571 CAE65571:CAK65571 CKA65571:CKG65571 CTW65571:CUC65571 DDS65571:DDY65571 DNO65571:DNU65571 DXK65571:DXQ65571 EHG65571:EHM65571 ERC65571:ERI65571 FAY65571:FBE65571 FKU65571:FLA65571 FUQ65571:FUW65571 GEM65571:GES65571 GOI65571:GOO65571 GYE65571:GYK65571 HIA65571:HIG65571 HRW65571:HSC65571 IBS65571:IBY65571 ILO65571:ILU65571 IVK65571:IVQ65571 JFG65571:JFM65571 JPC65571:JPI65571 JYY65571:JZE65571 KIU65571:KJA65571 KSQ65571:KSW65571 LCM65571:LCS65571 LMI65571:LMO65571 LWE65571:LWK65571 MGA65571:MGG65571 MPW65571:MQC65571 MZS65571:MZY65571 NJO65571:NJU65571 NTK65571:NTQ65571 ODG65571:ODM65571 ONC65571:ONI65571 OWY65571:OXE65571 PGU65571:PHA65571 PQQ65571:PQW65571 QAM65571:QAS65571 QKI65571:QKO65571 QUE65571:QUK65571 REA65571:REG65571 RNW65571:ROC65571 RXS65571:RXY65571 SHO65571:SHU65571 SRK65571:SRQ65571 TBG65571:TBM65571 TLC65571:TLI65571 TUY65571:TVE65571 UEU65571:UFA65571 UOQ65571:UOW65571 UYM65571:UYS65571 VII65571:VIO65571 VSE65571:VSK65571 WCA65571:WCG65571 WLW65571:WMC65571 WVS65571:WVY65571 K131107:Q131107 JG131107:JM131107 TC131107:TI131107 ACY131107:ADE131107 AMU131107:ANA131107 AWQ131107:AWW131107 BGM131107:BGS131107 BQI131107:BQO131107 CAE131107:CAK131107 CKA131107:CKG131107 CTW131107:CUC131107 DDS131107:DDY131107 DNO131107:DNU131107 DXK131107:DXQ131107 EHG131107:EHM131107 ERC131107:ERI131107 FAY131107:FBE131107 FKU131107:FLA131107 FUQ131107:FUW131107 GEM131107:GES131107 GOI131107:GOO131107 GYE131107:GYK131107 HIA131107:HIG131107 HRW131107:HSC131107 IBS131107:IBY131107 ILO131107:ILU131107 IVK131107:IVQ131107 JFG131107:JFM131107 JPC131107:JPI131107 JYY131107:JZE131107 KIU131107:KJA131107 KSQ131107:KSW131107 LCM131107:LCS131107 LMI131107:LMO131107 LWE131107:LWK131107 MGA131107:MGG131107 MPW131107:MQC131107 MZS131107:MZY131107 NJO131107:NJU131107 NTK131107:NTQ131107 ODG131107:ODM131107 ONC131107:ONI131107 OWY131107:OXE131107 PGU131107:PHA131107 PQQ131107:PQW131107 QAM131107:QAS131107 QKI131107:QKO131107 QUE131107:QUK131107 REA131107:REG131107 RNW131107:ROC131107 RXS131107:RXY131107 SHO131107:SHU131107 SRK131107:SRQ131107 TBG131107:TBM131107 TLC131107:TLI131107 TUY131107:TVE131107 UEU131107:UFA131107 UOQ131107:UOW131107 UYM131107:UYS131107 VII131107:VIO131107 VSE131107:VSK131107 WCA131107:WCG131107 WLW131107:WMC131107 WVS131107:WVY131107 K196643:Q196643 JG196643:JM196643 TC196643:TI196643 ACY196643:ADE196643 AMU196643:ANA196643 AWQ196643:AWW196643 BGM196643:BGS196643 BQI196643:BQO196643 CAE196643:CAK196643 CKA196643:CKG196643 CTW196643:CUC196643 DDS196643:DDY196643 DNO196643:DNU196643 DXK196643:DXQ196643 EHG196643:EHM196643 ERC196643:ERI196643 FAY196643:FBE196643 FKU196643:FLA196643 FUQ196643:FUW196643 GEM196643:GES196643 GOI196643:GOO196643 GYE196643:GYK196643 HIA196643:HIG196643 HRW196643:HSC196643 IBS196643:IBY196643 ILO196643:ILU196643 IVK196643:IVQ196643 JFG196643:JFM196643 JPC196643:JPI196643 JYY196643:JZE196643 KIU196643:KJA196643 KSQ196643:KSW196643 LCM196643:LCS196643 LMI196643:LMO196643 LWE196643:LWK196643 MGA196643:MGG196643 MPW196643:MQC196643 MZS196643:MZY196643 NJO196643:NJU196643 NTK196643:NTQ196643 ODG196643:ODM196643 ONC196643:ONI196643 OWY196643:OXE196643 PGU196643:PHA196643 PQQ196643:PQW196643 QAM196643:QAS196643 QKI196643:QKO196643 QUE196643:QUK196643 REA196643:REG196643 RNW196643:ROC196643 RXS196643:RXY196643 SHO196643:SHU196643 SRK196643:SRQ196643 TBG196643:TBM196643 TLC196643:TLI196643 TUY196643:TVE196643 UEU196643:UFA196643 UOQ196643:UOW196643 UYM196643:UYS196643 VII196643:VIO196643 VSE196643:VSK196643 WCA196643:WCG196643 WLW196643:WMC196643 WVS196643:WVY196643 K262179:Q262179 JG262179:JM262179 TC262179:TI262179 ACY262179:ADE262179 AMU262179:ANA262179 AWQ262179:AWW262179 BGM262179:BGS262179 BQI262179:BQO262179 CAE262179:CAK262179 CKA262179:CKG262179 CTW262179:CUC262179 DDS262179:DDY262179 DNO262179:DNU262179 DXK262179:DXQ262179 EHG262179:EHM262179 ERC262179:ERI262179 FAY262179:FBE262179 FKU262179:FLA262179 FUQ262179:FUW262179 GEM262179:GES262179 GOI262179:GOO262179 GYE262179:GYK262179 HIA262179:HIG262179 HRW262179:HSC262179 IBS262179:IBY262179 ILO262179:ILU262179 IVK262179:IVQ262179 JFG262179:JFM262179 JPC262179:JPI262179 JYY262179:JZE262179 KIU262179:KJA262179 KSQ262179:KSW262179 LCM262179:LCS262179 LMI262179:LMO262179 LWE262179:LWK262179 MGA262179:MGG262179 MPW262179:MQC262179 MZS262179:MZY262179 NJO262179:NJU262179 NTK262179:NTQ262179 ODG262179:ODM262179 ONC262179:ONI262179 OWY262179:OXE262179 PGU262179:PHA262179 PQQ262179:PQW262179 QAM262179:QAS262179 QKI262179:QKO262179 QUE262179:QUK262179 REA262179:REG262179 RNW262179:ROC262179 RXS262179:RXY262179 SHO262179:SHU262179 SRK262179:SRQ262179 TBG262179:TBM262179 TLC262179:TLI262179 TUY262179:TVE262179 UEU262179:UFA262179 UOQ262179:UOW262179 UYM262179:UYS262179 VII262179:VIO262179 VSE262179:VSK262179 WCA262179:WCG262179 WLW262179:WMC262179 WVS262179:WVY262179 K327715:Q327715 JG327715:JM327715 TC327715:TI327715 ACY327715:ADE327715 AMU327715:ANA327715 AWQ327715:AWW327715 BGM327715:BGS327715 BQI327715:BQO327715 CAE327715:CAK327715 CKA327715:CKG327715 CTW327715:CUC327715 DDS327715:DDY327715 DNO327715:DNU327715 DXK327715:DXQ327715 EHG327715:EHM327715 ERC327715:ERI327715 FAY327715:FBE327715 FKU327715:FLA327715 FUQ327715:FUW327715 GEM327715:GES327715 GOI327715:GOO327715 GYE327715:GYK327715 HIA327715:HIG327715 HRW327715:HSC327715 IBS327715:IBY327715 ILO327715:ILU327715 IVK327715:IVQ327715 JFG327715:JFM327715 JPC327715:JPI327715 JYY327715:JZE327715 KIU327715:KJA327715 KSQ327715:KSW327715 LCM327715:LCS327715 LMI327715:LMO327715 LWE327715:LWK327715 MGA327715:MGG327715 MPW327715:MQC327715 MZS327715:MZY327715 NJO327715:NJU327715 NTK327715:NTQ327715 ODG327715:ODM327715 ONC327715:ONI327715 OWY327715:OXE327715 PGU327715:PHA327715 PQQ327715:PQW327715 QAM327715:QAS327715 QKI327715:QKO327715 QUE327715:QUK327715 REA327715:REG327715 RNW327715:ROC327715 RXS327715:RXY327715 SHO327715:SHU327715 SRK327715:SRQ327715 TBG327715:TBM327715 TLC327715:TLI327715 TUY327715:TVE327715 UEU327715:UFA327715 UOQ327715:UOW327715 UYM327715:UYS327715 VII327715:VIO327715 VSE327715:VSK327715 WCA327715:WCG327715 WLW327715:WMC327715 WVS327715:WVY327715 K393251:Q393251 JG393251:JM393251 TC393251:TI393251 ACY393251:ADE393251 AMU393251:ANA393251 AWQ393251:AWW393251 BGM393251:BGS393251 BQI393251:BQO393251 CAE393251:CAK393251 CKA393251:CKG393251 CTW393251:CUC393251 DDS393251:DDY393251 DNO393251:DNU393251 DXK393251:DXQ393251 EHG393251:EHM393251 ERC393251:ERI393251 FAY393251:FBE393251 FKU393251:FLA393251 FUQ393251:FUW393251 GEM393251:GES393251 GOI393251:GOO393251 GYE393251:GYK393251 HIA393251:HIG393251 HRW393251:HSC393251 IBS393251:IBY393251 ILO393251:ILU393251 IVK393251:IVQ393251 JFG393251:JFM393251 JPC393251:JPI393251 JYY393251:JZE393251 KIU393251:KJA393251 KSQ393251:KSW393251 LCM393251:LCS393251 LMI393251:LMO393251 LWE393251:LWK393251 MGA393251:MGG393251 MPW393251:MQC393251 MZS393251:MZY393251 NJO393251:NJU393251 NTK393251:NTQ393251 ODG393251:ODM393251 ONC393251:ONI393251 OWY393251:OXE393251 PGU393251:PHA393251 PQQ393251:PQW393251 QAM393251:QAS393251 QKI393251:QKO393251 QUE393251:QUK393251 REA393251:REG393251 RNW393251:ROC393251 RXS393251:RXY393251 SHO393251:SHU393251 SRK393251:SRQ393251 TBG393251:TBM393251 TLC393251:TLI393251 TUY393251:TVE393251 UEU393251:UFA393251 UOQ393251:UOW393251 UYM393251:UYS393251 VII393251:VIO393251 VSE393251:VSK393251 WCA393251:WCG393251 WLW393251:WMC393251 WVS393251:WVY393251 K458787:Q458787 JG458787:JM458787 TC458787:TI458787 ACY458787:ADE458787 AMU458787:ANA458787 AWQ458787:AWW458787 BGM458787:BGS458787 BQI458787:BQO458787 CAE458787:CAK458787 CKA458787:CKG458787 CTW458787:CUC458787 DDS458787:DDY458787 DNO458787:DNU458787 DXK458787:DXQ458787 EHG458787:EHM458787 ERC458787:ERI458787 FAY458787:FBE458787 FKU458787:FLA458787 FUQ458787:FUW458787 GEM458787:GES458787 GOI458787:GOO458787 GYE458787:GYK458787 HIA458787:HIG458787 HRW458787:HSC458787 IBS458787:IBY458787 ILO458787:ILU458787 IVK458787:IVQ458787 JFG458787:JFM458787 JPC458787:JPI458787 JYY458787:JZE458787 KIU458787:KJA458787 KSQ458787:KSW458787 LCM458787:LCS458787 LMI458787:LMO458787 LWE458787:LWK458787 MGA458787:MGG458787 MPW458787:MQC458787 MZS458787:MZY458787 NJO458787:NJU458787 NTK458787:NTQ458787 ODG458787:ODM458787 ONC458787:ONI458787 OWY458787:OXE458787 PGU458787:PHA458787 PQQ458787:PQW458787 QAM458787:QAS458787 QKI458787:QKO458787 QUE458787:QUK458787 REA458787:REG458787 RNW458787:ROC458787 RXS458787:RXY458787 SHO458787:SHU458787 SRK458787:SRQ458787 TBG458787:TBM458787 TLC458787:TLI458787 TUY458787:TVE458787 UEU458787:UFA458787 UOQ458787:UOW458787 UYM458787:UYS458787 VII458787:VIO458787 VSE458787:VSK458787 WCA458787:WCG458787 WLW458787:WMC458787 WVS458787:WVY458787 K524323:Q524323 JG524323:JM524323 TC524323:TI524323 ACY524323:ADE524323 AMU524323:ANA524323 AWQ524323:AWW524323 BGM524323:BGS524323 BQI524323:BQO524323 CAE524323:CAK524323 CKA524323:CKG524323 CTW524323:CUC524323 DDS524323:DDY524323 DNO524323:DNU524323 DXK524323:DXQ524323 EHG524323:EHM524323 ERC524323:ERI524323 FAY524323:FBE524323 FKU524323:FLA524323 FUQ524323:FUW524323 GEM524323:GES524323 GOI524323:GOO524323 GYE524323:GYK524323 HIA524323:HIG524323 HRW524323:HSC524323 IBS524323:IBY524323 ILO524323:ILU524323 IVK524323:IVQ524323 JFG524323:JFM524323 JPC524323:JPI524323 JYY524323:JZE524323 KIU524323:KJA524323 KSQ524323:KSW524323 LCM524323:LCS524323 LMI524323:LMO524323 LWE524323:LWK524323 MGA524323:MGG524323 MPW524323:MQC524323 MZS524323:MZY524323 NJO524323:NJU524323 NTK524323:NTQ524323 ODG524323:ODM524323 ONC524323:ONI524323 OWY524323:OXE524323 PGU524323:PHA524323 PQQ524323:PQW524323 QAM524323:QAS524323 QKI524323:QKO524323 QUE524323:QUK524323 REA524323:REG524323 RNW524323:ROC524323 RXS524323:RXY524323 SHO524323:SHU524323 SRK524323:SRQ524323 TBG524323:TBM524323 TLC524323:TLI524323 TUY524323:TVE524323 UEU524323:UFA524323 UOQ524323:UOW524323 UYM524323:UYS524323 VII524323:VIO524323 VSE524323:VSK524323 WCA524323:WCG524323 WLW524323:WMC524323 WVS524323:WVY524323 K589859:Q589859 JG589859:JM589859 TC589859:TI589859 ACY589859:ADE589859 AMU589859:ANA589859 AWQ589859:AWW589859 BGM589859:BGS589859 BQI589859:BQO589859 CAE589859:CAK589859 CKA589859:CKG589859 CTW589859:CUC589859 DDS589859:DDY589859 DNO589859:DNU589859 DXK589859:DXQ589859 EHG589859:EHM589859 ERC589859:ERI589859 FAY589859:FBE589859 FKU589859:FLA589859 FUQ589859:FUW589859 GEM589859:GES589859 GOI589859:GOO589859 GYE589859:GYK589859 HIA589859:HIG589859 HRW589859:HSC589859 IBS589859:IBY589859 ILO589859:ILU589859 IVK589859:IVQ589859 JFG589859:JFM589859 JPC589859:JPI589859 JYY589859:JZE589859 KIU589859:KJA589859 KSQ589859:KSW589859 LCM589859:LCS589859 LMI589859:LMO589859 LWE589859:LWK589859 MGA589859:MGG589859 MPW589859:MQC589859 MZS589859:MZY589859 NJO589859:NJU589859 NTK589859:NTQ589859 ODG589859:ODM589859 ONC589859:ONI589859 OWY589859:OXE589859 PGU589859:PHA589859 PQQ589859:PQW589859 QAM589859:QAS589859 QKI589859:QKO589859 QUE589859:QUK589859 REA589859:REG589859 RNW589859:ROC589859 RXS589859:RXY589859 SHO589859:SHU589859 SRK589859:SRQ589859 TBG589859:TBM589859 TLC589859:TLI589859 TUY589859:TVE589859 UEU589859:UFA589859 UOQ589859:UOW589859 UYM589859:UYS589859 VII589859:VIO589859 VSE589859:VSK589859 WCA589859:WCG589859 WLW589859:WMC589859 WVS589859:WVY589859 K655395:Q655395 JG655395:JM655395 TC655395:TI655395 ACY655395:ADE655395 AMU655395:ANA655395 AWQ655395:AWW655395 BGM655395:BGS655395 BQI655395:BQO655395 CAE655395:CAK655395 CKA655395:CKG655395 CTW655395:CUC655395 DDS655395:DDY655395 DNO655395:DNU655395 DXK655395:DXQ655395 EHG655395:EHM655395 ERC655395:ERI655395 FAY655395:FBE655395 FKU655395:FLA655395 FUQ655395:FUW655395 GEM655395:GES655395 GOI655395:GOO655395 GYE655395:GYK655395 HIA655395:HIG655395 HRW655395:HSC655395 IBS655395:IBY655395 ILO655395:ILU655395 IVK655395:IVQ655395 JFG655395:JFM655395 JPC655395:JPI655395 JYY655395:JZE655395 KIU655395:KJA655395 KSQ655395:KSW655395 LCM655395:LCS655395 LMI655395:LMO655395 LWE655395:LWK655395 MGA655395:MGG655395 MPW655395:MQC655395 MZS655395:MZY655395 NJO655395:NJU655395 NTK655395:NTQ655395 ODG655395:ODM655395 ONC655395:ONI655395 OWY655395:OXE655395 PGU655395:PHA655395 PQQ655395:PQW655395 QAM655395:QAS655395 QKI655395:QKO655395 QUE655395:QUK655395 REA655395:REG655395 RNW655395:ROC655395 RXS655395:RXY655395 SHO655395:SHU655395 SRK655395:SRQ655395 TBG655395:TBM655395 TLC655395:TLI655395 TUY655395:TVE655395 UEU655395:UFA655395 UOQ655395:UOW655395 UYM655395:UYS655395 VII655395:VIO655395 VSE655395:VSK655395 WCA655395:WCG655395 WLW655395:WMC655395 WVS655395:WVY655395 K720931:Q720931 JG720931:JM720931 TC720931:TI720931 ACY720931:ADE720931 AMU720931:ANA720931 AWQ720931:AWW720931 BGM720931:BGS720931 BQI720931:BQO720931 CAE720931:CAK720931 CKA720931:CKG720931 CTW720931:CUC720931 DDS720931:DDY720931 DNO720931:DNU720931 DXK720931:DXQ720931 EHG720931:EHM720931 ERC720931:ERI720931 FAY720931:FBE720931 FKU720931:FLA720931 FUQ720931:FUW720931 GEM720931:GES720931 GOI720931:GOO720931 GYE720931:GYK720931 HIA720931:HIG720931 HRW720931:HSC720931 IBS720931:IBY720931 ILO720931:ILU720931 IVK720931:IVQ720931 JFG720931:JFM720931 JPC720931:JPI720931 JYY720931:JZE720931 KIU720931:KJA720931 KSQ720931:KSW720931 LCM720931:LCS720931 LMI720931:LMO720931 LWE720931:LWK720931 MGA720931:MGG720931 MPW720931:MQC720931 MZS720931:MZY720931 NJO720931:NJU720931 NTK720931:NTQ720931 ODG720931:ODM720931 ONC720931:ONI720931 OWY720931:OXE720931 PGU720931:PHA720931 PQQ720931:PQW720931 QAM720931:QAS720931 QKI720931:QKO720931 QUE720931:QUK720931 REA720931:REG720931 RNW720931:ROC720931 RXS720931:RXY720931 SHO720931:SHU720931 SRK720931:SRQ720931 TBG720931:TBM720931 TLC720931:TLI720931 TUY720931:TVE720931 UEU720931:UFA720931 UOQ720931:UOW720931 UYM720931:UYS720931 VII720931:VIO720931 VSE720931:VSK720931 WCA720931:WCG720931 WLW720931:WMC720931 WVS720931:WVY720931 K786467:Q786467 JG786467:JM786467 TC786467:TI786467 ACY786467:ADE786467 AMU786467:ANA786467 AWQ786467:AWW786467 BGM786467:BGS786467 BQI786467:BQO786467 CAE786467:CAK786467 CKA786467:CKG786467 CTW786467:CUC786467 DDS786467:DDY786467 DNO786467:DNU786467 DXK786467:DXQ786467 EHG786467:EHM786467 ERC786467:ERI786467 FAY786467:FBE786467 FKU786467:FLA786467 FUQ786467:FUW786467 GEM786467:GES786467 GOI786467:GOO786467 GYE786467:GYK786467 HIA786467:HIG786467 HRW786467:HSC786467 IBS786467:IBY786467 ILO786467:ILU786467 IVK786467:IVQ786467 JFG786467:JFM786467 JPC786467:JPI786467 JYY786467:JZE786467 KIU786467:KJA786467 KSQ786467:KSW786467 LCM786467:LCS786467 LMI786467:LMO786467 LWE786467:LWK786467 MGA786467:MGG786467 MPW786467:MQC786467 MZS786467:MZY786467 NJO786467:NJU786467 NTK786467:NTQ786467 ODG786467:ODM786467 ONC786467:ONI786467 OWY786467:OXE786467 PGU786467:PHA786467 PQQ786467:PQW786467 QAM786467:QAS786467 QKI786467:QKO786467 QUE786467:QUK786467 REA786467:REG786467 RNW786467:ROC786467 RXS786467:RXY786467 SHO786467:SHU786467 SRK786467:SRQ786467 TBG786467:TBM786467 TLC786467:TLI786467 TUY786467:TVE786467 UEU786467:UFA786467 UOQ786467:UOW786467 UYM786467:UYS786467 VII786467:VIO786467 VSE786467:VSK786467 WCA786467:WCG786467 WLW786467:WMC786467 WVS786467:WVY786467 K852003:Q852003 JG852003:JM852003 TC852003:TI852003 ACY852003:ADE852003 AMU852003:ANA852003 AWQ852003:AWW852003 BGM852003:BGS852003 BQI852003:BQO852003 CAE852003:CAK852003 CKA852003:CKG852003 CTW852003:CUC852003 DDS852003:DDY852003 DNO852003:DNU852003 DXK852003:DXQ852003 EHG852003:EHM852003 ERC852003:ERI852003 FAY852003:FBE852003 FKU852003:FLA852003 FUQ852003:FUW852003 GEM852003:GES852003 GOI852003:GOO852003 GYE852003:GYK852003 HIA852003:HIG852003 HRW852003:HSC852003 IBS852003:IBY852003 ILO852003:ILU852003 IVK852003:IVQ852003 JFG852003:JFM852003 JPC852003:JPI852003 JYY852003:JZE852003 KIU852003:KJA852003 KSQ852003:KSW852003 LCM852003:LCS852003 LMI852003:LMO852003 LWE852003:LWK852003 MGA852003:MGG852003 MPW852003:MQC852003 MZS852003:MZY852003 NJO852003:NJU852003 NTK852003:NTQ852003 ODG852003:ODM852003 ONC852003:ONI852003 OWY852003:OXE852003 PGU852003:PHA852003 PQQ852003:PQW852003 QAM852003:QAS852003 QKI852003:QKO852003 QUE852003:QUK852003 REA852003:REG852003 RNW852003:ROC852003 RXS852003:RXY852003 SHO852003:SHU852003 SRK852003:SRQ852003 TBG852003:TBM852003 TLC852003:TLI852003 TUY852003:TVE852003 UEU852003:UFA852003 UOQ852003:UOW852003 UYM852003:UYS852003 VII852003:VIO852003 VSE852003:VSK852003 WCA852003:WCG852003 WLW852003:WMC852003 WVS852003:WVY852003 K917539:Q917539 JG917539:JM917539 TC917539:TI917539 ACY917539:ADE917539 AMU917539:ANA917539 AWQ917539:AWW917539 BGM917539:BGS917539 BQI917539:BQO917539 CAE917539:CAK917539 CKA917539:CKG917539 CTW917539:CUC917539 DDS917539:DDY917539 DNO917539:DNU917539 DXK917539:DXQ917539 EHG917539:EHM917539 ERC917539:ERI917539 FAY917539:FBE917539 FKU917539:FLA917539 FUQ917539:FUW917539 GEM917539:GES917539 GOI917539:GOO917539 GYE917539:GYK917539 HIA917539:HIG917539 HRW917539:HSC917539 IBS917539:IBY917539 ILO917539:ILU917539 IVK917539:IVQ917539 JFG917539:JFM917539 JPC917539:JPI917539 JYY917539:JZE917539 KIU917539:KJA917539 KSQ917539:KSW917539 LCM917539:LCS917539 LMI917539:LMO917539 LWE917539:LWK917539 MGA917539:MGG917539 MPW917539:MQC917539 MZS917539:MZY917539 NJO917539:NJU917539 NTK917539:NTQ917539 ODG917539:ODM917539 ONC917539:ONI917539 OWY917539:OXE917539 PGU917539:PHA917539 PQQ917539:PQW917539 QAM917539:QAS917539 QKI917539:QKO917539 QUE917539:QUK917539 REA917539:REG917539 RNW917539:ROC917539 RXS917539:RXY917539 SHO917539:SHU917539 SRK917539:SRQ917539 TBG917539:TBM917539 TLC917539:TLI917539 TUY917539:TVE917539 UEU917539:UFA917539 UOQ917539:UOW917539 UYM917539:UYS917539 VII917539:VIO917539 VSE917539:VSK917539 WCA917539:WCG917539 WLW917539:WMC917539 WVS917539:WVY917539 K983075:Q983075 JG983075:JM983075 TC983075:TI983075 ACY983075:ADE983075 AMU983075:ANA983075 AWQ983075:AWW983075 BGM983075:BGS983075 BQI983075:BQO983075 CAE983075:CAK983075 CKA983075:CKG983075 CTW983075:CUC983075 DDS983075:DDY983075 DNO983075:DNU983075 DXK983075:DXQ983075 EHG983075:EHM983075 ERC983075:ERI983075 FAY983075:FBE983075 FKU983075:FLA983075 FUQ983075:FUW983075 GEM983075:GES983075 GOI983075:GOO983075 GYE983075:GYK983075 HIA983075:HIG983075 HRW983075:HSC983075 IBS983075:IBY983075 ILO983075:ILU983075 IVK983075:IVQ983075 JFG983075:JFM983075 JPC983075:JPI983075 JYY983075:JZE983075 KIU983075:KJA983075 KSQ983075:KSW983075 LCM983075:LCS983075 LMI983075:LMO983075 LWE983075:LWK983075 MGA983075:MGG983075 MPW983075:MQC983075 MZS983075:MZY983075 NJO983075:NJU983075 NTK983075:NTQ983075 ODG983075:ODM983075 ONC983075:ONI983075 OWY983075:OXE983075 PGU983075:PHA983075 PQQ983075:PQW983075 QAM983075:QAS983075 QKI983075:QKO983075 QUE983075:QUK983075 REA983075:REG983075 RNW983075:ROC983075 RXS983075:RXY983075 SHO983075:SHU983075 SRK983075:SRQ983075 TBG983075:TBM983075 TLC983075:TLI983075 TUY983075:TVE983075 UEU983075:UFA983075 UOQ983075:UOW983075 UYM983075:UYS983075 VII983075:VIO983075 VSE983075:VSK983075 WCA983075:WCG983075 WLW983075:WMC983075 WVS983075:WVY983075">
      <formula1>-1E+22</formula1>
      <formula2>1E+22</formula2>
    </dataValidation>
  </dataValidations>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sheetPr codeName="Лист10"/>
  <dimension ref="A1:AE30"/>
  <sheetViews>
    <sheetView topLeftCell="A4" workbookViewId="0">
      <selection activeCell="B1" sqref="B1"/>
    </sheetView>
  </sheetViews>
  <sheetFormatPr defaultRowHeight="12.75"/>
  <cols>
    <col min="1" max="1" width="3.42578125" style="71" customWidth="1"/>
    <col min="2" max="2" width="28.7109375" style="71" customWidth="1"/>
    <col min="3" max="4" width="21.42578125" style="71" customWidth="1"/>
    <col min="5" max="6" width="20.85546875" style="71" customWidth="1"/>
    <col min="7" max="7" width="14.42578125" style="71" customWidth="1"/>
    <col min="8" max="8" width="15" style="71" customWidth="1"/>
    <col min="9" max="10" width="21.7109375" style="71" customWidth="1"/>
    <col min="11" max="11" width="15" style="71" customWidth="1"/>
    <col min="12" max="12" width="16.7109375" style="71" customWidth="1"/>
    <col min="13" max="14" width="20.28515625" style="71" customWidth="1"/>
    <col min="15" max="16" width="17.140625" style="71" customWidth="1"/>
    <col min="17" max="18" width="22.28515625" style="71" customWidth="1"/>
    <col min="19" max="20" width="17.28515625" style="71" customWidth="1"/>
    <col min="21" max="22" width="25.7109375" style="71" customWidth="1"/>
    <col min="23" max="23" width="13.28515625" style="71" customWidth="1"/>
    <col min="24" max="24" width="15" style="71" customWidth="1"/>
    <col min="25" max="25" width="9.42578125" style="71" customWidth="1"/>
    <col min="26" max="26" width="18.42578125" style="614" customWidth="1"/>
    <col min="27" max="27" width="9.42578125" style="614" customWidth="1"/>
    <col min="28" max="28" width="10.140625" style="614" customWidth="1"/>
    <col min="29" max="29" width="8.7109375" style="614" customWidth="1"/>
    <col min="30" max="31" width="9.42578125" style="614" customWidth="1"/>
    <col min="32" max="32" width="9.42578125" style="71" customWidth="1"/>
    <col min="33" max="16384" width="9.140625" style="71"/>
  </cols>
  <sheetData>
    <row r="1" spans="1:31" ht="45" customHeight="1">
      <c r="V1" s="984" t="s">
        <v>2277</v>
      </c>
      <c r="W1" s="984"/>
      <c r="X1" s="984"/>
    </row>
    <row r="2" spans="1:31" ht="15.75">
      <c r="A2" s="999" t="s">
        <v>1946</v>
      </c>
      <c r="B2" s="999"/>
      <c r="C2" s="999"/>
      <c r="D2" s="999"/>
      <c r="E2" s="999"/>
      <c r="F2" s="999"/>
      <c r="G2" s="999"/>
      <c r="H2" s="999"/>
      <c r="I2" s="999"/>
      <c r="J2" s="999"/>
      <c r="K2" s="999"/>
      <c r="L2" s="999"/>
      <c r="M2" s="999"/>
      <c r="N2" s="999"/>
      <c r="O2" s="999"/>
      <c r="P2" s="416"/>
      <c r="Q2" s="416"/>
      <c r="R2" s="416"/>
      <c r="S2" s="416"/>
      <c r="T2" s="416"/>
      <c r="U2" s="416"/>
      <c r="V2" s="416"/>
      <c r="W2" s="707" t="s">
        <v>2671</v>
      </c>
      <c r="X2" s="416"/>
    </row>
    <row r="3" spans="1:31" ht="16.5" thickBot="1">
      <c r="A3" s="456"/>
      <c r="B3" s="418" t="s">
        <v>379</v>
      </c>
      <c r="C3" s="456"/>
      <c r="D3" s="456"/>
      <c r="E3" s="456"/>
      <c r="F3" s="456"/>
      <c r="G3" s="456"/>
      <c r="H3" s="456"/>
      <c r="I3" s="456"/>
      <c r="J3" s="456"/>
      <c r="K3" s="456"/>
      <c r="L3" s="456"/>
      <c r="M3" s="456"/>
      <c r="N3" s="456"/>
      <c r="O3" s="456"/>
      <c r="P3" s="456"/>
      <c r="Q3" s="456"/>
      <c r="R3" s="456"/>
      <c r="S3" s="456"/>
      <c r="T3" s="456"/>
      <c r="U3" s="456" t="s">
        <v>2702</v>
      </c>
      <c r="V3" s="456"/>
      <c r="W3" s="456"/>
      <c r="X3" s="456"/>
    </row>
    <row r="4" spans="1:31" ht="121.5" customHeight="1" thickBot="1">
      <c r="A4" s="519" t="s">
        <v>938</v>
      </c>
      <c r="B4" s="520" t="s">
        <v>1732</v>
      </c>
      <c r="C4" s="642" t="s">
        <v>1733</v>
      </c>
      <c r="D4" s="642" t="s">
        <v>873</v>
      </c>
      <c r="E4" s="642" t="s">
        <v>430</v>
      </c>
      <c r="F4" s="642" t="s">
        <v>431</v>
      </c>
      <c r="G4" s="642" t="s">
        <v>2588</v>
      </c>
      <c r="H4" s="642" t="s">
        <v>1138</v>
      </c>
      <c r="I4" s="642" t="s">
        <v>434</v>
      </c>
      <c r="J4" s="642" t="s">
        <v>435</v>
      </c>
      <c r="K4" s="642" t="s">
        <v>2589</v>
      </c>
      <c r="L4" s="642" t="s">
        <v>2590</v>
      </c>
      <c r="M4" s="642" t="s">
        <v>432</v>
      </c>
      <c r="N4" s="642" t="s">
        <v>433</v>
      </c>
      <c r="O4" s="642" t="s">
        <v>2591</v>
      </c>
      <c r="P4" s="642" t="s">
        <v>1139</v>
      </c>
      <c r="Q4" s="642" t="s">
        <v>436</v>
      </c>
      <c r="R4" s="642" t="s">
        <v>437</v>
      </c>
      <c r="S4" s="642" t="s">
        <v>2592</v>
      </c>
      <c r="T4" s="642" t="s">
        <v>1140</v>
      </c>
      <c r="U4" s="642" t="s">
        <v>523</v>
      </c>
      <c r="V4" s="642" t="s">
        <v>524</v>
      </c>
      <c r="W4" s="642" t="s">
        <v>2593</v>
      </c>
      <c r="X4" s="642" t="s">
        <v>2594</v>
      </c>
      <c r="AA4" s="882"/>
      <c r="AB4" s="882" t="s">
        <v>559</v>
      </c>
      <c r="AC4" s="882"/>
      <c r="AD4" s="882"/>
      <c r="AE4" s="882"/>
    </row>
    <row r="5" spans="1:31" ht="13.5" thickBot="1">
      <c r="A5" s="640" t="s">
        <v>1481</v>
      </c>
      <c r="B5" s="641" t="s">
        <v>700</v>
      </c>
      <c r="C5" s="521" t="s">
        <v>2587</v>
      </c>
      <c r="D5" s="521" t="s">
        <v>676</v>
      </c>
      <c r="E5" s="521"/>
      <c r="F5" s="521"/>
      <c r="G5" s="643" t="s">
        <v>731</v>
      </c>
      <c r="H5" s="643" t="s">
        <v>1941</v>
      </c>
      <c r="I5" s="521"/>
      <c r="J5" s="521"/>
      <c r="K5" s="643" t="s">
        <v>1482</v>
      </c>
      <c r="L5" s="643" t="s">
        <v>1483</v>
      </c>
      <c r="M5" s="521"/>
      <c r="N5" s="521"/>
      <c r="O5" s="643" t="s">
        <v>1484</v>
      </c>
      <c r="P5" s="643" t="s">
        <v>1485</v>
      </c>
      <c r="Q5" s="521"/>
      <c r="R5" s="521"/>
      <c r="S5" s="643" t="s">
        <v>1486</v>
      </c>
      <c r="T5" s="643" t="s">
        <v>1487</v>
      </c>
      <c r="U5" s="521"/>
      <c r="V5" s="521"/>
      <c r="W5" s="643" t="s">
        <v>1488</v>
      </c>
      <c r="X5" s="643" t="s">
        <v>2595</v>
      </c>
      <c r="Z5" s="614" t="s">
        <v>2933</v>
      </c>
      <c r="AA5" s="882" t="s">
        <v>2934</v>
      </c>
      <c r="AB5" s="882" t="s">
        <v>2935</v>
      </c>
      <c r="AC5" s="882"/>
      <c r="AD5" s="882" t="s">
        <v>1681</v>
      </c>
      <c r="AE5" s="882"/>
    </row>
    <row r="6" spans="1:31" ht="14.25" customHeight="1">
      <c r="A6" s="522">
        <v>1</v>
      </c>
      <c r="B6" s="523" t="s">
        <v>81</v>
      </c>
      <c r="C6" s="524" t="e">
        <f>'Aging Analysis'!C27</f>
        <v>#VALUE!</v>
      </c>
      <c r="D6" s="524" t="e">
        <f>E6+F6</f>
        <v>#VALUE!</v>
      </c>
      <c r="E6" s="525" t="s">
        <v>2936</v>
      </c>
      <c r="F6" s="525" t="s">
        <v>2937</v>
      </c>
      <c r="G6" s="525" t="s">
        <v>2938</v>
      </c>
      <c r="H6" s="524" t="e">
        <f>I6+J6</f>
        <v>#VALUE!</v>
      </c>
      <c r="I6" s="525" t="s">
        <v>2939</v>
      </c>
      <c r="J6" s="525" t="s">
        <v>2940</v>
      </c>
      <c r="K6" s="525" t="s">
        <v>2941</v>
      </c>
      <c r="L6" s="524" t="e">
        <f>M6+N6</f>
        <v>#VALUE!</v>
      </c>
      <c r="M6" s="525" t="s">
        <v>2942</v>
      </c>
      <c r="N6" s="525" t="s">
        <v>2943</v>
      </c>
      <c r="O6" s="525" t="s">
        <v>2944</v>
      </c>
      <c r="P6" s="524" t="e">
        <f>Q6+R6</f>
        <v>#VALUE!</v>
      </c>
      <c r="Q6" s="525" t="s">
        <v>2945</v>
      </c>
      <c r="R6" s="525" t="s">
        <v>2946</v>
      </c>
      <c r="S6" s="525" t="s">
        <v>2947</v>
      </c>
      <c r="T6" s="524" t="e">
        <f>U6+V6</f>
        <v>#VALUE!</v>
      </c>
      <c r="U6" s="525" t="s">
        <v>2948</v>
      </c>
      <c r="V6" s="525" t="s">
        <v>2949</v>
      </c>
      <c r="W6" s="525" t="s">
        <v>2950</v>
      </c>
      <c r="X6" s="524" t="e">
        <f>W6+S6+O6+K6+G6</f>
        <v>#VALUE!</v>
      </c>
      <c r="Z6" s="915" t="e">
        <f>D6+H6+L6+P6+T6</f>
        <v>#VALUE!</v>
      </c>
      <c r="AA6" s="915" t="e">
        <f>E6+I6+M6+Q6+U6</f>
        <v>#VALUE!</v>
      </c>
      <c r="AB6" s="915" t="e">
        <f>F6+J6+N6+R6+V6</f>
        <v>#VALUE!</v>
      </c>
      <c r="AC6" s="916"/>
      <c r="AD6" s="878" t="e">
        <f>C6-Z6</f>
        <v>#VALUE!</v>
      </c>
      <c r="AE6" s="882"/>
    </row>
    <row r="7" spans="1:31" ht="14.25" customHeight="1">
      <c r="A7" s="522">
        <v>2</v>
      </c>
      <c r="B7" s="523" t="s">
        <v>1809</v>
      </c>
      <c r="C7" s="524" t="e">
        <f>'Aging Analysis'!C28</f>
        <v>#VALUE!</v>
      </c>
      <c r="D7" s="524" t="e">
        <f t="shared" ref="D7:D14" si="0">E7+F7</f>
        <v>#VALUE!</v>
      </c>
      <c r="E7" s="525" t="s">
        <v>2951</v>
      </c>
      <c r="F7" s="525" t="s">
        <v>2952</v>
      </c>
      <c r="G7" s="525" t="s">
        <v>2953</v>
      </c>
      <c r="H7" s="524" t="e">
        <f t="shared" ref="H7:H14" si="1">I7+J7</f>
        <v>#VALUE!</v>
      </c>
      <c r="I7" s="525" t="s">
        <v>2954</v>
      </c>
      <c r="J7" s="525" t="s">
        <v>2955</v>
      </c>
      <c r="K7" s="525" t="s">
        <v>2956</v>
      </c>
      <c r="L7" s="524" t="e">
        <f t="shared" ref="L7:L14" si="2">M7+N7</f>
        <v>#VALUE!</v>
      </c>
      <c r="M7" s="525" t="s">
        <v>2957</v>
      </c>
      <c r="N7" s="525" t="s">
        <v>2958</v>
      </c>
      <c r="O7" s="525" t="s">
        <v>2959</v>
      </c>
      <c r="P7" s="524" t="e">
        <f t="shared" ref="P7:P14" si="3">Q7+R7</f>
        <v>#VALUE!</v>
      </c>
      <c r="Q7" s="525" t="s">
        <v>2960</v>
      </c>
      <c r="R7" s="525" t="s">
        <v>2961</v>
      </c>
      <c r="S7" s="525" t="s">
        <v>2962</v>
      </c>
      <c r="T7" s="524" t="e">
        <f t="shared" ref="T7:T14" si="4">U7+V7</f>
        <v>#VALUE!</v>
      </c>
      <c r="U7" s="525" t="s">
        <v>2963</v>
      </c>
      <c r="V7" s="525" t="s">
        <v>2964</v>
      </c>
      <c r="W7" s="525" t="s">
        <v>2965</v>
      </c>
      <c r="X7" s="524" t="e">
        <f t="shared" ref="X7:X14" si="5">W7+S7+O7+K7+G7</f>
        <v>#VALUE!</v>
      </c>
      <c r="Z7" s="915" t="e">
        <f t="shared" ref="Z7:AB16" si="6">D7+H7+L7+P7+T7</f>
        <v>#VALUE!</v>
      </c>
      <c r="AA7" s="915" t="e">
        <f t="shared" si="6"/>
        <v>#VALUE!</v>
      </c>
      <c r="AB7" s="915" t="e">
        <f t="shared" si="6"/>
        <v>#VALUE!</v>
      </c>
      <c r="AC7" s="916"/>
      <c r="AD7" s="878" t="e">
        <f t="shared" ref="AD7:AD16" si="7">C7-Z7</f>
        <v>#VALUE!</v>
      </c>
      <c r="AE7" s="882"/>
    </row>
    <row r="8" spans="1:31" ht="14.25" customHeight="1">
      <c r="A8" s="522">
        <v>3</v>
      </c>
      <c r="B8" s="523" t="s">
        <v>407</v>
      </c>
      <c r="C8" s="524" t="e">
        <f>'Aging Analysis'!C29</f>
        <v>#VALUE!</v>
      </c>
      <c r="D8" s="524" t="e">
        <f t="shared" si="0"/>
        <v>#VALUE!</v>
      </c>
      <c r="E8" s="525" t="s">
        <v>2966</v>
      </c>
      <c r="F8" s="525" t="s">
        <v>2967</v>
      </c>
      <c r="G8" s="525" t="s">
        <v>2968</v>
      </c>
      <c r="H8" s="524" t="e">
        <f t="shared" si="1"/>
        <v>#VALUE!</v>
      </c>
      <c r="I8" s="525" t="s">
        <v>2969</v>
      </c>
      <c r="J8" s="525" t="s">
        <v>2970</v>
      </c>
      <c r="K8" s="525" t="s">
        <v>2971</v>
      </c>
      <c r="L8" s="524" t="e">
        <f t="shared" si="2"/>
        <v>#VALUE!</v>
      </c>
      <c r="M8" s="525" t="s">
        <v>2972</v>
      </c>
      <c r="N8" s="525" t="s">
        <v>2973</v>
      </c>
      <c r="O8" s="525" t="s">
        <v>2974</v>
      </c>
      <c r="P8" s="524" t="e">
        <f t="shared" si="3"/>
        <v>#VALUE!</v>
      </c>
      <c r="Q8" s="525" t="s">
        <v>2975</v>
      </c>
      <c r="R8" s="525" t="s">
        <v>2976</v>
      </c>
      <c r="S8" s="525" t="s">
        <v>2977</v>
      </c>
      <c r="T8" s="524" t="e">
        <f t="shared" si="4"/>
        <v>#VALUE!</v>
      </c>
      <c r="U8" s="525" t="s">
        <v>2978</v>
      </c>
      <c r="V8" s="525" t="s">
        <v>2979</v>
      </c>
      <c r="W8" s="525" t="s">
        <v>2980</v>
      </c>
      <c r="X8" s="524" t="e">
        <f t="shared" si="5"/>
        <v>#VALUE!</v>
      </c>
      <c r="Z8" s="915" t="e">
        <f t="shared" si="6"/>
        <v>#VALUE!</v>
      </c>
      <c r="AA8" s="915" t="e">
        <f t="shared" si="6"/>
        <v>#VALUE!</v>
      </c>
      <c r="AB8" s="915" t="e">
        <f t="shared" si="6"/>
        <v>#VALUE!</v>
      </c>
      <c r="AC8" s="916"/>
      <c r="AD8" s="878" t="e">
        <f t="shared" si="7"/>
        <v>#VALUE!</v>
      </c>
      <c r="AE8" s="882"/>
    </row>
    <row r="9" spans="1:31" ht="14.25" customHeight="1">
      <c r="A9" s="522">
        <v>4</v>
      </c>
      <c r="B9" s="523" t="s">
        <v>1951</v>
      </c>
      <c r="C9" s="524" t="e">
        <f>'Aging Analysis'!C30</f>
        <v>#VALUE!</v>
      </c>
      <c r="D9" s="524" t="e">
        <f t="shared" si="0"/>
        <v>#VALUE!</v>
      </c>
      <c r="E9" s="525" t="s">
        <v>2981</v>
      </c>
      <c r="F9" s="525" t="s">
        <v>2982</v>
      </c>
      <c r="G9" s="525" t="s">
        <v>2983</v>
      </c>
      <c r="H9" s="524" t="e">
        <f t="shared" si="1"/>
        <v>#VALUE!</v>
      </c>
      <c r="I9" s="525" t="s">
        <v>2984</v>
      </c>
      <c r="J9" s="525" t="s">
        <v>2985</v>
      </c>
      <c r="K9" s="525" t="s">
        <v>2986</v>
      </c>
      <c r="L9" s="524" t="e">
        <f t="shared" si="2"/>
        <v>#VALUE!</v>
      </c>
      <c r="M9" s="525" t="s">
        <v>2987</v>
      </c>
      <c r="N9" s="525" t="s">
        <v>2988</v>
      </c>
      <c r="O9" s="525" t="s">
        <v>2989</v>
      </c>
      <c r="P9" s="524" t="e">
        <f t="shared" si="3"/>
        <v>#VALUE!</v>
      </c>
      <c r="Q9" s="525" t="s">
        <v>2990</v>
      </c>
      <c r="R9" s="525" t="s">
        <v>2991</v>
      </c>
      <c r="S9" s="525" t="s">
        <v>2992</v>
      </c>
      <c r="T9" s="524" t="e">
        <f t="shared" si="4"/>
        <v>#VALUE!</v>
      </c>
      <c r="U9" s="525" t="s">
        <v>2993</v>
      </c>
      <c r="V9" s="525" t="s">
        <v>2994</v>
      </c>
      <c r="W9" s="525" t="s">
        <v>2995</v>
      </c>
      <c r="X9" s="524" t="e">
        <f t="shared" si="5"/>
        <v>#VALUE!</v>
      </c>
      <c r="Z9" s="915" t="e">
        <f t="shared" si="6"/>
        <v>#VALUE!</v>
      </c>
      <c r="AA9" s="915" t="e">
        <f t="shared" si="6"/>
        <v>#VALUE!</v>
      </c>
      <c r="AB9" s="915" t="e">
        <f t="shared" si="6"/>
        <v>#VALUE!</v>
      </c>
      <c r="AC9" s="916"/>
      <c r="AD9" s="878" t="e">
        <f t="shared" si="7"/>
        <v>#VALUE!</v>
      </c>
      <c r="AE9" s="882"/>
    </row>
    <row r="10" spans="1:31" ht="14.25" customHeight="1">
      <c r="A10" s="522">
        <v>5</v>
      </c>
      <c r="B10" s="523" t="s">
        <v>1489</v>
      </c>
      <c r="C10" s="524" t="e">
        <f>'Aging Analysis'!C31</f>
        <v>#VALUE!</v>
      </c>
      <c r="D10" s="524" t="e">
        <f t="shared" si="0"/>
        <v>#VALUE!</v>
      </c>
      <c r="E10" s="525" t="s">
        <v>2996</v>
      </c>
      <c r="F10" s="525" t="s">
        <v>2997</v>
      </c>
      <c r="G10" s="525" t="s">
        <v>2998</v>
      </c>
      <c r="H10" s="524" t="e">
        <f t="shared" si="1"/>
        <v>#VALUE!</v>
      </c>
      <c r="I10" s="525" t="s">
        <v>2999</v>
      </c>
      <c r="J10" s="525" t="s">
        <v>3000</v>
      </c>
      <c r="K10" s="525" t="s">
        <v>3001</v>
      </c>
      <c r="L10" s="524" t="e">
        <f t="shared" si="2"/>
        <v>#VALUE!</v>
      </c>
      <c r="M10" s="525" t="s">
        <v>3002</v>
      </c>
      <c r="N10" s="525" t="s">
        <v>3003</v>
      </c>
      <c r="O10" s="525" t="s">
        <v>3004</v>
      </c>
      <c r="P10" s="524" t="e">
        <f t="shared" si="3"/>
        <v>#VALUE!</v>
      </c>
      <c r="Q10" s="525" t="s">
        <v>3005</v>
      </c>
      <c r="R10" s="525" t="s">
        <v>3006</v>
      </c>
      <c r="S10" s="525" t="s">
        <v>3007</v>
      </c>
      <c r="T10" s="524" t="e">
        <f t="shared" si="4"/>
        <v>#VALUE!</v>
      </c>
      <c r="U10" s="525" t="s">
        <v>3008</v>
      </c>
      <c r="V10" s="525" t="s">
        <v>3009</v>
      </c>
      <c r="W10" s="525" t="s">
        <v>3010</v>
      </c>
      <c r="X10" s="524" t="e">
        <f t="shared" si="5"/>
        <v>#VALUE!</v>
      </c>
      <c r="Z10" s="915" t="e">
        <f t="shared" si="6"/>
        <v>#VALUE!</v>
      </c>
      <c r="AA10" s="915" t="e">
        <f t="shared" si="6"/>
        <v>#VALUE!</v>
      </c>
      <c r="AB10" s="915" t="e">
        <f t="shared" si="6"/>
        <v>#VALUE!</v>
      </c>
      <c r="AC10" s="916"/>
      <c r="AD10" s="878" t="e">
        <f t="shared" si="7"/>
        <v>#VALUE!</v>
      </c>
      <c r="AE10" s="882"/>
    </row>
    <row r="11" spans="1:31" ht="14.25" customHeight="1">
      <c r="A11" s="522">
        <v>6</v>
      </c>
      <c r="B11" s="523" t="s">
        <v>1676</v>
      </c>
      <c r="C11" s="524" t="e">
        <f>'Aging Analysis'!C32</f>
        <v>#VALUE!</v>
      </c>
      <c r="D11" s="524" t="e">
        <f t="shared" si="0"/>
        <v>#VALUE!</v>
      </c>
      <c r="E11" s="525" t="s">
        <v>3011</v>
      </c>
      <c r="F11" s="525" t="s">
        <v>3012</v>
      </c>
      <c r="G11" s="525" t="s">
        <v>3013</v>
      </c>
      <c r="H11" s="524" t="e">
        <f t="shared" si="1"/>
        <v>#VALUE!</v>
      </c>
      <c r="I11" s="525" t="s">
        <v>3014</v>
      </c>
      <c r="J11" s="525" t="s">
        <v>3015</v>
      </c>
      <c r="K11" s="525" t="s">
        <v>3016</v>
      </c>
      <c r="L11" s="524" t="e">
        <f t="shared" si="2"/>
        <v>#VALUE!</v>
      </c>
      <c r="M11" s="525" t="s">
        <v>3017</v>
      </c>
      <c r="N11" s="525" t="s">
        <v>3018</v>
      </c>
      <c r="O11" s="525" t="s">
        <v>3019</v>
      </c>
      <c r="P11" s="524" t="e">
        <f t="shared" si="3"/>
        <v>#VALUE!</v>
      </c>
      <c r="Q11" s="525" t="s">
        <v>3020</v>
      </c>
      <c r="R11" s="525" t="s">
        <v>3021</v>
      </c>
      <c r="S11" s="525" t="s">
        <v>3022</v>
      </c>
      <c r="T11" s="524" t="e">
        <f t="shared" si="4"/>
        <v>#VALUE!</v>
      </c>
      <c r="U11" s="525" t="s">
        <v>3023</v>
      </c>
      <c r="V11" s="525" t="s">
        <v>3024</v>
      </c>
      <c r="W11" s="525" t="s">
        <v>3025</v>
      </c>
      <c r="X11" s="524" t="e">
        <f t="shared" si="5"/>
        <v>#VALUE!</v>
      </c>
      <c r="Z11" s="915" t="e">
        <f t="shared" si="6"/>
        <v>#VALUE!</v>
      </c>
      <c r="AA11" s="915" t="e">
        <f t="shared" si="6"/>
        <v>#VALUE!</v>
      </c>
      <c r="AB11" s="915" t="e">
        <f t="shared" si="6"/>
        <v>#VALUE!</v>
      </c>
      <c r="AC11" s="916"/>
      <c r="AD11" s="878" t="e">
        <f t="shared" si="7"/>
        <v>#VALUE!</v>
      </c>
      <c r="AE11" s="882"/>
    </row>
    <row r="12" spans="1:31" ht="14.25" customHeight="1">
      <c r="A12" s="522">
        <v>7</v>
      </c>
      <c r="B12" s="523" t="s">
        <v>1722</v>
      </c>
      <c r="C12" s="524" t="e">
        <f>'Aging Analysis'!C33</f>
        <v>#VALUE!</v>
      </c>
      <c r="D12" s="524" t="e">
        <f t="shared" si="0"/>
        <v>#VALUE!</v>
      </c>
      <c r="E12" s="525" t="s">
        <v>3026</v>
      </c>
      <c r="F12" s="525" t="s">
        <v>3027</v>
      </c>
      <c r="G12" s="525" t="s">
        <v>3028</v>
      </c>
      <c r="H12" s="524" t="e">
        <f t="shared" si="1"/>
        <v>#VALUE!</v>
      </c>
      <c r="I12" s="525" t="s">
        <v>3029</v>
      </c>
      <c r="J12" s="525" t="s">
        <v>3030</v>
      </c>
      <c r="K12" s="525" t="s">
        <v>3031</v>
      </c>
      <c r="L12" s="524" t="e">
        <f t="shared" si="2"/>
        <v>#VALUE!</v>
      </c>
      <c r="M12" s="525" t="s">
        <v>3032</v>
      </c>
      <c r="N12" s="525" t="s">
        <v>3033</v>
      </c>
      <c r="O12" s="525" t="s">
        <v>3034</v>
      </c>
      <c r="P12" s="524" t="e">
        <f t="shared" si="3"/>
        <v>#VALUE!</v>
      </c>
      <c r="Q12" s="525" t="s">
        <v>3035</v>
      </c>
      <c r="R12" s="525" t="s">
        <v>3036</v>
      </c>
      <c r="S12" s="525" t="s">
        <v>3037</v>
      </c>
      <c r="T12" s="524" t="e">
        <f t="shared" si="4"/>
        <v>#VALUE!</v>
      </c>
      <c r="U12" s="525" t="s">
        <v>3038</v>
      </c>
      <c r="V12" s="525" t="s">
        <v>3039</v>
      </c>
      <c r="W12" s="525" t="s">
        <v>3040</v>
      </c>
      <c r="X12" s="524" t="e">
        <f t="shared" si="5"/>
        <v>#VALUE!</v>
      </c>
      <c r="Z12" s="915" t="e">
        <f t="shared" si="6"/>
        <v>#VALUE!</v>
      </c>
      <c r="AA12" s="915" t="e">
        <f t="shared" si="6"/>
        <v>#VALUE!</v>
      </c>
      <c r="AB12" s="915" t="e">
        <f t="shared" si="6"/>
        <v>#VALUE!</v>
      </c>
      <c r="AC12" s="916"/>
      <c r="AD12" s="878" t="e">
        <f t="shared" si="7"/>
        <v>#VALUE!</v>
      </c>
      <c r="AE12" s="882"/>
    </row>
    <row r="13" spans="1:31" ht="14.25" customHeight="1">
      <c r="A13" s="522">
        <v>8</v>
      </c>
      <c r="B13" s="523" t="s">
        <v>1731</v>
      </c>
      <c r="C13" s="524" t="e">
        <f>'Aging Analysis'!C34</f>
        <v>#VALUE!</v>
      </c>
      <c r="D13" s="524" t="e">
        <f t="shared" si="0"/>
        <v>#VALUE!</v>
      </c>
      <c r="E13" s="525" t="e">
        <f>E14-E6-E7-E8-E9-E10-E11-E12</f>
        <v>#VALUE!</v>
      </c>
      <c r="F13" s="525" t="e">
        <f>F14-F6-F7-F8-F9-F10-F11-F12</f>
        <v>#VALUE!</v>
      </c>
      <c r="G13" s="525" t="e">
        <f>G14-G6-G7-G8-G9-G10-G11-G12</f>
        <v>#VALUE!</v>
      </c>
      <c r="H13" s="524" t="e">
        <f t="shared" si="1"/>
        <v>#VALUE!</v>
      </c>
      <c r="I13" s="525" t="e">
        <f>I14-I6-I7-I8-I9-I10-I11-I12</f>
        <v>#VALUE!</v>
      </c>
      <c r="J13" s="525" t="e">
        <f>J14-J6-J7-J8-J9-J10-J11-J12</f>
        <v>#VALUE!</v>
      </c>
      <c r="K13" s="525" t="e">
        <f>K14-K6-K7-K8-K9-K10-K11-K12</f>
        <v>#VALUE!</v>
      </c>
      <c r="L13" s="524" t="e">
        <f t="shared" si="2"/>
        <v>#VALUE!</v>
      </c>
      <c r="M13" s="525" t="e">
        <f>M14-M6-M7-M8-M9-M10-M11-M12</f>
        <v>#VALUE!</v>
      </c>
      <c r="N13" s="525" t="e">
        <f>N14-N6-N7-N8-N9-N10-N11-N12</f>
        <v>#VALUE!</v>
      </c>
      <c r="O13" s="525" t="e">
        <f>O14-O6-O7-O8-O9-O10-O11-O12</f>
        <v>#VALUE!</v>
      </c>
      <c r="P13" s="524" t="e">
        <f t="shared" si="3"/>
        <v>#VALUE!</v>
      </c>
      <c r="Q13" s="525" t="e">
        <f>Q14-Q6-Q7-Q8-Q9-Q10-Q11-Q12</f>
        <v>#VALUE!</v>
      </c>
      <c r="R13" s="525" t="e">
        <f>R14-R6-R7-R8-R9-R10-R11-R12</f>
        <v>#VALUE!</v>
      </c>
      <c r="S13" s="525" t="e">
        <f>S14-S6-S7-S8-S9-S10-S11-S12</f>
        <v>#VALUE!</v>
      </c>
      <c r="T13" s="524" t="e">
        <f t="shared" si="4"/>
        <v>#VALUE!</v>
      </c>
      <c r="U13" s="525" t="e">
        <f>U14-U6-U7-U8-U9-U10-U11-U12</f>
        <v>#VALUE!</v>
      </c>
      <c r="V13" s="525" t="e">
        <f>V14-V6-V7-V8-V9-V10-V11-V12</f>
        <v>#VALUE!</v>
      </c>
      <c r="W13" s="525" t="e">
        <f>W14-W6-W7-W8-W9-W10-W11-W12</f>
        <v>#VALUE!</v>
      </c>
      <c r="X13" s="524" t="e">
        <f t="shared" si="5"/>
        <v>#VALUE!</v>
      </c>
      <c r="Z13" s="915" t="e">
        <f t="shared" si="6"/>
        <v>#VALUE!</v>
      </c>
      <c r="AA13" s="915" t="e">
        <f t="shared" si="6"/>
        <v>#VALUE!</v>
      </c>
      <c r="AB13" s="915" t="e">
        <f t="shared" si="6"/>
        <v>#VALUE!</v>
      </c>
      <c r="AC13" s="916"/>
      <c r="AD13" s="878" t="e">
        <f t="shared" si="7"/>
        <v>#VALUE!</v>
      </c>
      <c r="AE13" s="882"/>
    </row>
    <row r="14" spans="1:31" ht="14.25" customHeight="1">
      <c r="A14" s="522">
        <v>9</v>
      </c>
      <c r="B14" s="523" t="s">
        <v>1677</v>
      </c>
      <c r="C14" s="524" t="e">
        <f>SUM(C6:C13)</f>
        <v>#VALUE!</v>
      </c>
      <c r="D14" s="524" t="e">
        <f t="shared" si="0"/>
        <v>#VALUE!</v>
      </c>
      <c r="E14" s="525" t="e">
        <f>E21-E22</f>
        <v>#VALUE!</v>
      </c>
      <c r="F14" s="525" t="s">
        <v>1932</v>
      </c>
      <c r="G14" s="525" t="s">
        <v>2233</v>
      </c>
      <c r="H14" s="524" t="e">
        <f t="shared" si="1"/>
        <v>#VALUE!</v>
      </c>
      <c r="I14" s="525" t="s">
        <v>984</v>
      </c>
      <c r="J14" s="525" t="s">
        <v>1570</v>
      </c>
      <c r="K14" s="525" t="s">
        <v>985</v>
      </c>
      <c r="L14" s="524" t="e">
        <f t="shared" si="2"/>
        <v>#VALUE!</v>
      </c>
      <c r="M14" s="525" t="s">
        <v>1492</v>
      </c>
      <c r="N14" s="525" t="s">
        <v>2093</v>
      </c>
      <c r="O14" s="525" t="s">
        <v>904</v>
      </c>
      <c r="P14" s="524" t="e">
        <f t="shared" si="3"/>
        <v>#VALUE!</v>
      </c>
      <c r="Q14" s="525" t="s">
        <v>31</v>
      </c>
      <c r="R14" s="525" t="s">
        <v>817</v>
      </c>
      <c r="S14" s="525" t="s">
        <v>2079</v>
      </c>
      <c r="T14" s="524" t="e">
        <f t="shared" si="4"/>
        <v>#VALUE!</v>
      </c>
      <c r="U14" s="525" t="s">
        <v>608</v>
      </c>
      <c r="V14" s="525" t="s">
        <v>1591</v>
      </c>
      <c r="W14" s="525" t="s">
        <v>609</v>
      </c>
      <c r="X14" s="524" t="e">
        <f t="shared" si="5"/>
        <v>#VALUE!</v>
      </c>
      <c r="Z14" s="915" t="e">
        <f t="shared" si="6"/>
        <v>#VALUE!</v>
      </c>
      <c r="AA14" s="915" t="e">
        <f t="shared" si="6"/>
        <v>#VALUE!</v>
      </c>
      <c r="AB14" s="915" t="e">
        <f t="shared" si="6"/>
        <v>#VALUE!</v>
      </c>
      <c r="AC14" s="916"/>
      <c r="AD14" s="878" t="e">
        <f t="shared" si="7"/>
        <v>#VALUE!</v>
      </c>
      <c r="AE14" s="882"/>
    </row>
    <row r="15" spans="1:31" ht="14.25" customHeight="1" thickBot="1">
      <c r="A15" s="522">
        <v>10</v>
      </c>
      <c r="B15" s="523" t="s">
        <v>1678</v>
      </c>
      <c r="C15" s="524"/>
      <c r="D15" s="524"/>
      <c r="E15" s="524"/>
      <c r="F15" s="524"/>
      <c r="G15" s="524"/>
      <c r="H15" s="524"/>
      <c r="I15" s="524"/>
      <c r="J15" s="524"/>
      <c r="K15" s="524"/>
      <c r="L15" s="524"/>
      <c r="M15" s="524"/>
      <c r="N15" s="524"/>
      <c r="O15" s="524"/>
      <c r="P15" s="524"/>
      <c r="Q15" s="524"/>
      <c r="R15" s="524"/>
      <c r="S15" s="524"/>
      <c r="T15" s="524"/>
      <c r="U15" s="524"/>
      <c r="V15" s="524"/>
      <c r="W15" s="524"/>
      <c r="X15" s="524">
        <f>G15+K15+O15+S15+W15</f>
        <v>0</v>
      </c>
      <c r="Z15" s="915">
        <f t="shared" si="6"/>
        <v>0</v>
      </c>
      <c r="AA15" s="915">
        <f t="shared" si="6"/>
        <v>0</v>
      </c>
      <c r="AB15" s="915">
        <f t="shared" si="6"/>
        <v>0</v>
      </c>
      <c r="AC15" s="882"/>
      <c r="AD15" s="878">
        <f t="shared" si="7"/>
        <v>0</v>
      </c>
      <c r="AE15" s="882"/>
    </row>
    <row r="16" spans="1:31" ht="26.25" thickBot="1">
      <c r="A16" s="526">
        <v>11</v>
      </c>
      <c r="B16" s="527" t="s">
        <v>1679</v>
      </c>
      <c r="C16" s="528" t="e">
        <f t="shared" ref="C16:W16" si="8">SUM(C14:C15)</f>
        <v>#VALUE!</v>
      </c>
      <c r="D16" s="528" t="e">
        <f t="shared" si="8"/>
        <v>#VALUE!</v>
      </c>
      <c r="E16" s="528" t="e">
        <f t="shared" si="8"/>
        <v>#VALUE!</v>
      </c>
      <c r="F16" s="528">
        <f t="shared" si="8"/>
        <v>0</v>
      </c>
      <c r="G16" s="528">
        <f t="shared" si="8"/>
        <v>0</v>
      </c>
      <c r="H16" s="528" t="e">
        <f t="shared" si="8"/>
        <v>#VALUE!</v>
      </c>
      <c r="I16" s="528">
        <f t="shared" si="8"/>
        <v>0</v>
      </c>
      <c r="J16" s="528">
        <f t="shared" si="8"/>
        <v>0</v>
      </c>
      <c r="K16" s="528">
        <f t="shared" si="8"/>
        <v>0</v>
      </c>
      <c r="L16" s="528" t="e">
        <f t="shared" si="8"/>
        <v>#VALUE!</v>
      </c>
      <c r="M16" s="528">
        <f t="shared" si="8"/>
        <v>0</v>
      </c>
      <c r="N16" s="528">
        <f t="shared" si="8"/>
        <v>0</v>
      </c>
      <c r="O16" s="528">
        <f t="shared" si="8"/>
        <v>0</v>
      </c>
      <c r="P16" s="528" t="e">
        <f t="shared" si="8"/>
        <v>#VALUE!</v>
      </c>
      <c r="Q16" s="528">
        <f t="shared" si="8"/>
        <v>0</v>
      </c>
      <c r="R16" s="528">
        <f t="shared" si="8"/>
        <v>0</v>
      </c>
      <c r="S16" s="528">
        <f t="shared" si="8"/>
        <v>0</v>
      </c>
      <c r="T16" s="528" t="e">
        <f t="shared" si="8"/>
        <v>#VALUE!</v>
      </c>
      <c r="U16" s="528">
        <f t="shared" si="8"/>
        <v>0</v>
      </c>
      <c r="V16" s="528">
        <f t="shared" si="8"/>
        <v>0</v>
      </c>
      <c r="W16" s="529">
        <f t="shared" si="8"/>
        <v>0</v>
      </c>
      <c r="X16" s="530">
        <f>G16+K16+O16+S16+W16</f>
        <v>0</v>
      </c>
      <c r="Z16" s="915" t="e">
        <f t="shared" si="6"/>
        <v>#VALUE!</v>
      </c>
      <c r="AA16" s="915" t="e">
        <f t="shared" si="6"/>
        <v>#VALUE!</v>
      </c>
      <c r="AB16" s="915">
        <f t="shared" si="6"/>
        <v>0</v>
      </c>
      <c r="AC16" s="882"/>
      <c r="AD16" s="878" t="e">
        <f t="shared" si="7"/>
        <v>#VALUE!</v>
      </c>
      <c r="AE16" s="882"/>
    </row>
    <row r="17" spans="2:31">
      <c r="AA17" s="882"/>
      <c r="AB17" s="882"/>
      <c r="AC17" s="882"/>
      <c r="AD17" s="882"/>
      <c r="AE17" s="882"/>
    </row>
    <row r="18" spans="2:31" ht="15.75">
      <c r="B18" s="531" t="s">
        <v>102</v>
      </c>
      <c r="K18" s="532"/>
      <c r="L18" s="532"/>
      <c r="AA18" s="882"/>
      <c r="AB18" s="882"/>
      <c r="AC18" s="882"/>
      <c r="AD18" s="882"/>
      <c r="AE18" s="882"/>
    </row>
    <row r="19" spans="2:31" ht="15.75">
      <c r="B19" s="531" t="s">
        <v>1198</v>
      </c>
      <c r="E19" s="849"/>
      <c r="K19" s="532"/>
      <c r="L19" s="532"/>
    </row>
    <row r="20" spans="2:31" s="912" customFormat="1">
      <c r="E20" s="913"/>
    </row>
    <row r="21" spans="2:31" s="914" customFormat="1" ht="15.75">
      <c r="E21" s="904" t="s">
        <v>1045</v>
      </c>
    </row>
    <row r="22" spans="2:31" s="914" customFormat="1" ht="15.75">
      <c r="E22" s="904" t="s">
        <v>2919</v>
      </c>
    </row>
    <row r="23" spans="2:31" s="914" customFormat="1" ht="15.75">
      <c r="E23" s="904"/>
    </row>
    <row r="24" spans="2:31" s="914" customFormat="1" ht="15.75">
      <c r="E24" s="904"/>
    </row>
    <row r="25" spans="2:31" s="882" customFormat="1" ht="15.75">
      <c r="E25" s="904"/>
    </row>
    <row r="26" spans="2:31" s="455" customFormat="1" ht="15.75">
      <c r="E26" s="850"/>
      <c r="Z26" s="882"/>
      <c r="AA26" s="882"/>
      <c r="AB26" s="882"/>
      <c r="AC26" s="882"/>
      <c r="AD26" s="882"/>
      <c r="AE26" s="882"/>
    </row>
    <row r="27" spans="2:31" s="851" customFormat="1" ht="15.75">
      <c r="E27" s="852"/>
      <c r="Z27" s="882"/>
      <c r="AA27" s="882"/>
      <c r="AB27" s="882"/>
      <c r="AC27" s="882"/>
      <c r="AD27" s="882"/>
      <c r="AE27" s="882"/>
    </row>
    <row r="28" spans="2:31" s="455" customFormat="1">
      <c r="E28" s="853"/>
      <c r="Z28" s="882"/>
      <c r="AA28" s="882"/>
      <c r="AB28" s="882"/>
      <c r="AC28" s="882"/>
      <c r="AD28" s="882"/>
      <c r="AE28" s="882"/>
    </row>
    <row r="29" spans="2:31" s="455" customFormat="1" ht="15.75">
      <c r="E29" s="850"/>
      <c r="Z29" s="882"/>
      <c r="AA29" s="882"/>
      <c r="AB29" s="882"/>
      <c r="AC29" s="882"/>
      <c r="AD29" s="882"/>
      <c r="AE29" s="882"/>
    </row>
    <row r="30" spans="2:31" s="455" customFormat="1">
      <c r="Z30" s="882"/>
      <c r="AA30" s="882"/>
      <c r="AB30" s="882"/>
      <c r="AC30" s="882"/>
      <c r="AD30" s="882"/>
      <c r="AE30" s="882"/>
    </row>
  </sheetData>
  <mergeCells count="2">
    <mergeCell ref="A2:O2"/>
    <mergeCell ref="V1:X1"/>
  </mergeCells>
  <phoneticPr fontId="0" type="noConversion"/>
  <dataValidations count="1">
    <dataValidation type="whole" operator="greaterThanOrEqual" allowBlank="1" showErrorMessage="1" error="Введите целое положительное число." sqref="WVK983055:WWE983055 JX15 TT15 ADP15 ANL15 AXH15 BHD15 BQZ15 CAV15 CKR15 CUN15 DEJ15 DOF15 DYB15 EHX15 ERT15 FBP15 FLL15 FVH15 GFD15 GOZ15 GYV15 HIR15 HSN15 ICJ15 IMF15 IWB15 JFX15 JPT15 JZP15 KJL15 KTH15 LDD15 LMZ15 LWV15 MGR15 MQN15 NAJ15 NKF15 NUB15 ODX15 ONT15 OXP15 PHL15 PRH15 QBD15 QKZ15 QUV15 RER15 RON15 RYJ15 SIF15 SSB15 TBX15 TLT15 TVP15 UFL15 UPH15 UZD15 VIZ15 VSV15 WCR15 WMN15 WWJ15 AB65551 JX65551 TT65551 ADP65551 ANL65551 AXH65551 BHD65551 BQZ65551 CAV65551 CKR65551 CUN65551 DEJ65551 DOF65551 DYB65551 EHX65551 ERT65551 FBP65551 FLL65551 FVH65551 GFD65551 GOZ65551 GYV65551 HIR65551 HSN65551 ICJ65551 IMF65551 IWB65551 JFX65551 JPT65551 JZP65551 KJL65551 KTH65551 LDD65551 LMZ65551 LWV65551 MGR65551 MQN65551 NAJ65551 NKF65551 NUB65551 ODX65551 ONT65551 OXP65551 PHL65551 PRH65551 QBD65551 QKZ65551 QUV65551 RER65551 RON65551 RYJ65551 SIF65551 SSB65551 TBX65551 TLT65551 TVP65551 UFL65551 UPH65551 UZD65551 VIZ65551 VSV65551 WCR65551 WMN65551 WWJ65551 AB131087 JX131087 TT131087 ADP131087 ANL131087 AXH131087 BHD131087 BQZ131087 CAV131087 CKR131087 CUN131087 DEJ131087 DOF131087 DYB131087 EHX131087 ERT131087 FBP131087 FLL131087 FVH131087 GFD131087 GOZ131087 GYV131087 HIR131087 HSN131087 ICJ131087 IMF131087 IWB131087 JFX131087 JPT131087 JZP131087 KJL131087 KTH131087 LDD131087 LMZ131087 LWV131087 MGR131087 MQN131087 NAJ131087 NKF131087 NUB131087 ODX131087 ONT131087 OXP131087 PHL131087 PRH131087 QBD131087 QKZ131087 QUV131087 RER131087 RON131087 RYJ131087 SIF131087 SSB131087 TBX131087 TLT131087 TVP131087 UFL131087 UPH131087 UZD131087 VIZ131087 VSV131087 WCR131087 WMN131087 WWJ131087 AB196623 JX196623 TT196623 ADP196623 ANL196623 AXH196623 BHD196623 BQZ196623 CAV196623 CKR196623 CUN196623 DEJ196623 DOF196623 DYB196623 EHX196623 ERT196623 FBP196623 FLL196623 FVH196623 GFD196623 GOZ196623 GYV196623 HIR196623 HSN196623 ICJ196623 IMF196623 IWB196623 JFX196623 JPT196623 JZP196623 KJL196623 KTH196623 LDD196623 LMZ196623 LWV196623 MGR196623 MQN196623 NAJ196623 NKF196623 NUB196623 ODX196623 ONT196623 OXP196623 PHL196623 PRH196623 QBD196623 QKZ196623 QUV196623 RER196623 RON196623 RYJ196623 SIF196623 SSB196623 TBX196623 TLT196623 TVP196623 UFL196623 UPH196623 UZD196623 VIZ196623 VSV196623 WCR196623 WMN196623 WWJ196623 AB262159 JX262159 TT262159 ADP262159 ANL262159 AXH262159 BHD262159 BQZ262159 CAV262159 CKR262159 CUN262159 DEJ262159 DOF262159 DYB262159 EHX262159 ERT262159 FBP262159 FLL262159 FVH262159 GFD262159 GOZ262159 GYV262159 HIR262159 HSN262159 ICJ262159 IMF262159 IWB262159 JFX262159 JPT262159 JZP262159 KJL262159 KTH262159 LDD262159 LMZ262159 LWV262159 MGR262159 MQN262159 NAJ262159 NKF262159 NUB262159 ODX262159 ONT262159 OXP262159 PHL262159 PRH262159 QBD262159 QKZ262159 QUV262159 RER262159 RON262159 RYJ262159 SIF262159 SSB262159 TBX262159 TLT262159 TVP262159 UFL262159 UPH262159 UZD262159 VIZ262159 VSV262159 WCR262159 WMN262159 WWJ262159 AB327695 JX327695 TT327695 ADP327695 ANL327695 AXH327695 BHD327695 BQZ327695 CAV327695 CKR327695 CUN327695 DEJ327695 DOF327695 DYB327695 EHX327695 ERT327695 FBP327695 FLL327695 FVH327695 GFD327695 GOZ327695 GYV327695 HIR327695 HSN327695 ICJ327695 IMF327695 IWB327695 JFX327695 JPT327695 JZP327695 KJL327695 KTH327695 LDD327695 LMZ327695 LWV327695 MGR327695 MQN327695 NAJ327695 NKF327695 NUB327695 ODX327695 ONT327695 OXP327695 PHL327695 PRH327695 QBD327695 QKZ327695 QUV327695 RER327695 RON327695 RYJ327695 SIF327695 SSB327695 TBX327695 TLT327695 TVP327695 UFL327695 UPH327695 UZD327695 VIZ327695 VSV327695 WCR327695 WMN327695 WWJ327695 AB393231 JX393231 TT393231 ADP393231 ANL393231 AXH393231 BHD393231 BQZ393231 CAV393231 CKR393231 CUN393231 DEJ393231 DOF393231 DYB393231 EHX393231 ERT393231 FBP393231 FLL393231 FVH393231 GFD393231 GOZ393231 GYV393231 HIR393231 HSN393231 ICJ393231 IMF393231 IWB393231 JFX393231 JPT393231 JZP393231 KJL393231 KTH393231 LDD393231 LMZ393231 LWV393231 MGR393231 MQN393231 NAJ393231 NKF393231 NUB393231 ODX393231 ONT393231 OXP393231 PHL393231 PRH393231 QBD393231 QKZ393231 QUV393231 RER393231 RON393231 RYJ393231 SIF393231 SSB393231 TBX393231 TLT393231 TVP393231 UFL393231 UPH393231 UZD393231 VIZ393231 VSV393231 WCR393231 WMN393231 WWJ393231 AB458767 JX458767 TT458767 ADP458767 ANL458767 AXH458767 BHD458767 BQZ458767 CAV458767 CKR458767 CUN458767 DEJ458767 DOF458767 DYB458767 EHX458767 ERT458767 FBP458767 FLL458767 FVH458767 GFD458767 GOZ458767 GYV458767 HIR458767 HSN458767 ICJ458767 IMF458767 IWB458767 JFX458767 JPT458767 JZP458767 KJL458767 KTH458767 LDD458767 LMZ458767 LWV458767 MGR458767 MQN458767 NAJ458767 NKF458767 NUB458767 ODX458767 ONT458767 OXP458767 PHL458767 PRH458767 QBD458767 QKZ458767 QUV458767 RER458767 RON458767 RYJ458767 SIF458767 SSB458767 TBX458767 TLT458767 TVP458767 UFL458767 UPH458767 UZD458767 VIZ458767 VSV458767 WCR458767 WMN458767 WWJ458767 AB524303 JX524303 TT524303 ADP524303 ANL524303 AXH524303 BHD524303 BQZ524303 CAV524303 CKR524303 CUN524303 DEJ524303 DOF524303 DYB524303 EHX524303 ERT524303 FBP524303 FLL524303 FVH524303 GFD524303 GOZ524303 GYV524303 HIR524303 HSN524303 ICJ524303 IMF524303 IWB524303 JFX524303 JPT524303 JZP524303 KJL524303 KTH524303 LDD524303 LMZ524303 LWV524303 MGR524303 MQN524303 NAJ524303 NKF524303 NUB524303 ODX524303 ONT524303 OXP524303 PHL524303 PRH524303 QBD524303 QKZ524303 QUV524303 RER524303 RON524303 RYJ524303 SIF524303 SSB524303 TBX524303 TLT524303 TVP524303 UFL524303 UPH524303 UZD524303 VIZ524303 VSV524303 WCR524303 WMN524303 WWJ524303 AB589839 JX589839 TT589839 ADP589839 ANL589839 AXH589839 BHD589839 BQZ589839 CAV589839 CKR589839 CUN589839 DEJ589839 DOF589839 DYB589839 EHX589839 ERT589839 FBP589839 FLL589839 FVH589839 GFD589839 GOZ589839 GYV589839 HIR589839 HSN589839 ICJ589839 IMF589839 IWB589839 JFX589839 JPT589839 JZP589839 KJL589839 KTH589839 LDD589839 LMZ589839 LWV589839 MGR589839 MQN589839 NAJ589839 NKF589839 NUB589839 ODX589839 ONT589839 OXP589839 PHL589839 PRH589839 QBD589839 QKZ589839 QUV589839 RER589839 RON589839 RYJ589839 SIF589839 SSB589839 TBX589839 TLT589839 TVP589839 UFL589839 UPH589839 UZD589839 VIZ589839 VSV589839 WCR589839 WMN589839 WWJ589839 AB655375 JX655375 TT655375 ADP655375 ANL655375 AXH655375 BHD655375 BQZ655375 CAV655375 CKR655375 CUN655375 DEJ655375 DOF655375 DYB655375 EHX655375 ERT655375 FBP655375 FLL655375 FVH655375 GFD655375 GOZ655375 GYV655375 HIR655375 HSN655375 ICJ655375 IMF655375 IWB655375 JFX655375 JPT655375 JZP655375 KJL655375 KTH655375 LDD655375 LMZ655375 LWV655375 MGR655375 MQN655375 NAJ655375 NKF655375 NUB655375 ODX655375 ONT655375 OXP655375 PHL655375 PRH655375 QBD655375 QKZ655375 QUV655375 RER655375 RON655375 RYJ655375 SIF655375 SSB655375 TBX655375 TLT655375 TVP655375 UFL655375 UPH655375 UZD655375 VIZ655375 VSV655375 WCR655375 WMN655375 WWJ655375 AB720911 JX720911 TT720911 ADP720911 ANL720911 AXH720911 BHD720911 BQZ720911 CAV720911 CKR720911 CUN720911 DEJ720911 DOF720911 DYB720911 EHX720911 ERT720911 FBP720911 FLL720911 FVH720911 GFD720911 GOZ720911 GYV720911 HIR720911 HSN720911 ICJ720911 IMF720911 IWB720911 JFX720911 JPT720911 JZP720911 KJL720911 KTH720911 LDD720911 LMZ720911 LWV720911 MGR720911 MQN720911 NAJ720911 NKF720911 NUB720911 ODX720911 ONT720911 OXP720911 PHL720911 PRH720911 QBD720911 QKZ720911 QUV720911 RER720911 RON720911 RYJ720911 SIF720911 SSB720911 TBX720911 TLT720911 TVP720911 UFL720911 UPH720911 UZD720911 VIZ720911 VSV720911 WCR720911 WMN720911 WWJ720911 AB786447 JX786447 TT786447 ADP786447 ANL786447 AXH786447 BHD786447 BQZ786447 CAV786447 CKR786447 CUN786447 DEJ786447 DOF786447 DYB786447 EHX786447 ERT786447 FBP786447 FLL786447 FVH786447 GFD786447 GOZ786447 GYV786447 HIR786447 HSN786447 ICJ786447 IMF786447 IWB786447 JFX786447 JPT786447 JZP786447 KJL786447 KTH786447 LDD786447 LMZ786447 LWV786447 MGR786447 MQN786447 NAJ786447 NKF786447 NUB786447 ODX786447 ONT786447 OXP786447 PHL786447 PRH786447 QBD786447 QKZ786447 QUV786447 RER786447 RON786447 RYJ786447 SIF786447 SSB786447 TBX786447 TLT786447 TVP786447 UFL786447 UPH786447 UZD786447 VIZ786447 VSV786447 WCR786447 WMN786447 WWJ786447 AB851983 JX851983 TT851983 ADP851983 ANL851983 AXH851983 BHD851983 BQZ851983 CAV851983 CKR851983 CUN851983 DEJ851983 DOF851983 DYB851983 EHX851983 ERT851983 FBP851983 FLL851983 FVH851983 GFD851983 GOZ851983 GYV851983 HIR851983 HSN851983 ICJ851983 IMF851983 IWB851983 JFX851983 JPT851983 JZP851983 KJL851983 KTH851983 LDD851983 LMZ851983 LWV851983 MGR851983 MQN851983 NAJ851983 NKF851983 NUB851983 ODX851983 ONT851983 OXP851983 PHL851983 PRH851983 QBD851983 QKZ851983 QUV851983 RER851983 RON851983 RYJ851983 SIF851983 SSB851983 TBX851983 TLT851983 TVP851983 UFL851983 UPH851983 UZD851983 VIZ851983 VSV851983 WCR851983 WMN851983 WWJ851983 AB917519 JX917519 TT917519 ADP917519 ANL917519 AXH917519 BHD917519 BQZ917519 CAV917519 CKR917519 CUN917519 DEJ917519 DOF917519 DYB917519 EHX917519 ERT917519 FBP917519 FLL917519 FVH917519 GFD917519 GOZ917519 GYV917519 HIR917519 HSN917519 ICJ917519 IMF917519 IWB917519 JFX917519 JPT917519 JZP917519 KJL917519 KTH917519 LDD917519 LMZ917519 LWV917519 MGR917519 MQN917519 NAJ917519 NKF917519 NUB917519 ODX917519 ONT917519 OXP917519 PHL917519 PRH917519 QBD917519 QKZ917519 QUV917519 RER917519 RON917519 RYJ917519 SIF917519 SSB917519 TBX917519 TLT917519 TVP917519 UFL917519 UPH917519 UZD917519 VIZ917519 VSV917519 WCR917519 WMN917519 WWJ917519 AB983055 JX983055 TT983055 ADP983055 ANL983055 AXH983055 BHD983055 BQZ983055 CAV983055 CKR983055 CUN983055 DEJ983055 DOF983055 DYB983055 EHX983055 ERT983055 FBP983055 FLL983055 FVH983055 GFD983055 GOZ983055 GYV983055 HIR983055 HSN983055 ICJ983055 IMF983055 IWB983055 JFX983055 JPT983055 JZP983055 KJL983055 KTH983055 LDD983055 LMZ983055 LWV983055 MGR983055 MQN983055 NAJ983055 NKF983055 NUB983055 ODX983055 ONT983055 OXP983055 PHL983055 PRH983055 QBD983055 QKZ983055 QUV983055 RER983055 RON983055 RYJ983055 SIF983055 SSB983055 TBX983055 TLT983055 TVP983055 UFL983055 UPH983055 UZD983055 VIZ983055 VSV983055 WCR983055 WMN983055 WWJ983055 C15:W15 IY15:JS15 SU15:TO15 ACQ15:ADK15 AMM15:ANG15 AWI15:AXC15 BGE15:BGY15 BQA15:BQU15 BZW15:CAQ15 CJS15:CKM15 CTO15:CUI15 DDK15:DEE15 DNG15:DOA15 DXC15:DXW15 EGY15:EHS15 EQU15:ERO15 FAQ15:FBK15 FKM15:FLG15 FUI15:FVC15 GEE15:GEY15 GOA15:GOU15 GXW15:GYQ15 HHS15:HIM15 HRO15:HSI15 IBK15:ICE15 ILG15:IMA15 IVC15:IVW15 JEY15:JFS15 JOU15:JPO15 JYQ15:JZK15 KIM15:KJG15 KSI15:KTC15 LCE15:LCY15 LMA15:LMU15 LVW15:LWQ15 MFS15:MGM15 MPO15:MQI15 MZK15:NAE15 NJG15:NKA15 NTC15:NTW15 OCY15:ODS15 OMU15:ONO15 OWQ15:OXK15 PGM15:PHG15 PQI15:PRC15 QAE15:QAY15 QKA15:QKU15 QTW15:QUQ15 RDS15:REM15 RNO15:ROI15 RXK15:RYE15 SHG15:SIA15 SRC15:SRW15 TAY15:TBS15 TKU15:TLO15 TUQ15:TVK15 UEM15:UFG15 UOI15:UPC15 UYE15:UYY15 VIA15:VIU15 VRW15:VSQ15 WBS15:WCM15 WLO15:WMI15 WVK15:WWE15 C65551:W65551 IY65551:JS65551 SU65551:TO65551 ACQ65551:ADK65551 AMM65551:ANG65551 AWI65551:AXC65551 BGE65551:BGY65551 BQA65551:BQU65551 BZW65551:CAQ65551 CJS65551:CKM65551 CTO65551:CUI65551 DDK65551:DEE65551 DNG65551:DOA65551 DXC65551:DXW65551 EGY65551:EHS65551 EQU65551:ERO65551 FAQ65551:FBK65551 FKM65551:FLG65551 FUI65551:FVC65551 GEE65551:GEY65551 GOA65551:GOU65551 GXW65551:GYQ65551 HHS65551:HIM65551 HRO65551:HSI65551 IBK65551:ICE65551 ILG65551:IMA65551 IVC65551:IVW65551 JEY65551:JFS65551 JOU65551:JPO65551 JYQ65551:JZK65551 KIM65551:KJG65551 KSI65551:KTC65551 LCE65551:LCY65551 LMA65551:LMU65551 LVW65551:LWQ65551 MFS65551:MGM65551 MPO65551:MQI65551 MZK65551:NAE65551 NJG65551:NKA65551 NTC65551:NTW65551 OCY65551:ODS65551 OMU65551:ONO65551 OWQ65551:OXK65551 PGM65551:PHG65551 PQI65551:PRC65551 QAE65551:QAY65551 QKA65551:QKU65551 QTW65551:QUQ65551 RDS65551:REM65551 RNO65551:ROI65551 RXK65551:RYE65551 SHG65551:SIA65551 SRC65551:SRW65551 TAY65551:TBS65551 TKU65551:TLO65551 TUQ65551:TVK65551 UEM65551:UFG65551 UOI65551:UPC65551 UYE65551:UYY65551 VIA65551:VIU65551 VRW65551:VSQ65551 WBS65551:WCM65551 WLO65551:WMI65551 WVK65551:WWE65551 C131087:W131087 IY131087:JS131087 SU131087:TO131087 ACQ131087:ADK131087 AMM131087:ANG131087 AWI131087:AXC131087 BGE131087:BGY131087 BQA131087:BQU131087 BZW131087:CAQ131087 CJS131087:CKM131087 CTO131087:CUI131087 DDK131087:DEE131087 DNG131087:DOA131087 DXC131087:DXW131087 EGY131087:EHS131087 EQU131087:ERO131087 FAQ131087:FBK131087 FKM131087:FLG131087 FUI131087:FVC131087 GEE131087:GEY131087 GOA131087:GOU131087 GXW131087:GYQ131087 HHS131087:HIM131087 HRO131087:HSI131087 IBK131087:ICE131087 ILG131087:IMA131087 IVC131087:IVW131087 JEY131087:JFS131087 JOU131087:JPO131087 JYQ131087:JZK131087 KIM131087:KJG131087 KSI131087:KTC131087 LCE131087:LCY131087 LMA131087:LMU131087 LVW131087:LWQ131087 MFS131087:MGM131087 MPO131087:MQI131087 MZK131087:NAE131087 NJG131087:NKA131087 NTC131087:NTW131087 OCY131087:ODS131087 OMU131087:ONO131087 OWQ131087:OXK131087 PGM131087:PHG131087 PQI131087:PRC131087 QAE131087:QAY131087 QKA131087:QKU131087 QTW131087:QUQ131087 RDS131087:REM131087 RNO131087:ROI131087 RXK131087:RYE131087 SHG131087:SIA131087 SRC131087:SRW131087 TAY131087:TBS131087 TKU131087:TLO131087 TUQ131087:TVK131087 UEM131087:UFG131087 UOI131087:UPC131087 UYE131087:UYY131087 VIA131087:VIU131087 VRW131087:VSQ131087 WBS131087:WCM131087 WLO131087:WMI131087 WVK131087:WWE131087 C196623:W196623 IY196623:JS196623 SU196623:TO196623 ACQ196623:ADK196623 AMM196623:ANG196623 AWI196623:AXC196623 BGE196623:BGY196623 BQA196623:BQU196623 BZW196623:CAQ196623 CJS196623:CKM196623 CTO196623:CUI196623 DDK196623:DEE196623 DNG196623:DOA196623 DXC196623:DXW196623 EGY196623:EHS196623 EQU196623:ERO196623 FAQ196623:FBK196623 FKM196623:FLG196623 FUI196623:FVC196623 GEE196623:GEY196623 GOA196623:GOU196623 GXW196623:GYQ196623 HHS196623:HIM196623 HRO196623:HSI196623 IBK196623:ICE196623 ILG196623:IMA196623 IVC196623:IVW196623 JEY196623:JFS196623 JOU196623:JPO196623 JYQ196623:JZK196623 KIM196623:KJG196623 KSI196623:KTC196623 LCE196623:LCY196623 LMA196623:LMU196623 LVW196623:LWQ196623 MFS196623:MGM196623 MPO196623:MQI196623 MZK196623:NAE196623 NJG196623:NKA196623 NTC196623:NTW196623 OCY196623:ODS196623 OMU196623:ONO196623 OWQ196623:OXK196623 PGM196623:PHG196623 PQI196623:PRC196623 QAE196623:QAY196623 QKA196623:QKU196623 QTW196623:QUQ196623 RDS196623:REM196623 RNO196623:ROI196623 RXK196623:RYE196623 SHG196623:SIA196623 SRC196623:SRW196623 TAY196623:TBS196623 TKU196623:TLO196623 TUQ196623:TVK196623 UEM196623:UFG196623 UOI196623:UPC196623 UYE196623:UYY196623 VIA196623:VIU196623 VRW196623:VSQ196623 WBS196623:WCM196623 WLO196623:WMI196623 WVK196623:WWE196623 C262159:W262159 IY262159:JS262159 SU262159:TO262159 ACQ262159:ADK262159 AMM262159:ANG262159 AWI262159:AXC262159 BGE262159:BGY262159 BQA262159:BQU262159 BZW262159:CAQ262159 CJS262159:CKM262159 CTO262159:CUI262159 DDK262159:DEE262159 DNG262159:DOA262159 DXC262159:DXW262159 EGY262159:EHS262159 EQU262159:ERO262159 FAQ262159:FBK262159 FKM262159:FLG262159 FUI262159:FVC262159 GEE262159:GEY262159 GOA262159:GOU262159 GXW262159:GYQ262159 HHS262159:HIM262159 HRO262159:HSI262159 IBK262159:ICE262159 ILG262159:IMA262159 IVC262159:IVW262159 JEY262159:JFS262159 JOU262159:JPO262159 JYQ262159:JZK262159 KIM262159:KJG262159 KSI262159:KTC262159 LCE262159:LCY262159 LMA262159:LMU262159 LVW262159:LWQ262159 MFS262159:MGM262159 MPO262159:MQI262159 MZK262159:NAE262159 NJG262159:NKA262159 NTC262159:NTW262159 OCY262159:ODS262159 OMU262159:ONO262159 OWQ262159:OXK262159 PGM262159:PHG262159 PQI262159:PRC262159 QAE262159:QAY262159 QKA262159:QKU262159 QTW262159:QUQ262159 RDS262159:REM262159 RNO262159:ROI262159 RXK262159:RYE262159 SHG262159:SIA262159 SRC262159:SRW262159 TAY262159:TBS262159 TKU262159:TLO262159 TUQ262159:TVK262159 UEM262159:UFG262159 UOI262159:UPC262159 UYE262159:UYY262159 VIA262159:VIU262159 VRW262159:VSQ262159 WBS262159:WCM262159 WLO262159:WMI262159 WVK262159:WWE262159 C327695:W327695 IY327695:JS327695 SU327695:TO327695 ACQ327695:ADK327695 AMM327695:ANG327695 AWI327695:AXC327695 BGE327695:BGY327695 BQA327695:BQU327695 BZW327695:CAQ327695 CJS327695:CKM327695 CTO327695:CUI327695 DDK327695:DEE327695 DNG327695:DOA327695 DXC327695:DXW327695 EGY327695:EHS327695 EQU327695:ERO327695 FAQ327695:FBK327695 FKM327695:FLG327695 FUI327695:FVC327695 GEE327695:GEY327695 GOA327695:GOU327695 GXW327695:GYQ327695 HHS327695:HIM327695 HRO327695:HSI327695 IBK327695:ICE327695 ILG327695:IMA327695 IVC327695:IVW327695 JEY327695:JFS327695 JOU327695:JPO327695 JYQ327695:JZK327695 KIM327695:KJG327695 KSI327695:KTC327695 LCE327695:LCY327695 LMA327695:LMU327695 LVW327695:LWQ327695 MFS327695:MGM327695 MPO327695:MQI327695 MZK327695:NAE327695 NJG327695:NKA327695 NTC327695:NTW327695 OCY327695:ODS327695 OMU327695:ONO327695 OWQ327695:OXK327695 PGM327695:PHG327695 PQI327695:PRC327695 QAE327695:QAY327695 QKA327695:QKU327695 QTW327695:QUQ327695 RDS327695:REM327695 RNO327695:ROI327695 RXK327695:RYE327695 SHG327695:SIA327695 SRC327695:SRW327695 TAY327695:TBS327695 TKU327695:TLO327695 TUQ327695:TVK327695 UEM327695:UFG327695 UOI327695:UPC327695 UYE327695:UYY327695 VIA327695:VIU327695 VRW327695:VSQ327695 WBS327695:WCM327695 WLO327695:WMI327695 WVK327695:WWE327695 C393231:W393231 IY393231:JS393231 SU393231:TO393231 ACQ393231:ADK393231 AMM393231:ANG393231 AWI393231:AXC393231 BGE393231:BGY393231 BQA393231:BQU393231 BZW393231:CAQ393231 CJS393231:CKM393231 CTO393231:CUI393231 DDK393231:DEE393231 DNG393231:DOA393231 DXC393231:DXW393231 EGY393231:EHS393231 EQU393231:ERO393231 FAQ393231:FBK393231 FKM393231:FLG393231 FUI393231:FVC393231 GEE393231:GEY393231 GOA393231:GOU393231 GXW393231:GYQ393231 HHS393231:HIM393231 HRO393231:HSI393231 IBK393231:ICE393231 ILG393231:IMA393231 IVC393231:IVW393231 JEY393231:JFS393231 JOU393231:JPO393231 JYQ393231:JZK393231 KIM393231:KJG393231 KSI393231:KTC393231 LCE393231:LCY393231 LMA393231:LMU393231 LVW393231:LWQ393231 MFS393231:MGM393231 MPO393231:MQI393231 MZK393231:NAE393231 NJG393231:NKA393231 NTC393231:NTW393231 OCY393231:ODS393231 OMU393231:ONO393231 OWQ393231:OXK393231 PGM393231:PHG393231 PQI393231:PRC393231 QAE393231:QAY393231 QKA393231:QKU393231 QTW393231:QUQ393231 RDS393231:REM393231 RNO393231:ROI393231 RXK393231:RYE393231 SHG393231:SIA393231 SRC393231:SRW393231 TAY393231:TBS393231 TKU393231:TLO393231 TUQ393231:TVK393231 UEM393231:UFG393231 UOI393231:UPC393231 UYE393231:UYY393231 VIA393231:VIU393231 VRW393231:VSQ393231 WBS393231:WCM393231 WLO393231:WMI393231 WVK393231:WWE393231 C458767:W458767 IY458767:JS458767 SU458767:TO458767 ACQ458767:ADK458767 AMM458767:ANG458767 AWI458767:AXC458767 BGE458767:BGY458767 BQA458767:BQU458767 BZW458767:CAQ458767 CJS458767:CKM458767 CTO458767:CUI458767 DDK458767:DEE458767 DNG458767:DOA458767 DXC458767:DXW458767 EGY458767:EHS458767 EQU458767:ERO458767 FAQ458767:FBK458767 FKM458767:FLG458767 FUI458767:FVC458767 GEE458767:GEY458767 GOA458767:GOU458767 GXW458767:GYQ458767 HHS458767:HIM458767 HRO458767:HSI458767 IBK458767:ICE458767 ILG458767:IMA458767 IVC458767:IVW458767 JEY458767:JFS458767 JOU458767:JPO458767 JYQ458767:JZK458767 KIM458767:KJG458767 KSI458767:KTC458767 LCE458767:LCY458767 LMA458767:LMU458767 LVW458767:LWQ458767 MFS458767:MGM458767 MPO458767:MQI458767 MZK458767:NAE458767 NJG458767:NKA458767 NTC458767:NTW458767 OCY458767:ODS458767 OMU458767:ONO458767 OWQ458767:OXK458767 PGM458767:PHG458767 PQI458767:PRC458767 QAE458767:QAY458767 QKA458767:QKU458767 QTW458767:QUQ458767 RDS458767:REM458767 RNO458767:ROI458767 RXK458767:RYE458767 SHG458767:SIA458767 SRC458767:SRW458767 TAY458767:TBS458767 TKU458767:TLO458767 TUQ458767:TVK458767 UEM458767:UFG458767 UOI458767:UPC458767 UYE458767:UYY458767 VIA458767:VIU458767 VRW458767:VSQ458767 WBS458767:WCM458767 WLO458767:WMI458767 WVK458767:WWE458767 C524303:W524303 IY524303:JS524303 SU524303:TO524303 ACQ524303:ADK524303 AMM524303:ANG524303 AWI524303:AXC524303 BGE524303:BGY524303 BQA524303:BQU524303 BZW524303:CAQ524303 CJS524303:CKM524303 CTO524303:CUI524303 DDK524303:DEE524303 DNG524303:DOA524303 DXC524303:DXW524303 EGY524303:EHS524303 EQU524303:ERO524303 FAQ524303:FBK524303 FKM524303:FLG524303 FUI524303:FVC524303 GEE524303:GEY524303 GOA524303:GOU524303 GXW524303:GYQ524303 HHS524303:HIM524303 HRO524303:HSI524303 IBK524303:ICE524303 ILG524303:IMA524303 IVC524303:IVW524303 JEY524303:JFS524303 JOU524303:JPO524303 JYQ524303:JZK524303 KIM524303:KJG524303 KSI524303:KTC524303 LCE524303:LCY524303 LMA524303:LMU524303 LVW524303:LWQ524303 MFS524303:MGM524303 MPO524303:MQI524303 MZK524303:NAE524303 NJG524303:NKA524303 NTC524303:NTW524303 OCY524303:ODS524303 OMU524303:ONO524303 OWQ524303:OXK524303 PGM524303:PHG524303 PQI524303:PRC524303 QAE524303:QAY524303 QKA524303:QKU524303 QTW524303:QUQ524303 RDS524303:REM524303 RNO524303:ROI524303 RXK524303:RYE524303 SHG524303:SIA524303 SRC524303:SRW524303 TAY524303:TBS524303 TKU524303:TLO524303 TUQ524303:TVK524303 UEM524303:UFG524303 UOI524303:UPC524303 UYE524303:UYY524303 VIA524303:VIU524303 VRW524303:VSQ524303 WBS524303:WCM524303 WLO524303:WMI524303 WVK524303:WWE524303 C589839:W589839 IY589839:JS589839 SU589839:TO589839 ACQ589839:ADK589839 AMM589839:ANG589839 AWI589839:AXC589839 BGE589839:BGY589839 BQA589839:BQU589839 BZW589839:CAQ589839 CJS589839:CKM589839 CTO589839:CUI589839 DDK589839:DEE589839 DNG589839:DOA589839 DXC589839:DXW589839 EGY589839:EHS589839 EQU589839:ERO589839 FAQ589839:FBK589839 FKM589839:FLG589839 FUI589839:FVC589839 GEE589839:GEY589839 GOA589839:GOU589839 GXW589839:GYQ589839 HHS589839:HIM589839 HRO589839:HSI589839 IBK589839:ICE589839 ILG589839:IMA589839 IVC589839:IVW589839 JEY589839:JFS589839 JOU589839:JPO589839 JYQ589839:JZK589839 KIM589839:KJG589839 KSI589839:KTC589839 LCE589839:LCY589839 LMA589839:LMU589839 LVW589839:LWQ589839 MFS589839:MGM589839 MPO589839:MQI589839 MZK589839:NAE589839 NJG589839:NKA589839 NTC589839:NTW589839 OCY589839:ODS589839 OMU589839:ONO589839 OWQ589839:OXK589839 PGM589839:PHG589839 PQI589839:PRC589839 QAE589839:QAY589839 QKA589839:QKU589839 QTW589839:QUQ589839 RDS589839:REM589839 RNO589839:ROI589839 RXK589839:RYE589839 SHG589839:SIA589839 SRC589839:SRW589839 TAY589839:TBS589839 TKU589839:TLO589839 TUQ589839:TVK589839 UEM589839:UFG589839 UOI589839:UPC589839 UYE589839:UYY589839 VIA589839:VIU589839 VRW589839:VSQ589839 WBS589839:WCM589839 WLO589839:WMI589839 WVK589839:WWE589839 C655375:W655375 IY655375:JS655375 SU655375:TO655375 ACQ655375:ADK655375 AMM655375:ANG655375 AWI655375:AXC655375 BGE655375:BGY655375 BQA655375:BQU655375 BZW655375:CAQ655375 CJS655375:CKM655375 CTO655375:CUI655375 DDK655375:DEE655375 DNG655375:DOA655375 DXC655375:DXW655375 EGY655375:EHS655375 EQU655375:ERO655375 FAQ655375:FBK655375 FKM655375:FLG655375 FUI655375:FVC655375 GEE655375:GEY655375 GOA655375:GOU655375 GXW655375:GYQ655375 HHS655375:HIM655375 HRO655375:HSI655375 IBK655375:ICE655375 ILG655375:IMA655375 IVC655375:IVW655375 JEY655375:JFS655375 JOU655375:JPO655375 JYQ655375:JZK655375 KIM655375:KJG655375 KSI655375:KTC655375 LCE655375:LCY655375 LMA655375:LMU655375 LVW655375:LWQ655375 MFS655375:MGM655375 MPO655375:MQI655375 MZK655375:NAE655375 NJG655375:NKA655375 NTC655375:NTW655375 OCY655375:ODS655375 OMU655375:ONO655375 OWQ655375:OXK655375 PGM655375:PHG655375 PQI655375:PRC655375 QAE655375:QAY655375 QKA655375:QKU655375 QTW655375:QUQ655375 RDS655375:REM655375 RNO655375:ROI655375 RXK655375:RYE655375 SHG655375:SIA655375 SRC655375:SRW655375 TAY655375:TBS655375 TKU655375:TLO655375 TUQ655375:TVK655375 UEM655375:UFG655375 UOI655375:UPC655375 UYE655375:UYY655375 VIA655375:VIU655375 VRW655375:VSQ655375 WBS655375:WCM655375 WLO655375:WMI655375 WVK655375:WWE655375 C720911:W720911 IY720911:JS720911 SU720911:TO720911 ACQ720911:ADK720911 AMM720911:ANG720911 AWI720911:AXC720911 BGE720911:BGY720911 BQA720911:BQU720911 BZW720911:CAQ720911 CJS720911:CKM720911 CTO720911:CUI720911 DDK720911:DEE720911 DNG720911:DOA720911 DXC720911:DXW720911 EGY720911:EHS720911 EQU720911:ERO720911 FAQ720911:FBK720911 FKM720911:FLG720911 FUI720911:FVC720911 GEE720911:GEY720911 GOA720911:GOU720911 GXW720911:GYQ720911 HHS720911:HIM720911 HRO720911:HSI720911 IBK720911:ICE720911 ILG720911:IMA720911 IVC720911:IVW720911 JEY720911:JFS720911 JOU720911:JPO720911 JYQ720911:JZK720911 KIM720911:KJG720911 KSI720911:KTC720911 LCE720911:LCY720911 LMA720911:LMU720911 LVW720911:LWQ720911 MFS720911:MGM720911 MPO720911:MQI720911 MZK720911:NAE720911 NJG720911:NKA720911 NTC720911:NTW720911 OCY720911:ODS720911 OMU720911:ONO720911 OWQ720911:OXK720911 PGM720911:PHG720911 PQI720911:PRC720911 QAE720911:QAY720911 QKA720911:QKU720911 QTW720911:QUQ720911 RDS720911:REM720911 RNO720911:ROI720911 RXK720911:RYE720911 SHG720911:SIA720911 SRC720911:SRW720911 TAY720911:TBS720911 TKU720911:TLO720911 TUQ720911:TVK720911 UEM720911:UFG720911 UOI720911:UPC720911 UYE720911:UYY720911 VIA720911:VIU720911 VRW720911:VSQ720911 WBS720911:WCM720911 WLO720911:WMI720911 WVK720911:WWE720911 C786447:W786447 IY786447:JS786447 SU786447:TO786447 ACQ786447:ADK786447 AMM786447:ANG786447 AWI786447:AXC786447 BGE786447:BGY786447 BQA786447:BQU786447 BZW786447:CAQ786447 CJS786447:CKM786447 CTO786447:CUI786447 DDK786447:DEE786447 DNG786447:DOA786447 DXC786447:DXW786447 EGY786447:EHS786447 EQU786447:ERO786447 FAQ786447:FBK786447 FKM786447:FLG786447 FUI786447:FVC786447 GEE786447:GEY786447 GOA786447:GOU786447 GXW786447:GYQ786447 HHS786447:HIM786447 HRO786447:HSI786447 IBK786447:ICE786447 ILG786447:IMA786447 IVC786447:IVW786447 JEY786447:JFS786447 JOU786447:JPO786447 JYQ786447:JZK786447 KIM786447:KJG786447 KSI786447:KTC786447 LCE786447:LCY786447 LMA786447:LMU786447 LVW786447:LWQ786447 MFS786447:MGM786447 MPO786447:MQI786447 MZK786447:NAE786447 NJG786447:NKA786447 NTC786447:NTW786447 OCY786447:ODS786447 OMU786447:ONO786447 OWQ786447:OXK786447 PGM786447:PHG786447 PQI786447:PRC786447 QAE786447:QAY786447 QKA786447:QKU786447 QTW786447:QUQ786447 RDS786447:REM786447 RNO786447:ROI786447 RXK786447:RYE786447 SHG786447:SIA786447 SRC786447:SRW786447 TAY786447:TBS786447 TKU786447:TLO786447 TUQ786447:TVK786447 UEM786447:UFG786447 UOI786447:UPC786447 UYE786447:UYY786447 VIA786447:VIU786447 VRW786447:VSQ786447 WBS786447:WCM786447 WLO786447:WMI786447 WVK786447:WWE786447 C851983:W851983 IY851983:JS851983 SU851983:TO851983 ACQ851983:ADK851983 AMM851983:ANG851983 AWI851983:AXC851983 BGE851983:BGY851983 BQA851983:BQU851983 BZW851983:CAQ851983 CJS851983:CKM851983 CTO851983:CUI851983 DDK851983:DEE851983 DNG851983:DOA851983 DXC851983:DXW851983 EGY851983:EHS851983 EQU851983:ERO851983 FAQ851983:FBK851983 FKM851983:FLG851983 FUI851983:FVC851983 GEE851983:GEY851983 GOA851983:GOU851983 GXW851983:GYQ851983 HHS851983:HIM851983 HRO851983:HSI851983 IBK851983:ICE851983 ILG851983:IMA851983 IVC851983:IVW851983 JEY851983:JFS851983 JOU851983:JPO851983 JYQ851983:JZK851983 KIM851983:KJG851983 KSI851983:KTC851983 LCE851983:LCY851983 LMA851983:LMU851983 LVW851983:LWQ851983 MFS851983:MGM851983 MPO851983:MQI851983 MZK851983:NAE851983 NJG851983:NKA851983 NTC851983:NTW851983 OCY851983:ODS851983 OMU851983:ONO851983 OWQ851983:OXK851983 PGM851983:PHG851983 PQI851983:PRC851983 QAE851983:QAY851983 QKA851983:QKU851983 QTW851983:QUQ851983 RDS851983:REM851983 RNO851983:ROI851983 RXK851983:RYE851983 SHG851983:SIA851983 SRC851983:SRW851983 TAY851983:TBS851983 TKU851983:TLO851983 TUQ851983:TVK851983 UEM851983:UFG851983 UOI851983:UPC851983 UYE851983:UYY851983 VIA851983:VIU851983 VRW851983:VSQ851983 WBS851983:WCM851983 WLO851983:WMI851983 WVK851983:WWE851983 C917519:W917519 IY917519:JS917519 SU917519:TO917519 ACQ917519:ADK917519 AMM917519:ANG917519 AWI917519:AXC917519 BGE917519:BGY917519 BQA917519:BQU917519 BZW917519:CAQ917519 CJS917519:CKM917519 CTO917519:CUI917519 DDK917519:DEE917519 DNG917519:DOA917519 DXC917519:DXW917519 EGY917519:EHS917519 EQU917519:ERO917519 FAQ917519:FBK917519 FKM917519:FLG917519 FUI917519:FVC917519 GEE917519:GEY917519 GOA917519:GOU917519 GXW917519:GYQ917519 HHS917519:HIM917519 HRO917519:HSI917519 IBK917519:ICE917519 ILG917519:IMA917519 IVC917519:IVW917519 JEY917519:JFS917519 JOU917519:JPO917519 JYQ917519:JZK917519 KIM917519:KJG917519 KSI917519:KTC917519 LCE917519:LCY917519 LMA917519:LMU917519 LVW917519:LWQ917519 MFS917519:MGM917519 MPO917519:MQI917519 MZK917519:NAE917519 NJG917519:NKA917519 NTC917519:NTW917519 OCY917519:ODS917519 OMU917519:ONO917519 OWQ917519:OXK917519 PGM917519:PHG917519 PQI917519:PRC917519 QAE917519:QAY917519 QKA917519:QKU917519 QTW917519:QUQ917519 RDS917519:REM917519 RNO917519:ROI917519 RXK917519:RYE917519 SHG917519:SIA917519 SRC917519:SRW917519 TAY917519:TBS917519 TKU917519:TLO917519 TUQ917519:TVK917519 UEM917519:UFG917519 UOI917519:UPC917519 UYE917519:UYY917519 VIA917519:VIU917519 VRW917519:VSQ917519 WBS917519:WCM917519 WLO917519:WMI917519 WVK917519:WWE917519 C983055:W983055 IY983055:JS983055 SU983055:TO983055 ACQ983055:ADK983055 AMM983055:ANG983055 AWI983055:AXC983055 BGE983055:BGY983055 BQA983055:BQU983055 BZW983055:CAQ983055 CJS983055:CKM983055 CTO983055:CUI983055 DDK983055:DEE983055 DNG983055:DOA983055 DXC983055:DXW983055 EGY983055:EHS983055 EQU983055:ERO983055 FAQ983055:FBK983055 FKM983055:FLG983055 FUI983055:FVC983055 GEE983055:GEY983055 GOA983055:GOU983055 GXW983055:GYQ983055 HHS983055:HIM983055 HRO983055:HSI983055 IBK983055:ICE983055 ILG983055:IMA983055 IVC983055:IVW983055 JEY983055:JFS983055 JOU983055:JPO983055 JYQ983055:JZK983055 KIM983055:KJG983055 KSI983055:KTC983055 LCE983055:LCY983055 LMA983055:LMU983055 LVW983055:LWQ983055 MFS983055:MGM983055 MPO983055:MQI983055 MZK983055:NAE983055 NJG983055:NKA983055 NTC983055:NTW983055 OCY983055:ODS983055 OMU983055:ONO983055 OWQ983055:OXK983055 PGM983055:PHG983055 PQI983055:PRC983055 QAE983055:QAY983055 QKA983055:QKU983055 QTW983055:QUQ983055 RDS983055:REM983055 RNO983055:ROI983055 RXK983055:RYE983055 SHG983055:SIA983055 SRC983055:SRW983055 TAY983055:TBS983055 TKU983055:TLO983055 TUQ983055:TVK983055 UEM983055:UFG983055 UOI983055:UPC983055 UYE983055:UYY983055 VIA983055:VIU983055 VRW983055:VSQ983055 WBS983055:WCM983055 WLO983055:WMI983055">
      <formula1>0</formula1>
    </dataValidation>
  </dataValidations>
  <pageMargins left="0.27" right="0.18" top="1" bottom="1" header="0.5" footer="0.5"/>
  <pageSetup paperSize="9" scale="76" orientation="landscape" r:id="rId1"/>
  <headerFooter alignWithMargins="0"/>
</worksheet>
</file>

<file path=xl/worksheets/sheet12.xml><?xml version="1.0" encoding="utf-8"?>
<worksheet xmlns="http://schemas.openxmlformats.org/spreadsheetml/2006/main" xmlns:r="http://schemas.openxmlformats.org/officeDocument/2006/relationships">
  <sheetPr codeName="Лист11"/>
  <dimension ref="A1:Y67"/>
  <sheetViews>
    <sheetView workbookViewId="0">
      <selection activeCell="M36" sqref="M36"/>
    </sheetView>
  </sheetViews>
  <sheetFormatPr defaultRowHeight="12.75"/>
  <cols>
    <col min="1" max="1" width="4.42578125" style="71" customWidth="1"/>
    <col min="2" max="2" width="31" style="71" customWidth="1"/>
    <col min="3" max="3" width="10.140625" style="71" customWidth="1"/>
    <col min="4" max="5" width="13.7109375" style="431" customWidth="1"/>
    <col min="6" max="6" width="13" style="71" customWidth="1"/>
    <col min="7" max="7" width="12.28515625" style="71" customWidth="1"/>
    <col min="8" max="8" width="12.140625" style="71" customWidth="1"/>
    <col min="9" max="9" width="10.28515625" style="71" customWidth="1"/>
    <col min="10" max="10" width="10.140625" style="71" customWidth="1"/>
    <col min="11" max="11" width="10.42578125" style="71" customWidth="1"/>
    <col min="12" max="12" width="0.140625" style="71" customWidth="1"/>
    <col min="13" max="15" width="9.140625" style="71"/>
    <col min="16" max="16" width="8.28515625" style="71" customWidth="1"/>
    <col min="17" max="17" width="7.42578125" style="71" customWidth="1"/>
    <col min="18" max="18" width="6.85546875" style="71" customWidth="1"/>
    <col min="19" max="16384" width="9.140625" style="71"/>
  </cols>
  <sheetData>
    <row r="1" spans="1:13" ht="80.25" customHeight="1">
      <c r="I1" s="984" t="s">
        <v>2277</v>
      </c>
      <c r="J1" s="984"/>
      <c r="K1" s="984"/>
      <c r="L1" s="984"/>
    </row>
    <row r="2" spans="1:13" ht="15.75">
      <c r="A2" s="415" t="s">
        <v>935</v>
      </c>
      <c r="B2" s="416"/>
      <c r="C2" s="416"/>
      <c r="D2" s="417"/>
      <c r="E2" s="417"/>
      <c r="F2" s="416"/>
      <c r="G2" s="416"/>
      <c r="H2" s="416"/>
      <c r="I2" s="416"/>
      <c r="J2" s="708" t="s">
        <v>2672</v>
      </c>
      <c r="K2" s="416"/>
    </row>
    <row r="3" spans="1:13" ht="15.75">
      <c r="A3" s="418" t="s">
        <v>379</v>
      </c>
      <c r="B3" s="416"/>
      <c r="C3" s="416"/>
      <c r="D3" s="417"/>
      <c r="E3" s="417"/>
      <c r="F3" s="416"/>
      <c r="G3" s="416"/>
      <c r="H3" s="416"/>
      <c r="I3" s="416"/>
      <c r="J3" s="416"/>
      <c r="K3" s="416"/>
    </row>
    <row r="4" spans="1:13" ht="13.5" thickBot="1">
      <c r="A4" s="419"/>
      <c r="B4" s="419"/>
      <c r="C4" s="419"/>
      <c r="D4" s="420"/>
      <c r="E4" s="420"/>
      <c r="F4" s="419"/>
      <c r="G4" s="419"/>
      <c r="H4" s="419"/>
      <c r="I4" s="419"/>
      <c r="J4" s="419"/>
      <c r="K4" s="419"/>
    </row>
    <row r="5" spans="1:13" ht="97.5" customHeight="1" thickBot="1">
      <c r="A5" s="421" t="s">
        <v>938</v>
      </c>
      <c r="B5" s="421" t="s">
        <v>474</v>
      </c>
      <c r="C5" s="422" t="s">
        <v>1348</v>
      </c>
      <c r="D5" s="423" t="s">
        <v>1349</v>
      </c>
      <c r="E5" s="423" t="s">
        <v>1350</v>
      </c>
      <c r="F5" s="424" t="s">
        <v>1577</v>
      </c>
      <c r="G5" s="424" t="s">
        <v>51</v>
      </c>
      <c r="H5" s="424" t="s">
        <v>991</v>
      </c>
      <c r="I5" s="425" t="s">
        <v>389</v>
      </c>
      <c r="J5" s="425" t="s">
        <v>390</v>
      </c>
      <c r="K5" s="425" t="s">
        <v>391</v>
      </c>
      <c r="M5" s="71" t="s">
        <v>1197</v>
      </c>
    </row>
    <row r="6" spans="1:13" ht="13.5" thickBot="1">
      <c r="A6" s="426"/>
      <c r="B6" s="427" t="s">
        <v>1481</v>
      </c>
      <c r="C6" s="428" t="s">
        <v>700</v>
      </c>
      <c r="D6" s="429" t="s">
        <v>675</v>
      </c>
      <c r="E6" s="429" t="s">
        <v>676</v>
      </c>
      <c r="F6" s="428" t="s">
        <v>731</v>
      </c>
      <c r="G6" s="428" t="s">
        <v>1941</v>
      </c>
      <c r="H6" s="428" t="s">
        <v>1482</v>
      </c>
      <c r="I6" s="428" t="s">
        <v>1483</v>
      </c>
      <c r="J6" s="428" t="s">
        <v>1484</v>
      </c>
      <c r="K6" s="428" t="s">
        <v>1485</v>
      </c>
    </row>
    <row r="7" spans="1:13">
      <c r="A7" s="430">
        <v>1</v>
      </c>
      <c r="L7" s="432"/>
    </row>
    <row r="8" spans="1:13">
      <c r="A8" s="433">
        <f>A7+1</f>
        <v>2</v>
      </c>
      <c r="L8" s="432"/>
    </row>
    <row r="9" spans="1:13">
      <c r="A9" s="433">
        <f t="shared" ref="A9:A36" si="0">A8+1</f>
        <v>3</v>
      </c>
      <c r="L9" s="432"/>
    </row>
    <row r="10" spans="1:13">
      <c r="A10" s="433">
        <f t="shared" si="0"/>
        <v>4</v>
      </c>
      <c r="L10" s="432"/>
    </row>
    <row r="11" spans="1:13">
      <c r="A11" s="433">
        <f t="shared" si="0"/>
        <v>5</v>
      </c>
      <c r="L11" s="432"/>
    </row>
    <row r="12" spans="1:13">
      <c r="A12" s="433">
        <f t="shared" si="0"/>
        <v>6</v>
      </c>
      <c r="L12" s="432"/>
    </row>
    <row r="13" spans="1:13">
      <c r="A13" s="433">
        <f t="shared" si="0"/>
        <v>7</v>
      </c>
      <c r="L13" s="432"/>
    </row>
    <row r="14" spans="1:13">
      <c r="A14" s="433">
        <f t="shared" si="0"/>
        <v>8</v>
      </c>
      <c r="L14" s="432"/>
    </row>
    <row r="15" spans="1:13">
      <c r="A15" s="433">
        <f t="shared" si="0"/>
        <v>9</v>
      </c>
      <c r="L15" s="432"/>
    </row>
    <row r="16" spans="1:13">
      <c r="A16" s="433">
        <f t="shared" si="0"/>
        <v>10</v>
      </c>
      <c r="L16" s="432"/>
    </row>
    <row r="17" spans="1:12">
      <c r="A17" s="433">
        <f t="shared" si="0"/>
        <v>11</v>
      </c>
      <c r="L17" s="432"/>
    </row>
    <row r="18" spans="1:12">
      <c r="A18" s="433">
        <f t="shared" si="0"/>
        <v>12</v>
      </c>
      <c r="L18" s="432"/>
    </row>
    <row r="19" spans="1:12">
      <c r="A19" s="433">
        <f t="shared" si="0"/>
        <v>13</v>
      </c>
      <c r="L19" s="432"/>
    </row>
    <row r="20" spans="1:12">
      <c r="A20" s="433">
        <f t="shared" si="0"/>
        <v>14</v>
      </c>
      <c r="L20" s="432"/>
    </row>
    <row r="21" spans="1:12">
      <c r="A21" s="433">
        <f t="shared" si="0"/>
        <v>15</v>
      </c>
      <c r="L21" s="432"/>
    </row>
    <row r="22" spans="1:12">
      <c r="A22" s="433">
        <f t="shared" si="0"/>
        <v>16</v>
      </c>
      <c r="L22" s="432"/>
    </row>
    <row r="23" spans="1:12">
      <c r="A23" s="433">
        <f t="shared" si="0"/>
        <v>17</v>
      </c>
      <c r="L23" s="432"/>
    </row>
    <row r="24" spans="1:12">
      <c r="A24" s="433">
        <f t="shared" si="0"/>
        <v>18</v>
      </c>
      <c r="L24" s="432"/>
    </row>
    <row r="25" spans="1:12">
      <c r="A25" s="433">
        <f t="shared" si="0"/>
        <v>19</v>
      </c>
      <c r="L25" s="432"/>
    </row>
    <row r="26" spans="1:12">
      <c r="A26" s="433">
        <f t="shared" si="0"/>
        <v>20</v>
      </c>
      <c r="L26" s="432"/>
    </row>
    <row r="27" spans="1:12">
      <c r="A27" s="433">
        <f t="shared" si="0"/>
        <v>21</v>
      </c>
      <c r="L27" s="432"/>
    </row>
    <row r="28" spans="1:12">
      <c r="A28" s="433">
        <f t="shared" si="0"/>
        <v>22</v>
      </c>
      <c r="L28" s="432"/>
    </row>
    <row r="29" spans="1:12">
      <c r="A29" s="433">
        <f t="shared" si="0"/>
        <v>23</v>
      </c>
      <c r="L29" s="432"/>
    </row>
    <row r="30" spans="1:12">
      <c r="A30" s="433">
        <f t="shared" si="0"/>
        <v>24</v>
      </c>
      <c r="L30" s="432"/>
    </row>
    <row r="31" spans="1:12">
      <c r="A31" s="433">
        <f t="shared" si="0"/>
        <v>25</v>
      </c>
      <c r="L31" s="432"/>
    </row>
    <row r="32" spans="1:12">
      <c r="A32" s="433">
        <f t="shared" si="0"/>
        <v>26</v>
      </c>
      <c r="L32" s="432"/>
    </row>
    <row r="33" spans="1:25">
      <c r="A33" s="433">
        <f t="shared" si="0"/>
        <v>27</v>
      </c>
      <c r="L33" s="432"/>
    </row>
    <row r="34" spans="1:25">
      <c r="A34" s="433">
        <f t="shared" si="0"/>
        <v>28</v>
      </c>
      <c r="L34" s="432"/>
    </row>
    <row r="35" spans="1:25">
      <c r="A35" s="433">
        <f t="shared" si="0"/>
        <v>29</v>
      </c>
      <c r="L35" s="432"/>
    </row>
    <row r="36" spans="1:25">
      <c r="A36" s="433">
        <f t="shared" si="0"/>
        <v>30</v>
      </c>
      <c r="L36" s="432"/>
      <c r="M36" s="71">
        <f>SUM(F7:F36)</f>
        <v>0</v>
      </c>
    </row>
    <row r="37" spans="1:25">
      <c r="A37" s="434"/>
      <c r="B37" s="434"/>
      <c r="C37" s="434"/>
      <c r="D37" s="435"/>
      <c r="E37" s="435"/>
      <c r="F37" s="434"/>
      <c r="G37" s="434"/>
      <c r="H37" s="434"/>
      <c r="I37" s="434"/>
      <c r="J37" s="434"/>
      <c r="K37" s="434"/>
      <c r="O37" s="434"/>
      <c r="P37" s="434"/>
      <c r="Q37" s="434"/>
      <c r="R37" s="434"/>
      <c r="S37" s="434"/>
      <c r="T37" s="434"/>
      <c r="U37" s="434"/>
      <c r="V37" s="434"/>
      <c r="W37" s="434"/>
      <c r="X37" s="434"/>
      <c r="Y37" s="434"/>
    </row>
    <row r="38" spans="1:25">
      <c r="A38" s="434"/>
      <c r="B38" s="434"/>
      <c r="C38" s="434"/>
      <c r="D38" s="435"/>
      <c r="E38" s="435"/>
      <c r="F38" s="434"/>
      <c r="G38" s="434"/>
      <c r="H38" s="434"/>
      <c r="I38" s="434"/>
      <c r="J38" s="434"/>
      <c r="K38" s="434"/>
      <c r="O38" s="434"/>
      <c r="P38" s="434"/>
      <c r="Q38" s="434"/>
      <c r="R38" s="434"/>
      <c r="S38" s="434"/>
      <c r="T38" s="434"/>
      <c r="U38" s="434"/>
      <c r="V38" s="434"/>
      <c r="W38" s="434"/>
      <c r="X38" s="434"/>
      <c r="Y38" s="434"/>
    </row>
    <row r="39" spans="1:25">
      <c r="A39" s="434"/>
      <c r="B39" s="434"/>
      <c r="C39" s="434"/>
      <c r="D39" s="435"/>
      <c r="E39" s="435"/>
      <c r="F39" s="434"/>
      <c r="G39" s="434"/>
      <c r="H39" s="434"/>
      <c r="I39" s="434"/>
      <c r="J39" s="434"/>
      <c r="K39" s="434"/>
      <c r="O39" s="434"/>
      <c r="P39" s="434"/>
      <c r="Q39" s="434"/>
      <c r="R39" s="434"/>
      <c r="S39" s="434"/>
      <c r="T39" s="434"/>
      <c r="U39" s="434"/>
      <c r="V39" s="434"/>
      <c r="W39" s="434"/>
      <c r="X39" s="434"/>
      <c r="Y39" s="434"/>
    </row>
    <row r="40" spans="1:25">
      <c r="A40" s="434"/>
      <c r="B40" s="434"/>
      <c r="C40" s="434"/>
      <c r="D40" s="435"/>
      <c r="E40" s="435"/>
      <c r="F40" s="434"/>
      <c r="G40" s="434"/>
      <c r="H40" s="434"/>
      <c r="I40" s="434"/>
      <c r="J40" s="434"/>
      <c r="K40" s="434"/>
      <c r="O40" s="434"/>
      <c r="P40" s="434"/>
      <c r="Q40" s="434"/>
      <c r="R40" s="434"/>
      <c r="S40" s="434"/>
      <c r="T40" s="434"/>
      <c r="U40" s="434"/>
      <c r="V40" s="434"/>
      <c r="W40" s="434"/>
      <c r="X40" s="434"/>
      <c r="Y40" s="434"/>
    </row>
    <row r="41" spans="1:25">
      <c r="A41" s="434"/>
      <c r="B41" s="434"/>
      <c r="C41" s="434"/>
      <c r="D41" s="435"/>
      <c r="E41" s="435"/>
      <c r="F41" s="434"/>
      <c r="G41" s="434"/>
      <c r="H41" s="434"/>
      <c r="I41" s="434"/>
      <c r="J41" s="434"/>
      <c r="K41" s="434"/>
      <c r="O41" s="434"/>
      <c r="P41" s="434"/>
      <c r="Q41" s="434"/>
      <c r="R41" s="434"/>
      <c r="S41" s="434"/>
      <c r="T41" s="434"/>
      <c r="U41" s="434"/>
      <c r="V41" s="434"/>
      <c r="W41" s="434"/>
      <c r="X41" s="434"/>
      <c r="Y41" s="434"/>
    </row>
    <row r="42" spans="1:25">
      <c r="A42" s="434"/>
      <c r="B42" s="434"/>
      <c r="C42" s="434"/>
      <c r="D42" s="435"/>
      <c r="E42" s="435"/>
      <c r="F42" s="434"/>
      <c r="G42" s="434"/>
      <c r="H42" s="434"/>
      <c r="I42" s="434"/>
      <c r="J42" s="434"/>
      <c r="K42" s="434"/>
      <c r="O42" s="434"/>
      <c r="P42" s="434"/>
      <c r="Q42" s="434"/>
      <c r="R42" s="434"/>
      <c r="S42" s="434"/>
      <c r="T42" s="434"/>
      <c r="U42" s="434"/>
      <c r="V42" s="434"/>
      <c r="W42" s="434"/>
      <c r="X42" s="434"/>
      <c r="Y42" s="434"/>
    </row>
    <row r="43" spans="1:25">
      <c r="A43" s="434"/>
      <c r="B43" s="434"/>
      <c r="C43" s="434"/>
      <c r="D43" s="435"/>
      <c r="E43" s="435"/>
      <c r="F43" s="434"/>
      <c r="G43" s="434"/>
      <c r="H43" s="434"/>
      <c r="I43" s="434"/>
      <c r="J43" s="434"/>
      <c r="K43" s="434"/>
      <c r="O43" s="434"/>
      <c r="P43" s="434"/>
      <c r="Q43" s="434"/>
      <c r="R43" s="434"/>
      <c r="S43" s="434"/>
      <c r="T43" s="434"/>
      <c r="U43" s="434"/>
      <c r="V43" s="434"/>
      <c r="W43" s="434"/>
      <c r="X43" s="434"/>
      <c r="Y43" s="434"/>
    </row>
    <row r="44" spans="1:25">
      <c r="A44" s="434"/>
      <c r="B44" s="434"/>
      <c r="C44" s="434"/>
      <c r="D44" s="435"/>
      <c r="E44" s="435"/>
      <c r="F44" s="434"/>
      <c r="G44" s="434"/>
      <c r="H44" s="434"/>
      <c r="I44" s="434"/>
      <c r="J44" s="434"/>
      <c r="K44" s="434"/>
      <c r="O44" s="434"/>
      <c r="P44" s="434"/>
      <c r="Q44" s="434"/>
      <c r="R44" s="434"/>
      <c r="S44" s="434"/>
      <c r="T44" s="434"/>
      <c r="U44" s="434"/>
      <c r="V44" s="434"/>
      <c r="W44" s="434"/>
      <c r="X44" s="434"/>
      <c r="Y44" s="434"/>
    </row>
    <row r="45" spans="1:25">
      <c r="A45" s="434"/>
      <c r="B45" s="434"/>
      <c r="C45" s="434"/>
      <c r="D45" s="435"/>
      <c r="E45" s="435"/>
      <c r="F45" s="434"/>
      <c r="G45" s="434"/>
      <c r="H45" s="434"/>
      <c r="I45" s="434"/>
      <c r="J45" s="434"/>
      <c r="K45" s="434"/>
      <c r="O45" s="434"/>
      <c r="P45" s="434"/>
      <c r="Q45" s="434"/>
      <c r="R45" s="434"/>
      <c r="S45" s="434"/>
      <c r="T45" s="434"/>
      <c r="U45" s="434"/>
      <c r="V45" s="434"/>
      <c r="W45" s="434"/>
      <c r="X45" s="434"/>
      <c r="Y45" s="434"/>
    </row>
    <row r="46" spans="1:25">
      <c r="A46" s="434"/>
      <c r="B46" s="434"/>
      <c r="C46" s="434"/>
      <c r="D46" s="435"/>
      <c r="E46" s="435"/>
      <c r="F46" s="434"/>
      <c r="G46" s="434"/>
      <c r="H46" s="434"/>
      <c r="I46" s="434"/>
      <c r="J46" s="434"/>
      <c r="K46" s="434"/>
      <c r="O46" s="434"/>
      <c r="P46" s="434"/>
      <c r="Q46" s="434"/>
      <c r="R46" s="434"/>
      <c r="S46" s="434"/>
      <c r="T46" s="434"/>
      <c r="U46" s="434"/>
      <c r="V46" s="434"/>
      <c r="W46" s="434"/>
      <c r="X46" s="434"/>
      <c r="Y46" s="434"/>
    </row>
    <row r="47" spans="1:25">
      <c r="A47" s="434"/>
      <c r="B47" s="434"/>
      <c r="C47" s="434"/>
      <c r="D47" s="435"/>
      <c r="E47" s="435"/>
      <c r="F47" s="434"/>
      <c r="G47" s="434"/>
      <c r="H47" s="434"/>
      <c r="I47" s="434"/>
      <c r="J47" s="434"/>
      <c r="K47" s="434"/>
      <c r="O47" s="434"/>
      <c r="P47" s="434"/>
      <c r="Q47" s="434"/>
      <c r="R47" s="434"/>
      <c r="S47" s="434"/>
      <c r="T47" s="434"/>
      <c r="U47" s="434"/>
      <c r="V47" s="434"/>
      <c r="W47" s="434"/>
      <c r="X47" s="434"/>
      <c r="Y47" s="434"/>
    </row>
    <row r="48" spans="1:25">
      <c r="A48" s="434"/>
      <c r="B48" s="434"/>
      <c r="C48" s="434"/>
      <c r="D48" s="435"/>
      <c r="E48" s="435"/>
      <c r="F48" s="434"/>
      <c r="G48" s="434"/>
      <c r="H48" s="434"/>
      <c r="I48" s="434"/>
      <c r="J48" s="434"/>
      <c r="K48" s="434"/>
      <c r="O48" s="434"/>
      <c r="P48" s="434"/>
      <c r="Q48" s="434"/>
      <c r="R48" s="434"/>
      <c r="S48" s="434"/>
      <c r="T48" s="434"/>
      <c r="U48" s="434"/>
      <c r="V48" s="434"/>
      <c r="W48" s="434"/>
      <c r="X48" s="434"/>
      <c r="Y48" s="434"/>
    </row>
    <row r="49" spans="1:25">
      <c r="A49" s="434"/>
      <c r="B49" s="434"/>
      <c r="C49" s="434"/>
      <c r="D49" s="435"/>
      <c r="E49" s="435"/>
      <c r="F49" s="434"/>
      <c r="G49" s="434"/>
      <c r="H49" s="434"/>
      <c r="I49" s="434"/>
      <c r="J49" s="434"/>
      <c r="K49" s="434"/>
      <c r="O49" s="434"/>
      <c r="P49" s="434"/>
      <c r="Q49" s="434"/>
      <c r="R49" s="434"/>
      <c r="S49" s="434"/>
      <c r="T49" s="434"/>
      <c r="U49" s="434"/>
      <c r="V49" s="434"/>
      <c r="W49" s="434"/>
      <c r="X49" s="434"/>
      <c r="Y49" s="434"/>
    </row>
    <row r="50" spans="1:25">
      <c r="A50" s="434"/>
      <c r="B50" s="434"/>
      <c r="C50" s="434"/>
      <c r="D50" s="435"/>
      <c r="E50" s="435"/>
      <c r="F50" s="434"/>
      <c r="G50" s="434"/>
      <c r="H50" s="434"/>
      <c r="I50" s="434"/>
      <c r="J50" s="434"/>
      <c r="K50" s="434"/>
      <c r="O50" s="434"/>
      <c r="P50" s="434"/>
      <c r="Q50" s="434"/>
      <c r="R50" s="434"/>
      <c r="S50" s="434"/>
      <c r="T50" s="434"/>
      <c r="U50" s="434"/>
      <c r="V50" s="434"/>
      <c r="W50" s="434"/>
      <c r="X50" s="434"/>
      <c r="Y50" s="434"/>
    </row>
    <row r="51" spans="1:25">
      <c r="A51" s="434"/>
      <c r="B51" s="434"/>
      <c r="C51" s="434"/>
      <c r="D51" s="435"/>
      <c r="E51" s="435"/>
      <c r="F51" s="434"/>
      <c r="G51" s="434"/>
      <c r="H51" s="434"/>
      <c r="I51" s="434"/>
      <c r="J51" s="434"/>
      <c r="K51" s="434"/>
      <c r="O51" s="434"/>
      <c r="P51" s="434"/>
      <c r="Q51" s="434"/>
      <c r="R51" s="434"/>
      <c r="S51" s="434"/>
      <c r="T51" s="434"/>
      <c r="U51" s="434"/>
      <c r="V51" s="434"/>
      <c r="W51" s="434"/>
      <c r="X51" s="434"/>
      <c r="Y51" s="434"/>
    </row>
    <row r="52" spans="1:25">
      <c r="A52" s="434"/>
      <c r="B52" s="434"/>
      <c r="C52" s="434"/>
      <c r="D52" s="435"/>
      <c r="E52" s="435"/>
      <c r="F52" s="434"/>
      <c r="G52" s="434"/>
      <c r="H52" s="434"/>
      <c r="I52" s="434"/>
      <c r="J52" s="434"/>
      <c r="K52" s="434"/>
      <c r="O52" s="434"/>
      <c r="P52" s="434"/>
      <c r="Q52" s="434"/>
      <c r="R52" s="434"/>
      <c r="S52" s="434"/>
      <c r="T52" s="434"/>
      <c r="U52" s="434"/>
      <c r="V52" s="434"/>
      <c r="W52" s="434"/>
      <c r="X52" s="434"/>
      <c r="Y52" s="434"/>
    </row>
    <row r="53" spans="1:25">
      <c r="A53" s="434"/>
      <c r="B53" s="434"/>
      <c r="C53" s="434"/>
      <c r="D53" s="435"/>
      <c r="E53" s="435"/>
      <c r="F53" s="434"/>
      <c r="G53" s="434"/>
      <c r="H53" s="434"/>
      <c r="I53" s="434"/>
      <c r="J53" s="434"/>
      <c r="K53" s="434"/>
      <c r="O53" s="434"/>
      <c r="P53" s="434"/>
      <c r="Q53" s="434"/>
      <c r="R53" s="434"/>
      <c r="S53" s="434"/>
      <c r="T53" s="434"/>
      <c r="U53" s="434"/>
      <c r="V53" s="434"/>
      <c r="W53" s="434"/>
      <c r="X53" s="434"/>
      <c r="Y53" s="434"/>
    </row>
    <row r="54" spans="1:25">
      <c r="A54" s="434"/>
      <c r="B54" s="434"/>
      <c r="C54" s="434"/>
      <c r="D54" s="435"/>
      <c r="E54" s="435"/>
      <c r="F54" s="434"/>
      <c r="G54" s="434"/>
      <c r="H54" s="434"/>
      <c r="I54" s="434"/>
      <c r="J54" s="434"/>
      <c r="K54" s="434"/>
      <c r="O54" s="434"/>
      <c r="P54" s="434"/>
      <c r="Q54" s="434"/>
      <c r="R54" s="434"/>
      <c r="S54" s="434"/>
      <c r="T54" s="434"/>
      <c r="U54" s="434"/>
      <c r="V54" s="434"/>
      <c r="W54" s="434"/>
      <c r="X54" s="434"/>
      <c r="Y54" s="434"/>
    </row>
    <row r="55" spans="1:25">
      <c r="A55" s="434"/>
      <c r="B55" s="434"/>
      <c r="C55" s="434"/>
      <c r="D55" s="435"/>
      <c r="E55" s="435"/>
      <c r="F55" s="434"/>
      <c r="G55" s="434"/>
      <c r="H55" s="434"/>
      <c r="I55" s="434"/>
      <c r="J55" s="434"/>
      <c r="K55" s="434"/>
      <c r="O55" s="434"/>
      <c r="P55" s="434"/>
      <c r="Q55" s="434"/>
      <c r="R55" s="434"/>
      <c r="S55" s="434"/>
      <c r="T55" s="434"/>
      <c r="U55" s="434"/>
      <c r="V55" s="434"/>
      <c r="W55" s="434"/>
      <c r="X55" s="434"/>
      <c r="Y55" s="434"/>
    </row>
    <row r="56" spans="1:25">
      <c r="A56" s="434"/>
      <c r="B56" s="434"/>
      <c r="C56" s="434"/>
      <c r="D56" s="435"/>
      <c r="E56" s="435"/>
      <c r="F56" s="434"/>
      <c r="G56" s="434"/>
      <c r="H56" s="434"/>
      <c r="I56" s="434"/>
      <c r="J56" s="434"/>
      <c r="K56" s="434"/>
      <c r="O56" s="434"/>
      <c r="P56" s="434"/>
      <c r="Q56" s="434"/>
      <c r="R56" s="434"/>
      <c r="S56" s="434"/>
      <c r="T56" s="434"/>
      <c r="U56" s="434"/>
      <c r="V56" s="434"/>
      <c r="W56" s="434"/>
      <c r="X56" s="434"/>
      <c r="Y56" s="434"/>
    </row>
    <row r="57" spans="1:25">
      <c r="A57" s="434"/>
      <c r="B57" s="434"/>
      <c r="C57" s="434"/>
      <c r="D57" s="435"/>
      <c r="E57" s="435"/>
      <c r="F57" s="434"/>
      <c r="G57" s="434"/>
      <c r="H57" s="434"/>
      <c r="I57" s="434"/>
      <c r="J57" s="434"/>
      <c r="K57" s="434"/>
      <c r="O57" s="434"/>
      <c r="P57" s="434"/>
      <c r="Q57" s="434"/>
      <c r="R57" s="434"/>
      <c r="S57" s="434"/>
      <c r="T57" s="434"/>
      <c r="U57" s="434"/>
      <c r="V57" s="434"/>
      <c r="W57" s="434"/>
      <c r="X57" s="434"/>
      <c r="Y57" s="434"/>
    </row>
    <row r="58" spans="1:25">
      <c r="A58" s="434"/>
      <c r="B58" s="434"/>
      <c r="C58" s="434"/>
      <c r="D58" s="435"/>
      <c r="E58" s="435"/>
      <c r="F58" s="434"/>
      <c r="G58" s="434"/>
      <c r="H58" s="434"/>
      <c r="I58" s="434"/>
      <c r="J58" s="434"/>
      <c r="K58" s="434"/>
      <c r="O58" s="434"/>
      <c r="P58" s="434"/>
      <c r="Q58" s="434"/>
      <c r="R58" s="434"/>
      <c r="S58" s="434"/>
      <c r="T58" s="434"/>
      <c r="U58" s="434"/>
      <c r="V58" s="434"/>
      <c r="W58" s="434"/>
      <c r="X58" s="434"/>
      <c r="Y58" s="434"/>
    </row>
    <row r="59" spans="1:25">
      <c r="A59" s="434"/>
      <c r="B59" s="434"/>
      <c r="C59" s="434"/>
      <c r="D59" s="435"/>
      <c r="E59" s="435"/>
      <c r="F59" s="434"/>
      <c r="G59" s="434"/>
      <c r="H59" s="434"/>
      <c r="I59" s="434"/>
      <c r="J59" s="434"/>
      <c r="K59" s="434"/>
      <c r="O59" s="434"/>
      <c r="P59" s="434"/>
      <c r="Q59" s="434"/>
      <c r="R59" s="434"/>
      <c r="S59" s="434"/>
      <c r="T59" s="434"/>
      <c r="U59" s="434"/>
      <c r="V59" s="434"/>
      <c r="W59" s="434"/>
      <c r="X59" s="434"/>
      <c r="Y59" s="434"/>
    </row>
    <row r="60" spans="1:25">
      <c r="A60" s="434"/>
      <c r="B60" s="434"/>
      <c r="C60" s="434"/>
      <c r="D60" s="435"/>
      <c r="E60" s="435"/>
      <c r="F60" s="434"/>
      <c r="G60" s="434"/>
      <c r="H60" s="434"/>
      <c r="I60" s="434"/>
      <c r="J60" s="434"/>
      <c r="K60" s="434"/>
      <c r="O60" s="434"/>
      <c r="P60" s="434"/>
      <c r="Q60" s="434"/>
      <c r="R60" s="434"/>
      <c r="S60" s="434"/>
      <c r="T60" s="434"/>
      <c r="U60" s="434"/>
      <c r="V60" s="434"/>
      <c r="W60" s="434"/>
      <c r="X60" s="434"/>
      <c r="Y60" s="434"/>
    </row>
    <row r="61" spans="1:25">
      <c r="A61" s="434"/>
      <c r="B61" s="434"/>
      <c r="C61" s="434"/>
      <c r="D61" s="435"/>
      <c r="E61" s="435"/>
      <c r="F61" s="434"/>
      <c r="G61" s="434"/>
      <c r="H61" s="434"/>
      <c r="I61" s="434"/>
      <c r="J61" s="434"/>
      <c r="K61" s="434"/>
      <c r="O61" s="434"/>
      <c r="P61" s="434"/>
      <c r="Q61" s="434"/>
      <c r="R61" s="434"/>
      <c r="S61" s="434"/>
      <c r="T61" s="434"/>
      <c r="U61" s="434"/>
      <c r="V61" s="434"/>
      <c r="W61" s="434"/>
      <c r="X61" s="434"/>
      <c r="Y61" s="434"/>
    </row>
    <row r="62" spans="1:25">
      <c r="A62" s="434"/>
      <c r="B62" s="434"/>
      <c r="C62" s="434"/>
      <c r="D62" s="435"/>
      <c r="E62" s="435"/>
      <c r="F62" s="434"/>
      <c r="G62" s="434"/>
      <c r="H62" s="434"/>
      <c r="I62" s="434"/>
      <c r="J62" s="434"/>
      <c r="K62" s="434"/>
      <c r="O62" s="434"/>
      <c r="P62" s="434"/>
      <c r="Q62" s="434"/>
      <c r="R62" s="434"/>
      <c r="S62" s="434"/>
      <c r="T62" s="434"/>
      <c r="U62" s="434"/>
      <c r="V62" s="434"/>
      <c r="W62" s="434"/>
      <c r="X62" s="434"/>
      <c r="Y62" s="434"/>
    </row>
    <row r="63" spans="1:25">
      <c r="A63" s="434"/>
      <c r="B63" s="434"/>
      <c r="C63" s="434"/>
      <c r="D63" s="435"/>
      <c r="E63" s="435"/>
      <c r="F63" s="434"/>
      <c r="G63" s="434"/>
      <c r="H63" s="434"/>
      <c r="I63" s="434"/>
      <c r="J63" s="434"/>
      <c r="K63" s="434"/>
      <c r="O63" s="434"/>
      <c r="P63" s="434"/>
      <c r="Q63" s="434"/>
      <c r="R63" s="434"/>
      <c r="S63" s="434"/>
      <c r="T63" s="434"/>
      <c r="U63" s="434"/>
      <c r="V63" s="434"/>
      <c r="W63" s="434"/>
      <c r="X63" s="434"/>
      <c r="Y63" s="434"/>
    </row>
    <row r="64" spans="1:25">
      <c r="A64" s="434"/>
      <c r="B64" s="434"/>
      <c r="C64" s="434"/>
      <c r="D64" s="435"/>
      <c r="E64" s="435"/>
      <c r="F64" s="434"/>
      <c r="G64" s="434"/>
      <c r="H64" s="434"/>
      <c r="I64" s="434"/>
      <c r="J64" s="434"/>
      <c r="K64" s="434"/>
      <c r="O64" s="434"/>
      <c r="P64" s="434"/>
      <c r="Q64" s="434"/>
      <c r="R64" s="434"/>
      <c r="S64" s="434"/>
      <c r="T64" s="434"/>
      <c r="U64" s="434"/>
      <c r="V64" s="434"/>
      <c r="W64" s="434"/>
      <c r="X64" s="434"/>
      <c r="Y64" s="434"/>
    </row>
    <row r="65" spans="1:25">
      <c r="A65" s="434"/>
      <c r="B65" s="434"/>
      <c r="C65" s="434"/>
      <c r="D65" s="435"/>
      <c r="E65" s="435"/>
      <c r="F65" s="434"/>
      <c r="G65" s="434"/>
      <c r="H65" s="434"/>
      <c r="I65" s="434"/>
      <c r="J65" s="434"/>
      <c r="K65" s="434"/>
      <c r="O65" s="434"/>
      <c r="P65" s="434"/>
      <c r="Q65" s="434"/>
      <c r="R65" s="434"/>
      <c r="S65" s="434"/>
      <c r="T65" s="434"/>
      <c r="U65" s="434"/>
      <c r="V65" s="434"/>
      <c r="W65" s="434"/>
      <c r="X65" s="434"/>
      <c r="Y65" s="434"/>
    </row>
    <row r="66" spans="1:25">
      <c r="A66" s="434"/>
      <c r="B66" s="434"/>
      <c r="C66" s="434"/>
      <c r="D66" s="435"/>
      <c r="E66" s="435"/>
      <c r="F66" s="434"/>
      <c r="G66" s="434"/>
      <c r="H66" s="434"/>
      <c r="I66" s="434"/>
      <c r="J66" s="434"/>
      <c r="K66" s="434"/>
      <c r="O66" s="434"/>
      <c r="P66" s="434"/>
      <c r="Q66" s="434"/>
      <c r="R66" s="434"/>
      <c r="S66" s="434"/>
      <c r="T66" s="434"/>
      <c r="U66" s="434"/>
      <c r="V66" s="434"/>
      <c r="W66" s="434"/>
      <c r="X66" s="434"/>
      <c r="Y66" s="434"/>
    </row>
    <row r="67" spans="1:25">
      <c r="A67" s="434"/>
      <c r="B67" s="434"/>
      <c r="C67" s="434"/>
      <c r="D67" s="435"/>
      <c r="E67" s="435"/>
      <c r="F67" s="434"/>
      <c r="G67" s="434"/>
      <c r="H67" s="434"/>
      <c r="I67" s="434"/>
      <c r="J67" s="434"/>
      <c r="K67" s="434"/>
      <c r="O67" s="434"/>
      <c r="P67" s="434"/>
      <c r="Q67" s="434"/>
      <c r="R67" s="434"/>
      <c r="S67" s="434"/>
      <c r="T67" s="434"/>
      <c r="U67" s="434"/>
      <c r="V67" s="434"/>
      <c r="W67" s="434"/>
      <c r="X67" s="434"/>
      <c r="Y67" s="434"/>
    </row>
  </sheetData>
  <mergeCells count="1">
    <mergeCell ref="I1:L1"/>
  </mergeCells>
  <phoneticPr fontId="0" type="noConversion"/>
  <dataValidations count="1">
    <dataValidation type="date" operator="greaterThan" allowBlank="1" showInputMessage="1" showErrorMessage="1" prompt="Введите дату в формате ЧЧ.ММ.ГГГГ" sqref="R38:S67 JN38:JO67 TJ38:TK67 ADF38:ADG67 ANB38:ANC67 AWX38:AWY67 BGT38:BGU67 BQP38:BQQ67 CAL38:CAM67 CKH38:CKI67 CUD38:CUE67 DDZ38:DEA67 DNV38:DNW67 DXR38:DXS67 EHN38:EHO67 ERJ38:ERK67 FBF38:FBG67 FLB38:FLC67 FUX38:FUY67 GET38:GEU67 GOP38:GOQ67 GYL38:GYM67 HIH38:HII67 HSD38:HSE67 IBZ38:ICA67 ILV38:ILW67 IVR38:IVS67 JFN38:JFO67 JPJ38:JPK67 JZF38:JZG67 KJB38:KJC67 KSX38:KSY67 LCT38:LCU67 LMP38:LMQ67 LWL38:LWM67 MGH38:MGI67 MQD38:MQE67 MZZ38:NAA67 NJV38:NJW67 NTR38:NTS67 ODN38:ODO67 ONJ38:ONK67 OXF38:OXG67 PHB38:PHC67 PQX38:PQY67 QAT38:QAU67 QKP38:QKQ67 QUL38:QUM67 REH38:REI67 ROD38:ROE67 RXZ38:RYA67 SHV38:SHW67 SRR38:SRS67 TBN38:TBO67 TLJ38:TLK67 TVF38:TVG67 UFB38:UFC67 UOX38:UOY67 UYT38:UYU67 VIP38:VIQ67 VSL38:VSM67 WCH38:WCI67 WMD38:WME67 WVZ38:WWA67 R65574:S65603 JN65574:JO65603 TJ65574:TK65603 ADF65574:ADG65603 ANB65574:ANC65603 AWX65574:AWY65603 BGT65574:BGU65603 BQP65574:BQQ65603 CAL65574:CAM65603 CKH65574:CKI65603 CUD65574:CUE65603 DDZ65574:DEA65603 DNV65574:DNW65603 DXR65574:DXS65603 EHN65574:EHO65603 ERJ65574:ERK65603 FBF65574:FBG65603 FLB65574:FLC65603 FUX65574:FUY65603 GET65574:GEU65603 GOP65574:GOQ65603 GYL65574:GYM65603 HIH65574:HII65603 HSD65574:HSE65603 IBZ65574:ICA65603 ILV65574:ILW65603 IVR65574:IVS65603 JFN65574:JFO65603 JPJ65574:JPK65603 JZF65574:JZG65603 KJB65574:KJC65603 KSX65574:KSY65603 LCT65574:LCU65603 LMP65574:LMQ65603 LWL65574:LWM65603 MGH65574:MGI65603 MQD65574:MQE65603 MZZ65574:NAA65603 NJV65574:NJW65603 NTR65574:NTS65603 ODN65574:ODO65603 ONJ65574:ONK65603 OXF65574:OXG65603 PHB65574:PHC65603 PQX65574:PQY65603 QAT65574:QAU65603 QKP65574:QKQ65603 QUL65574:QUM65603 REH65574:REI65603 ROD65574:ROE65603 RXZ65574:RYA65603 SHV65574:SHW65603 SRR65574:SRS65603 TBN65574:TBO65603 TLJ65574:TLK65603 TVF65574:TVG65603 UFB65574:UFC65603 UOX65574:UOY65603 UYT65574:UYU65603 VIP65574:VIQ65603 VSL65574:VSM65603 WCH65574:WCI65603 WMD65574:WME65603 WVZ65574:WWA65603 R131110:S131139 JN131110:JO131139 TJ131110:TK131139 ADF131110:ADG131139 ANB131110:ANC131139 AWX131110:AWY131139 BGT131110:BGU131139 BQP131110:BQQ131139 CAL131110:CAM131139 CKH131110:CKI131139 CUD131110:CUE131139 DDZ131110:DEA131139 DNV131110:DNW131139 DXR131110:DXS131139 EHN131110:EHO131139 ERJ131110:ERK131139 FBF131110:FBG131139 FLB131110:FLC131139 FUX131110:FUY131139 GET131110:GEU131139 GOP131110:GOQ131139 GYL131110:GYM131139 HIH131110:HII131139 HSD131110:HSE131139 IBZ131110:ICA131139 ILV131110:ILW131139 IVR131110:IVS131139 JFN131110:JFO131139 JPJ131110:JPK131139 JZF131110:JZG131139 KJB131110:KJC131139 KSX131110:KSY131139 LCT131110:LCU131139 LMP131110:LMQ131139 LWL131110:LWM131139 MGH131110:MGI131139 MQD131110:MQE131139 MZZ131110:NAA131139 NJV131110:NJW131139 NTR131110:NTS131139 ODN131110:ODO131139 ONJ131110:ONK131139 OXF131110:OXG131139 PHB131110:PHC131139 PQX131110:PQY131139 QAT131110:QAU131139 QKP131110:QKQ131139 QUL131110:QUM131139 REH131110:REI131139 ROD131110:ROE131139 RXZ131110:RYA131139 SHV131110:SHW131139 SRR131110:SRS131139 TBN131110:TBO131139 TLJ131110:TLK131139 TVF131110:TVG131139 UFB131110:UFC131139 UOX131110:UOY131139 UYT131110:UYU131139 VIP131110:VIQ131139 VSL131110:VSM131139 WCH131110:WCI131139 WMD131110:WME131139 WVZ131110:WWA131139 R196646:S196675 JN196646:JO196675 TJ196646:TK196675 ADF196646:ADG196675 ANB196646:ANC196675 AWX196646:AWY196675 BGT196646:BGU196675 BQP196646:BQQ196675 CAL196646:CAM196675 CKH196646:CKI196675 CUD196646:CUE196675 DDZ196646:DEA196675 DNV196646:DNW196675 DXR196646:DXS196675 EHN196646:EHO196675 ERJ196646:ERK196675 FBF196646:FBG196675 FLB196646:FLC196675 FUX196646:FUY196675 GET196646:GEU196675 GOP196646:GOQ196675 GYL196646:GYM196675 HIH196646:HII196675 HSD196646:HSE196675 IBZ196646:ICA196675 ILV196646:ILW196675 IVR196646:IVS196675 JFN196646:JFO196675 JPJ196646:JPK196675 JZF196646:JZG196675 KJB196646:KJC196675 KSX196646:KSY196675 LCT196646:LCU196675 LMP196646:LMQ196675 LWL196646:LWM196675 MGH196646:MGI196675 MQD196646:MQE196675 MZZ196646:NAA196675 NJV196646:NJW196675 NTR196646:NTS196675 ODN196646:ODO196675 ONJ196646:ONK196675 OXF196646:OXG196675 PHB196646:PHC196675 PQX196646:PQY196675 QAT196646:QAU196675 QKP196646:QKQ196675 QUL196646:QUM196675 REH196646:REI196675 ROD196646:ROE196675 RXZ196646:RYA196675 SHV196646:SHW196675 SRR196646:SRS196675 TBN196646:TBO196675 TLJ196646:TLK196675 TVF196646:TVG196675 UFB196646:UFC196675 UOX196646:UOY196675 UYT196646:UYU196675 VIP196646:VIQ196675 VSL196646:VSM196675 WCH196646:WCI196675 WMD196646:WME196675 WVZ196646:WWA196675 R262182:S262211 JN262182:JO262211 TJ262182:TK262211 ADF262182:ADG262211 ANB262182:ANC262211 AWX262182:AWY262211 BGT262182:BGU262211 BQP262182:BQQ262211 CAL262182:CAM262211 CKH262182:CKI262211 CUD262182:CUE262211 DDZ262182:DEA262211 DNV262182:DNW262211 DXR262182:DXS262211 EHN262182:EHO262211 ERJ262182:ERK262211 FBF262182:FBG262211 FLB262182:FLC262211 FUX262182:FUY262211 GET262182:GEU262211 GOP262182:GOQ262211 GYL262182:GYM262211 HIH262182:HII262211 HSD262182:HSE262211 IBZ262182:ICA262211 ILV262182:ILW262211 IVR262182:IVS262211 JFN262182:JFO262211 JPJ262182:JPK262211 JZF262182:JZG262211 KJB262182:KJC262211 KSX262182:KSY262211 LCT262182:LCU262211 LMP262182:LMQ262211 LWL262182:LWM262211 MGH262182:MGI262211 MQD262182:MQE262211 MZZ262182:NAA262211 NJV262182:NJW262211 NTR262182:NTS262211 ODN262182:ODO262211 ONJ262182:ONK262211 OXF262182:OXG262211 PHB262182:PHC262211 PQX262182:PQY262211 QAT262182:QAU262211 QKP262182:QKQ262211 QUL262182:QUM262211 REH262182:REI262211 ROD262182:ROE262211 RXZ262182:RYA262211 SHV262182:SHW262211 SRR262182:SRS262211 TBN262182:TBO262211 TLJ262182:TLK262211 TVF262182:TVG262211 UFB262182:UFC262211 UOX262182:UOY262211 UYT262182:UYU262211 VIP262182:VIQ262211 VSL262182:VSM262211 WCH262182:WCI262211 WMD262182:WME262211 WVZ262182:WWA262211 R327718:S327747 JN327718:JO327747 TJ327718:TK327747 ADF327718:ADG327747 ANB327718:ANC327747 AWX327718:AWY327747 BGT327718:BGU327747 BQP327718:BQQ327747 CAL327718:CAM327747 CKH327718:CKI327747 CUD327718:CUE327747 DDZ327718:DEA327747 DNV327718:DNW327747 DXR327718:DXS327747 EHN327718:EHO327747 ERJ327718:ERK327747 FBF327718:FBG327747 FLB327718:FLC327747 FUX327718:FUY327747 GET327718:GEU327747 GOP327718:GOQ327747 GYL327718:GYM327747 HIH327718:HII327747 HSD327718:HSE327747 IBZ327718:ICA327747 ILV327718:ILW327747 IVR327718:IVS327747 JFN327718:JFO327747 JPJ327718:JPK327747 JZF327718:JZG327747 KJB327718:KJC327747 KSX327718:KSY327747 LCT327718:LCU327747 LMP327718:LMQ327747 LWL327718:LWM327747 MGH327718:MGI327747 MQD327718:MQE327747 MZZ327718:NAA327747 NJV327718:NJW327747 NTR327718:NTS327747 ODN327718:ODO327747 ONJ327718:ONK327747 OXF327718:OXG327747 PHB327718:PHC327747 PQX327718:PQY327747 QAT327718:QAU327747 QKP327718:QKQ327747 QUL327718:QUM327747 REH327718:REI327747 ROD327718:ROE327747 RXZ327718:RYA327747 SHV327718:SHW327747 SRR327718:SRS327747 TBN327718:TBO327747 TLJ327718:TLK327747 TVF327718:TVG327747 UFB327718:UFC327747 UOX327718:UOY327747 UYT327718:UYU327747 VIP327718:VIQ327747 VSL327718:VSM327747 WCH327718:WCI327747 WMD327718:WME327747 WVZ327718:WWA327747 R393254:S393283 JN393254:JO393283 TJ393254:TK393283 ADF393254:ADG393283 ANB393254:ANC393283 AWX393254:AWY393283 BGT393254:BGU393283 BQP393254:BQQ393283 CAL393254:CAM393283 CKH393254:CKI393283 CUD393254:CUE393283 DDZ393254:DEA393283 DNV393254:DNW393283 DXR393254:DXS393283 EHN393254:EHO393283 ERJ393254:ERK393283 FBF393254:FBG393283 FLB393254:FLC393283 FUX393254:FUY393283 GET393254:GEU393283 GOP393254:GOQ393283 GYL393254:GYM393283 HIH393254:HII393283 HSD393254:HSE393283 IBZ393254:ICA393283 ILV393254:ILW393283 IVR393254:IVS393283 JFN393254:JFO393283 JPJ393254:JPK393283 JZF393254:JZG393283 KJB393254:KJC393283 KSX393254:KSY393283 LCT393254:LCU393283 LMP393254:LMQ393283 LWL393254:LWM393283 MGH393254:MGI393283 MQD393254:MQE393283 MZZ393254:NAA393283 NJV393254:NJW393283 NTR393254:NTS393283 ODN393254:ODO393283 ONJ393254:ONK393283 OXF393254:OXG393283 PHB393254:PHC393283 PQX393254:PQY393283 QAT393254:QAU393283 QKP393254:QKQ393283 QUL393254:QUM393283 REH393254:REI393283 ROD393254:ROE393283 RXZ393254:RYA393283 SHV393254:SHW393283 SRR393254:SRS393283 TBN393254:TBO393283 TLJ393254:TLK393283 TVF393254:TVG393283 UFB393254:UFC393283 UOX393254:UOY393283 UYT393254:UYU393283 VIP393254:VIQ393283 VSL393254:VSM393283 WCH393254:WCI393283 WMD393254:WME393283 WVZ393254:WWA393283 R458790:S458819 JN458790:JO458819 TJ458790:TK458819 ADF458790:ADG458819 ANB458790:ANC458819 AWX458790:AWY458819 BGT458790:BGU458819 BQP458790:BQQ458819 CAL458790:CAM458819 CKH458790:CKI458819 CUD458790:CUE458819 DDZ458790:DEA458819 DNV458790:DNW458819 DXR458790:DXS458819 EHN458790:EHO458819 ERJ458790:ERK458819 FBF458790:FBG458819 FLB458790:FLC458819 FUX458790:FUY458819 GET458790:GEU458819 GOP458790:GOQ458819 GYL458790:GYM458819 HIH458790:HII458819 HSD458790:HSE458819 IBZ458790:ICA458819 ILV458790:ILW458819 IVR458790:IVS458819 JFN458790:JFO458819 JPJ458790:JPK458819 JZF458790:JZG458819 KJB458790:KJC458819 KSX458790:KSY458819 LCT458790:LCU458819 LMP458790:LMQ458819 LWL458790:LWM458819 MGH458790:MGI458819 MQD458790:MQE458819 MZZ458790:NAA458819 NJV458790:NJW458819 NTR458790:NTS458819 ODN458790:ODO458819 ONJ458790:ONK458819 OXF458790:OXG458819 PHB458790:PHC458819 PQX458790:PQY458819 QAT458790:QAU458819 QKP458790:QKQ458819 QUL458790:QUM458819 REH458790:REI458819 ROD458790:ROE458819 RXZ458790:RYA458819 SHV458790:SHW458819 SRR458790:SRS458819 TBN458790:TBO458819 TLJ458790:TLK458819 TVF458790:TVG458819 UFB458790:UFC458819 UOX458790:UOY458819 UYT458790:UYU458819 VIP458790:VIQ458819 VSL458790:VSM458819 WCH458790:WCI458819 WMD458790:WME458819 WVZ458790:WWA458819 R524326:S524355 JN524326:JO524355 TJ524326:TK524355 ADF524326:ADG524355 ANB524326:ANC524355 AWX524326:AWY524355 BGT524326:BGU524355 BQP524326:BQQ524355 CAL524326:CAM524355 CKH524326:CKI524355 CUD524326:CUE524355 DDZ524326:DEA524355 DNV524326:DNW524355 DXR524326:DXS524355 EHN524326:EHO524355 ERJ524326:ERK524355 FBF524326:FBG524355 FLB524326:FLC524355 FUX524326:FUY524355 GET524326:GEU524355 GOP524326:GOQ524355 GYL524326:GYM524355 HIH524326:HII524355 HSD524326:HSE524355 IBZ524326:ICA524355 ILV524326:ILW524355 IVR524326:IVS524355 JFN524326:JFO524355 JPJ524326:JPK524355 JZF524326:JZG524355 KJB524326:KJC524355 KSX524326:KSY524355 LCT524326:LCU524355 LMP524326:LMQ524355 LWL524326:LWM524355 MGH524326:MGI524355 MQD524326:MQE524355 MZZ524326:NAA524355 NJV524326:NJW524355 NTR524326:NTS524355 ODN524326:ODO524355 ONJ524326:ONK524355 OXF524326:OXG524355 PHB524326:PHC524355 PQX524326:PQY524355 QAT524326:QAU524355 QKP524326:QKQ524355 QUL524326:QUM524355 REH524326:REI524355 ROD524326:ROE524355 RXZ524326:RYA524355 SHV524326:SHW524355 SRR524326:SRS524355 TBN524326:TBO524355 TLJ524326:TLK524355 TVF524326:TVG524355 UFB524326:UFC524355 UOX524326:UOY524355 UYT524326:UYU524355 VIP524326:VIQ524355 VSL524326:VSM524355 WCH524326:WCI524355 WMD524326:WME524355 WVZ524326:WWA524355 R589862:S589891 JN589862:JO589891 TJ589862:TK589891 ADF589862:ADG589891 ANB589862:ANC589891 AWX589862:AWY589891 BGT589862:BGU589891 BQP589862:BQQ589891 CAL589862:CAM589891 CKH589862:CKI589891 CUD589862:CUE589891 DDZ589862:DEA589891 DNV589862:DNW589891 DXR589862:DXS589891 EHN589862:EHO589891 ERJ589862:ERK589891 FBF589862:FBG589891 FLB589862:FLC589891 FUX589862:FUY589891 GET589862:GEU589891 GOP589862:GOQ589891 GYL589862:GYM589891 HIH589862:HII589891 HSD589862:HSE589891 IBZ589862:ICA589891 ILV589862:ILW589891 IVR589862:IVS589891 JFN589862:JFO589891 JPJ589862:JPK589891 JZF589862:JZG589891 KJB589862:KJC589891 KSX589862:KSY589891 LCT589862:LCU589891 LMP589862:LMQ589891 LWL589862:LWM589891 MGH589862:MGI589891 MQD589862:MQE589891 MZZ589862:NAA589891 NJV589862:NJW589891 NTR589862:NTS589891 ODN589862:ODO589891 ONJ589862:ONK589891 OXF589862:OXG589891 PHB589862:PHC589891 PQX589862:PQY589891 QAT589862:QAU589891 QKP589862:QKQ589891 QUL589862:QUM589891 REH589862:REI589891 ROD589862:ROE589891 RXZ589862:RYA589891 SHV589862:SHW589891 SRR589862:SRS589891 TBN589862:TBO589891 TLJ589862:TLK589891 TVF589862:TVG589891 UFB589862:UFC589891 UOX589862:UOY589891 UYT589862:UYU589891 VIP589862:VIQ589891 VSL589862:VSM589891 WCH589862:WCI589891 WMD589862:WME589891 WVZ589862:WWA589891 R655398:S655427 JN655398:JO655427 TJ655398:TK655427 ADF655398:ADG655427 ANB655398:ANC655427 AWX655398:AWY655427 BGT655398:BGU655427 BQP655398:BQQ655427 CAL655398:CAM655427 CKH655398:CKI655427 CUD655398:CUE655427 DDZ655398:DEA655427 DNV655398:DNW655427 DXR655398:DXS655427 EHN655398:EHO655427 ERJ655398:ERK655427 FBF655398:FBG655427 FLB655398:FLC655427 FUX655398:FUY655427 GET655398:GEU655427 GOP655398:GOQ655427 GYL655398:GYM655427 HIH655398:HII655427 HSD655398:HSE655427 IBZ655398:ICA655427 ILV655398:ILW655427 IVR655398:IVS655427 JFN655398:JFO655427 JPJ655398:JPK655427 JZF655398:JZG655427 KJB655398:KJC655427 KSX655398:KSY655427 LCT655398:LCU655427 LMP655398:LMQ655427 LWL655398:LWM655427 MGH655398:MGI655427 MQD655398:MQE655427 MZZ655398:NAA655427 NJV655398:NJW655427 NTR655398:NTS655427 ODN655398:ODO655427 ONJ655398:ONK655427 OXF655398:OXG655427 PHB655398:PHC655427 PQX655398:PQY655427 QAT655398:QAU655427 QKP655398:QKQ655427 QUL655398:QUM655427 REH655398:REI655427 ROD655398:ROE655427 RXZ655398:RYA655427 SHV655398:SHW655427 SRR655398:SRS655427 TBN655398:TBO655427 TLJ655398:TLK655427 TVF655398:TVG655427 UFB655398:UFC655427 UOX655398:UOY655427 UYT655398:UYU655427 VIP655398:VIQ655427 VSL655398:VSM655427 WCH655398:WCI655427 WMD655398:WME655427 WVZ655398:WWA655427 R720934:S720963 JN720934:JO720963 TJ720934:TK720963 ADF720934:ADG720963 ANB720934:ANC720963 AWX720934:AWY720963 BGT720934:BGU720963 BQP720934:BQQ720963 CAL720934:CAM720963 CKH720934:CKI720963 CUD720934:CUE720963 DDZ720934:DEA720963 DNV720934:DNW720963 DXR720934:DXS720963 EHN720934:EHO720963 ERJ720934:ERK720963 FBF720934:FBG720963 FLB720934:FLC720963 FUX720934:FUY720963 GET720934:GEU720963 GOP720934:GOQ720963 GYL720934:GYM720963 HIH720934:HII720963 HSD720934:HSE720963 IBZ720934:ICA720963 ILV720934:ILW720963 IVR720934:IVS720963 JFN720934:JFO720963 JPJ720934:JPK720963 JZF720934:JZG720963 KJB720934:KJC720963 KSX720934:KSY720963 LCT720934:LCU720963 LMP720934:LMQ720963 LWL720934:LWM720963 MGH720934:MGI720963 MQD720934:MQE720963 MZZ720934:NAA720963 NJV720934:NJW720963 NTR720934:NTS720963 ODN720934:ODO720963 ONJ720934:ONK720963 OXF720934:OXG720963 PHB720934:PHC720963 PQX720934:PQY720963 QAT720934:QAU720963 QKP720934:QKQ720963 QUL720934:QUM720963 REH720934:REI720963 ROD720934:ROE720963 RXZ720934:RYA720963 SHV720934:SHW720963 SRR720934:SRS720963 TBN720934:TBO720963 TLJ720934:TLK720963 TVF720934:TVG720963 UFB720934:UFC720963 UOX720934:UOY720963 UYT720934:UYU720963 VIP720934:VIQ720963 VSL720934:VSM720963 WCH720934:WCI720963 WMD720934:WME720963 WVZ720934:WWA720963 R786470:S786499 JN786470:JO786499 TJ786470:TK786499 ADF786470:ADG786499 ANB786470:ANC786499 AWX786470:AWY786499 BGT786470:BGU786499 BQP786470:BQQ786499 CAL786470:CAM786499 CKH786470:CKI786499 CUD786470:CUE786499 DDZ786470:DEA786499 DNV786470:DNW786499 DXR786470:DXS786499 EHN786470:EHO786499 ERJ786470:ERK786499 FBF786470:FBG786499 FLB786470:FLC786499 FUX786470:FUY786499 GET786470:GEU786499 GOP786470:GOQ786499 GYL786470:GYM786499 HIH786470:HII786499 HSD786470:HSE786499 IBZ786470:ICA786499 ILV786470:ILW786499 IVR786470:IVS786499 JFN786470:JFO786499 JPJ786470:JPK786499 JZF786470:JZG786499 KJB786470:KJC786499 KSX786470:KSY786499 LCT786470:LCU786499 LMP786470:LMQ786499 LWL786470:LWM786499 MGH786470:MGI786499 MQD786470:MQE786499 MZZ786470:NAA786499 NJV786470:NJW786499 NTR786470:NTS786499 ODN786470:ODO786499 ONJ786470:ONK786499 OXF786470:OXG786499 PHB786470:PHC786499 PQX786470:PQY786499 QAT786470:QAU786499 QKP786470:QKQ786499 QUL786470:QUM786499 REH786470:REI786499 ROD786470:ROE786499 RXZ786470:RYA786499 SHV786470:SHW786499 SRR786470:SRS786499 TBN786470:TBO786499 TLJ786470:TLK786499 TVF786470:TVG786499 UFB786470:UFC786499 UOX786470:UOY786499 UYT786470:UYU786499 VIP786470:VIQ786499 VSL786470:VSM786499 WCH786470:WCI786499 WMD786470:WME786499 WVZ786470:WWA786499 R852006:S852035 JN852006:JO852035 TJ852006:TK852035 ADF852006:ADG852035 ANB852006:ANC852035 AWX852006:AWY852035 BGT852006:BGU852035 BQP852006:BQQ852035 CAL852006:CAM852035 CKH852006:CKI852035 CUD852006:CUE852035 DDZ852006:DEA852035 DNV852006:DNW852035 DXR852006:DXS852035 EHN852006:EHO852035 ERJ852006:ERK852035 FBF852006:FBG852035 FLB852006:FLC852035 FUX852006:FUY852035 GET852006:GEU852035 GOP852006:GOQ852035 GYL852006:GYM852035 HIH852006:HII852035 HSD852006:HSE852035 IBZ852006:ICA852035 ILV852006:ILW852035 IVR852006:IVS852035 JFN852006:JFO852035 JPJ852006:JPK852035 JZF852006:JZG852035 KJB852006:KJC852035 KSX852006:KSY852035 LCT852006:LCU852035 LMP852006:LMQ852035 LWL852006:LWM852035 MGH852006:MGI852035 MQD852006:MQE852035 MZZ852006:NAA852035 NJV852006:NJW852035 NTR852006:NTS852035 ODN852006:ODO852035 ONJ852006:ONK852035 OXF852006:OXG852035 PHB852006:PHC852035 PQX852006:PQY852035 QAT852006:QAU852035 QKP852006:QKQ852035 QUL852006:QUM852035 REH852006:REI852035 ROD852006:ROE852035 RXZ852006:RYA852035 SHV852006:SHW852035 SRR852006:SRS852035 TBN852006:TBO852035 TLJ852006:TLK852035 TVF852006:TVG852035 UFB852006:UFC852035 UOX852006:UOY852035 UYT852006:UYU852035 VIP852006:VIQ852035 VSL852006:VSM852035 WCH852006:WCI852035 WMD852006:WME852035 WVZ852006:WWA852035 R917542:S917571 JN917542:JO917571 TJ917542:TK917571 ADF917542:ADG917571 ANB917542:ANC917571 AWX917542:AWY917571 BGT917542:BGU917571 BQP917542:BQQ917571 CAL917542:CAM917571 CKH917542:CKI917571 CUD917542:CUE917571 DDZ917542:DEA917571 DNV917542:DNW917571 DXR917542:DXS917571 EHN917542:EHO917571 ERJ917542:ERK917571 FBF917542:FBG917571 FLB917542:FLC917571 FUX917542:FUY917571 GET917542:GEU917571 GOP917542:GOQ917571 GYL917542:GYM917571 HIH917542:HII917571 HSD917542:HSE917571 IBZ917542:ICA917571 ILV917542:ILW917571 IVR917542:IVS917571 JFN917542:JFO917571 JPJ917542:JPK917571 JZF917542:JZG917571 KJB917542:KJC917571 KSX917542:KSY917571 LCT917542:LCU917571 LMP917542:LMQ917571 LWL917542:LWM917571 MGH917542:MGI917571 MQD917542:MQE917571 MZZ917542:NAA917571 NJV917542:NJW917571 NTR917542:NTS917571 ODN917542:ODO917571 ONJ917542:ONK917571 OXF917542:OXG917571 PHB917542:PHC917571 PQX917542:PQY917571 QAT917542:QAU917571 QKP917542:QKQ917571 QUL917542:QUM917571 REH917542:REI917571 ROD917542:ROE917571 RXZ917542:RYA917571 SHV917542:SHW917571 SRR917542:SRS917571 TBN917542:TBO917571 TLJ917542:TLK917571 TVF917542:TVG917571 UFB917542:UFC917571 UOX917542:UOY917571 UYT917542:UYU917571 VIP917542:VIQ917571 VSL917542:VSM917571 WCH917542:WCI917571 WMD917542:WME917571 WVZ917542:WWA917571 R983078:S983107 JN983078:JO983107 TJ983078:TK983107 ADF983078:ADG983107 ANB983078:ANC983107 AWX983078:AWY983107 BGT983078:BGU983107 BQP983078:BQQ983107 CAL983078:CAM983107 CKH983078:CKI983107 CUD983078:CUE983107 DDZ983078:DEA983107 DNV983078:DNW983107 DXR983078:DXS983107 EHN983078:EHO983107 ERJ983078:ERK983107 FBF983078:FBG983107 FLB983078:FLC983107 FUX983078:FUY983107 GET983078:GEU983107 GOP983078:GOQ983107 GYL983078:GYM983107 HIH983078:HII983107 HSD983078:HSE983107 IBZ983078:ICA983107 ILV983078:ILW983107 IVR983078:IVS983107 JFN983078:JFO983107 JPJ983078:JPK983107 JZF983078:JZG983107 KJB983078:KJC983107 KSX983078:KSY983107 LCT983078:LCU983107 LMP983078:LMQ983107 LWL983078:LWM983107 MGH983078:MGI983107 MQD983078:MQE983107 MZZ983078:NAA983107 NJV983078:NJW983107 NTR983078:NTS983107 ODN983078:ODO983107 ONJ983078:ONK983107 OXF983078:OXG983107 PHB983078:PHC983107 PQX983078:PQY983107 QAT983078:QAU983107 QKP983078:QKQ983107 QUL983078:QUM983107 REH983078:REI983107 ROD983078:ROE983107 RXZ983078:RYA983107 SHV983078:SHW983107 SRR983078:SRS983107 TBN983078:TBO983107 TLJ983078:TLK983107 TVF983078:TVG983107 UFB983078:UFC983107 UOX983078:UOY983107 UYT983078:UYU983107 VIP983078:VIQ983107 VSL983078:VSM983107 WCH983078:WCI983107 WMD983078:WME983107 WVZ983078:WWA983107 D38:E67 IZ38:JA67 SV38:SW67 ACR38:ACS67 AMN38:AMO67 AWJ38:AWK67 BGF38:BGG67 BQB38:BQC67 BZX38:BZY67 CJT38:CJU67 CTP38:CTQ67 DDL38:DDM67 DNH38:DNI67 DXD38:DXE67 EGZ38:EHA67 EQV38:EQW67 FAR38:FAS67 FKN38:FKO67 FUJ38:FUK67 GEF38:GEG67 GOB38:GOC67 GXX38:GXY67 HHT38:HHU67 HRP38:HRQ67 IBL38:IBM67 ILH38:ILI67 IVD38:IVE67 JEZ38:JFA67 JOV38:JOW67 JYR38:JYS67 KIN38:KIO67 KSJ38:KSK67 LCF38:LCG67 LMB38:LMC67 LVX38:LVY67 MFT38:MFU67 MPP38:MPQ67 MZL38:MZM67 NJH38:NJI67 NTD38:NTE67 OCZ38:ODA67 OMV38:OMW67 OWR38:OWS67 PGN38:PGO67 PQJ38:PQK67 QAF38:QAG67 QKB38:QKC67 QTX38:QTY67 RDT38:RDU67 RNP38:RNQ67 RXL38:RXM67 SHH38:SHI67 SRD38:SRE67 TAZ38:TBA67 TKV38:TKW67 TUR38:TUS67 UEN38:UEO67 UOJ38:UOK67 UYF38:UYG67 VIB38:VIC67 VRX38:VRY67 WBT38:WBU67 WLP38:WLQ67 WVL38:WVM67 D65574:E65603 IZ65574:JA65603 SV65574:SW65603 ACR65574:ACS65603 AMN65574:AMO65603 AWJ65574:AWK65603 BGF65574:BGG65603 BQB65574:BQC65603 BZX65574:BZY65603 CJT65574:CJU65603 CTP65574:CTQ65603 DDL65574:DDM65603 DNH65574:DNI65603 DXD65574:DXE65603 EGZ65574:EHA65603 EQV65574:EQW65603 FAR65574:FAS65603 FKN65574:FKO65603 FUJ65574:FUK65603 GEF65574:GEG65603 GOB65574:GOC65603 GXX65574:GXY65603 HHT65574:HHU65603 HRP65574:HRQ65603 IBL65574:IBM65603 ILH65574:ILI65603 IVD65574:IVE65603 JEZ65574:JFA65603 JOV65574:JOW65603 JYR65574:JYS65603 KIN65574:KIO65603 KSJ65574:KSK65603 LCF65574:LCG65603 LMB65574:LMC65603 LVX65574:LVY65603 MFT65574:MFU65603 MPP65574:MPQ65603 MZL65574:MZM65603 NJH65574:NJI65603 NTD65574:NTE65603 OCZ65574:ODA65603 OMV65574:OMW65603 OWR65574:OWS65603 PGN65574:PGO65603 PQJ65574:PQK65603 QAF65574:QAG65603 QKB65574:QKC65603 QTX65574:QTY65603 RDT65574:RDU65603 RNP65574:RNQ65603 RXL65574:RXM65603 SHH65574:SHI65603 SRD65574:SRE65603 TAZ65574:TBA65603 TKV65574:TKW65603 TUR65574:TUS65603 UEN65574:UEO65603 UOJ65574:UOK65603 UYF65574:UYG65603 VIB65574:VIC65603 VRX65574:VRY65603 WBT65574:WBU65603 WLP65574:WLQ65603 WVL65574:WVM65603 D131110:E131139 IZ131110:JA131139 SV131110:SW131139 ACR131110:ACS131139 AMN131110:AMO131139 AWJ131110:AWK131139 BGF131110:BGG131139 BQB131110:BQC131139 BZX131110:BZY131139 CJT131110:CJU131139 CTP131110:CTQ131139 DDL131110:DDM131139 DNH131110:DNI131139 DXD131110:DXE131139 EGZ131110:EHA131139 EQV131110:EQW131139 FAR131110:FAS131139 FKN131110:FKO131139 FUJ131110:FUK131139 GEF131110:GEG131139 GOB131110:GOC131139 GXX131110:GXY131139 HHT131110:HHU131139 HRP131110:HRQ131139 IBL131110:IBM131139 ILH131110:ILI131139 IVD131110:IVE131139 JEZ131110:JFA131139 JOV131110:JOW131139 JYR131110:JYS131139 KIN131110:KIO131139 KSJ131110:KSK131139 LCF131110:LCG131139 LMB131110:LMC131139 LVX131110:LVY131139 MFT131110:MFU131139 MPP131110:MPQ131139 MZL131110:MZM131139 NJH131110:NJI131139 NTD131110:NTE131139 OCZ131110:ODA131139 OMV131110:OMW131139 OWR131110:OWS131139 PGN131110:PGO131139 PQJ131110:PQK131139 QAF131110:QAG131139 QKB131110:QKC131139 QTX131110:QTY131139 RDT131110:RDU131139 RNP131110:RNQ131139 RXL131110:RXM131139 SHH131110:SHI131139 SRD131110:SRE131139 TAZ131110:TBA131139 TKV131110:TKW131139 TUR131110:TUS131139 UEN131110:UEO131139 UOJ131110:UOK131139 UYF131110:UYG131139 VIB131110:VIC131139 VRX131110:VRY131139 WBT131110:WBU131139 WLP131110:WLQ131139 WVL131110:WVM131139 D196646:E196675 IZ196646:JA196675 SV196646:SW196675 ACR196646:ACS196675 AMN196646:AMO196675 AWJ196646:AWK196675 BGF196646:BGG196675 BQB196646:BQC196675 BZX196646:BZY196675 CJT196646:CJU196675 CTP196646:CTQ196675 DDL196646:DDM196675 DNH196646:DNI196675 DXD196646:DXE196675 EGZ196646:EHA196675 EQV196646:EQW196675 FAR196646:FAS196675 FKN196646:FKO196675 FUJ196646:FUK196675 GEF196646:GEG196675 GOB196646:GOC196675 GXX196646:GXY196675 HHT196646:HHU196675 HRP196646:HRQ196675 IBL196646:IBM196675 ILH196646:ILI196675 IVD196646:IVE196675 JEZ196646:JFA196675 JOV196646:JOW196675 JYR196646:JYS196675 KIN196646:KIO196675 KSJ196646:KSK196675 LCF196646:LCG196675 LMB196646:LMC196675 LVX196646:LVY196675 MFT196646:MFU196675 MPP196646:MPQ196675 MZL196646:MZM196675 NJH196646:NJI196675 NTD196646:NTE196675 OCZ196646:ODA196675 OMV196646:OMW196675 OWR196646:OWS196675 PGN196646:PGO196675 PQJ196646:PQK196675 QAF196646:QAG196675 QKB196646:QKC196675 QTX196646:QTY196675 RDT196646:RDU196675 RNP196646:RNQ196675 RXL196646:RXM196675 SHH196646:SHI196675 SRD196646:SRE196675 TAZ196646:TBA196675 TKV196646:TKW196675 TUR196646:TUS196675 UEN196646:UEO196675 UOJ196646:UOK196675 UYF196646:UYG196675 VIB196646:VIC196675 VRX196646:VRY196675 WBT196646:WBU196675 WLP196646:WLQ196675 WVL196646:WVM196675 D262182:E262211 IZ262182:JA262211 SV262182:SW262211 ACR262182:ACS262211 AMN262182:AMO262211 AWJ262182:AWK262211 BGF262182:BGG262211 BQB262182:BQC262211 BZX262182:BZY262211 CJT262182:CJU262211 CTP262182:CTQ262211 DDL262182:DDM262211 DNH262182:DNI262211 DXD262182:DXE262211 EGZ262182:EHA262211 EQV262182:EQW262211 FAR262182:FAS262211 FKN262182:FKO262211 FUJ262182:FUK262211 GEF262182:GEG262211 GOB262182:GOC262211 GXX262182:GXY262211 HHT262182:HHU262211 HRP262182:HRQ262211 IBL262182:IBM262211 ILH262182:ILI262211 IVD262182:IVE262211 JEZ262182:JFA262211 JOV262182:JOW262211 JYR262182:JYS262211 KIN262182:KIO262211 KSJ262182:KSK262211 LCF262182:LCG262211 LMB262182:LMC262211 LVX262182:LVY262211 MFT262182:MFU262211 MPP262182:MPQ262211 MZL262182:MZM262211 NJH262182:NJI262211 NTD262182:NTE262211 OCZ262182:ODA262211 OMV262182:OMW262211 OWR262182:OWS262211 PGN262182:PGO262211 PQJ262182:PQK262211 QAF262182:QAG262211 QKB262182:QKC262211 QTX262182:QTY262211 RDT262182:RDU262211 RNP262182:RNQ262211 RXL262182:RXM262211 SHH262182:SHI262211 SRD262182:SRE262211 TAZ262182:TBA262211 TKV262182:TKW262211 TUR262182:TUS262211 UEN262182:UEO262211 UOJ262182:UOK262211 UYF262182:UYG262211 VIB262182:VIC262211 VRX262182:VRY262211 WBT262182:WBU262211 WLP262182:WLQ262211 WVL262182:WVM262211 D327718:E327747 IZ327718:JA327747 SV327718:SW327747 ACR327718:ACS327747 AMN327718:AMO327747 AWJ327718:AWK327747 BGF327718:BGG327747 BQB327718:BQC327747 BZX327718:BZY327747 CJT327718:CJU327747 CTP327718:CTQ327747 DDL327718:DDM327747 DNH327718:DNI327747 DXD327718:DXE327747 EGZ327718:EHA327747 EQV327718:EQW327747 FAR327718:FAS327747 FKN327718:FKO327747 FUJ327718:FUK327747 GEF327718:GEG327747 GOB327718:GOC327747 GXX327718:GXY327747 HHT327718:HHU327747 HRP327718:HRQ327747 IBL327718:IBM327747 ILH327718:ILI327747 IVD327718:IVE327747 JEZ327718:JFA327747 JOV327718:JOW327747 JYR327718:JYS327747 KIN327718:KIO327747 KSJ327718:KSK327747 LCF327718:LCG327747 LMB327718:LMC327747 LVX327718:LVY327747 MFT327718:MFU327747 MPP327718:MPQ327747 MZL327718:MZM327747 NJH327718:NJI327747 NTD327718:NTE327747 OCZ327718:ODA327747 OMV327718:OMW327747 OWR327718:OWS327747 PGN327718:PGO327747 PQJ327718:PQK327747 QAF327718:QAG327747 QKB327718:QKC327747 QTX327718:QTY327747 RDT327718:RDU327747 RNP327718:RNQ327747 RXL327718:RXM327747 SHH327718:SHI327747 SRD327718:SRE327747 TAZ327718:TBA327747 TKV327718:TKW327747 TUR327718:TUS327747 UEN327718:UEO327747 UOJ327718:UOK327747 UYF327718:UYG327747 VIB327718:VIC327747 VRX327718:VRY327747 WBT327718:WBU327747 WLP327718:WLQ327747 WVL327718:WVM327747 D393254:E393283 IZ393254:JA393283 SV393254:SW393283 ACR393254:ACS393283 AMN393254:AMO393283 AWJ393254:AWK393283 BGF393254:BGG393283 BQB393254:BQC393283 BZX393254:BZY393283 CJT393254:CJU393283 CTP393254:CTQ393283 DDL393254:DDM393283 DNH393254:DNI393283 DXD393254:DXE393283 EGZ393254:EHA393283 EQV393254:EQW393283 FAR393254:FAS393283 FKN393254:FKO393283 FUJ393254:FUK393283 GEF393254:GEG393283 GOB393254:GOC393283 GXX393254:GXY393283 HHT393254:HHU393283 HRP393254:HRQ393283 IBL393254:IBM393283 ILH393254:ILI393283 IVD393254:IVE393283 JEZ393254:JFA393283 JOV393254:JOW393283 JYR393254:JYS393283 KIN393254:KIO393283 KSJ393254:KSK393283 LCF393254:LCG393283 LMB393254:LMC393283 LVX393254:LVY393283 MFT393254:MFU393283 MPP393254:MPQ393283 MZL393254:MZM393283 NJH393254:NJI393283 NTD393254:NTE393283 OCZ393254:ODA393283 OMV393254:OMW393283 OWR393254:OWS393283 PGN393254:PGO393283 PQJ393254:PQK393283 QAF393254:QAG393283 QKB393254:QKC393283 QTX393254:QTY393283 RDT393254:RDU393283 RNP393254:RNQ393283 RXL393254:RXM393283 SHH393254:SHI393283 SRD393254:SRE393283 TAZ393254:TBA393283 TKV393254:TKW393283 TUR393254:TUS393283 UEN393254:UEO393283 UOJ393254:UOK393283 UYF393254:UYG393283 VIB393254:VIC393283 VRX393254:VRY393283 WBT393254:WBU393283 WLP393254:WLQ393283 WVL393254:WVM393283 D458790:E458819 IZ458790:JA458819 SV458790:SW458819 ACR458790:ACS458819 AMN458790:AMO458819 AWJ458790:AWK458819 BGF458790:BGG458819 BQB458790:BQC458819 BZX458790:BZY458819 CJT458790:CJU458819 CTP458790:CTQ458819 DDL458790:DDM458819 DNH458790:DNI458819 DXD458790:DXE458819 EGZ458790:EHA458819 EQV458790:EQW458819 FAR458790:FAS458819 FKN458790:FKO458819 FUJ458790:FUK458819 GEF458790:GEG458819 GOB458790:GOC458819 GXX458790:GXY458819 HHT458790:HHU458819 HRP458790:HRQ458819 IBL458790:IBM458819 ILH458790:ILI458819 IVD458790:IVE458819 JEZ458790:JFA458819 JOV458790:JOW458819 JYR458790:JYS458819 KIN458790:KIO458819 KSJ458790:KSK458819 LCF458790:LCG458819 LMB458790:LMC458819 LVX458790:LVY458819 MFT458790:MFU458819 MPP458790:MPQ458819 MZL458790:MZM458819 NJH458790:NJI458819 NTD458790:NTE458819 OCZ458790:ODA458819 OMV458790:OMW458819 OWR458790:OWS458819 PGN458790:PGO458819 PQJ458790:PQK458819 QAF458790:QAG458819 QKB458790:QKC458819 QTX458790:QTY458819 RDT458790:RDU458819 RNP458790:RNQ458819 RXL458790:RXM458819 SHH458790:SHI458819 SRD458790:SRE458819 TAZ458790:TBA458819 TKV458790:TKW458819 TUR458790:TUS458819 UEN458790:UEO458819 UOJ458790:UOK458819 UYF458790:UYG458819 VIB458790:VIC458819 VRX458790:VRY458819 WBT458790:WBU458819 WLP458790:WLQ458819 WVL458790:WVM458819 D524326:E524355 IZ524326:JA524355 SV524326:SW524355 ACR524326:ACS524355 AMN524326:AMO524355 AWJ524326:AWK524355 BGF524326:BGG524355 BQB524326:BQC524355 BZX524326:BZY524355 CJT524326:CJU524355 CTP524326:CTQ524355 DDL524326:DDM524355 DNH524326:DNI524355 DXD524326:DXE524355 EGZ524326:EHA524355 EQV524326:EQW524355 FAR524326:FAS524355 FKN524326:FKO524355 FUJ524326:FUK524355 GEF524326:GEG524355 GOB524326:GOC524355 GXX524326:GXY524355 HHT524326:HHU524355 HRP524326:HRQ524355 IBL524326:IBM524355 ILH524326:ILI524355 IVD524326:IVE524355 JEZ524326:JFA524355 JOV524326:JOW524355 JYR524326:JYS524355 KIN524326:KIO524355 KSJ524326:KSK524355 LCF524326:LCG524355 LMB524326:LMC524355 LVX524326:LVY524355 MFT524326:MFU524355 MPP524326:MPQ524355 MZL524326:MZM524355 NJH524326:NJI524355 NTD524326:NTE524355 OCZ524326:ODA524355 OMV524326:OMW524355 OWR524326:OWS524355 PGN524326:PGO524355 PQJ524326:PQK524355 QAF524326:QAG524355 QKB524326:QKC524355 QTX524326:QTY524355 RDT524326:RDU524355 RNP524326:RNQ524355 RXL524326:RXM524355 SHH524326:SHI524355 SRD524326:SRE524355 TAZ524326:TBA524355 TKV524326:TKW524355 TUR524326:TUS524355 UEN524326:UEO524355 UOJ524326:UOK524355 UYF524326:UYG524355 VIB524326:VIC524355 VRX524326:VRY524355 WBT524326:WBU524355 WLP524326:WLQ524355 WVL524326:WVM524355 D589862:E589891 IZ589862:JA589891 SV589862:SW589891 ACR589862:ACS589891 AMN589862:AMO589891 AWJ589862:AWK589891 BGF589862:BGG589891 BQB589862:BQC589891 BZX589862:BZY589891 CJT589862:CJU589891 CTP589862:CTQ589891 DDL589862:DDM589891 DNH589862:DNI589891 DXD589862:DXE589891 EGZ589862:EHA589891 EQV589862:EQW589891 FAR589862:FAS589891 FKN589862:FKO589891 FUJ589862:FUK589891 GEF589862:GEG589891 GOB589862:GOC589891 GXX589862:GXY589891 HHT589862:HHU589891 HRP589862:HRQ589891 IBL589862:IBM589891 ILH589862:ILI589891 IVD589862:IVE589891 JEZ589862:JFA589891 JOV589862:JOW589891 JYR589862:JYS589891 KIN589862:KIO589891 KSJ589862:KSK589891 LCF589862:LCG589891 LMB589862:LMC589891 LVX589862:LVY589891 MFT589862:MFU589891 MPP589862:MPQ589891 MZL589862:MZM589891 NJH589862:NJI589891 NTD589862:NTE589891 OCZ589862:ODA589891 OMV589862:OMW589891 OWR589862:OWS589891 PGN589862:PGO589891 PQJ589862:PQK589891 QAF589862:QAG589891 QKB589862:QKC589891 QTX589862:QTY589891 RDT589862:RDU589891 RNP589862:RNQ589891 RXL589862:RXM589891 SHH589862:SHI589891 SRD589862:SRE589891 TAZ589862:TBA589891 TKV589862:TKW589891 TUR589862:TUS589891 UEN589862:UEO589891 UOJ589862:UOK589891 UYF589862:UYG589891 VIB589862:VIC589891 VRX589862:VRY589891 WBT589862:WBU589891 WLP589862:WLQ589891 WVL589862:WVM589891 D655398:E655427 IZ655398:JA655427 SV655398:SW655427 ACR655398:ACS655427 AMN655398:AMO655427 AWJ655398:AWK655427 BGF655398:BGG655427 BQB655398:BQC655427 BZX655398:BZY655427 CJT655398:CJU655427 CTP655398:CTQ655427 DDL655398:DDM655427 DNH655398:DNI655427 DXD655398:DXE655427 EGZ655398:EHA655427 EQV655398:EQW655427 FAR655398:FAS655427 FKN655398:FKO655427 FUJ655398:FUK655427 GEF655398:GEG655427 GOB655398:GOC655427 GXX655398:GXY655427 HHT655398:HHU655427 HRP655398:HRQ655427 IBL655398:IBM655427 ILH655398:ILI655427 IVD655398:IVE655427 JEZ655398:JFA655427 JOV655398:JOW655427 JYR655398:JYS655427 KIN655398:KIO655427 KSJ655398:KSK655427 LCF655398:LCG655427 LMB655398:LMC655427 LVX655398:LVY655427 MFT655398:MFU655427 MPP655398:MPQ655427 MZL655398:MZM655427 NJH655398:NJI655427 NTD655398:NTE655427 OCZ655398:ODA655427 OMV655398:OMW655427 OWR655398:OWS655427 PGN655398:PGO655427 PQJ655398:PQK655427 QAF655398:QAG655427 QKB655398:QKC655427 QTX655398:QTY655427 RDT655398:RDU655427 RNP655398:RNQ655427 RXL655398:RXM655427 SHH655398:SHI655427 SRD655398:SRE655427 TAZ655398:TBA655427 TKV655398:TKW655427 TUR655398:TUS655427 UEN655398:UEO655427 UOJ655398:UOK655427 UYF655398:UYG655427 VIB655398:VIC655427 VRX655398:VRY655427 WBT655398:WBU655427 WLP655398:WLQ655427 WVL655398:WVM655427 D720934:E720963 IZ720934:JA720963 SV720934:SW720963 ACR720934:ACS720963 AMN720934:AMO720963 AWJ720934:AWK720963 BGF720934:BGG720963 BQB720934:BQC720963 BZX720934:BZY720963 CJT720934:CJU720963 CTP720934:CTQ720963 DDL720934:DDM720963 DNH720934:DNI720963 DXD720934:DXE720963 EGZ720934:EHA720963 EQV720934:EQW720963 FAR720934:FAS720963 FKN720934:FKO720963 FUJ720934:FUK720963 GEF720934:GEG720963 GOB720934:GOC720963 GXX720934:GXY720963 HHT720934:HHU720963 HRP720934:HRQ720963 IBL720934:IBM720963 ILH720934:ILI720963 IVD720934:IVE720963 JEZ720934:JFA720963 JOV720934:JOW720963 JYR720934:JYS720963 KIN720934:KIO720963 KSJ720934:KSK720963 LCF720934:LCG720963 LMB720934:LMC720963 LVX720934:LVY720963 MFT720934:MFU720963 MPP720934:MPQ720963 MZL720934:MZM720963 NJH720934:NJI720963 NTD720934:NTE720963 OCZ720934:ODA720963 OMV720934:OMW720963 OWR720934:OWS720963 PGN720934:PGO720963 PQJ720934:PQK720963 QAF720934:QAG720963 QKB720934:QKC720963 QTX720934:QTY720963 RDT720934:RDU720963 RNP720934:RNQ720963 RXL720934:RXM720963 SHH720934:SHI720963 SRD720934:SRE720963 TAZ720934:TBA720963 TKV720934:TKW720963 TUR720934:TUS720963 UEN720934:UEO720963 UOJ720934:UOK720963 UYF720934:UYG720963 VIB720934:VIC720963 VRX720934:VRY720963 WBT720934:WBU720963 WLP720934:WLQ720963 WVL720934:WVM720963 D786470:E786499 IZ786470:JA786499 SV786470:SW786499 ACR786470:ACS786499 AMN786470:AMO786499 AWJ786470:AWK786499 BGF786470:BGG786499 BQB786470:BQC786499 BZX786470:BZY786499 CJT786470:CJU786499 CTP786470:CTQ786499 DDL786470:DDM786499 DNH786470:DNI786499 DXD786470:DXE786499 EGZ786470:EHA786499 EQV786470:EQW786499 FAR786470:FAS786499 FKN786470:FKO786499 FUJ786470:FUK786499 GEF786470:GEG786499 GOB786470:GOC786499 GXX786470:GXY786499 HHT786470:HHU786499 HRP786470:HRQ786499 IBL786470:IBM786499 ILH786470:ILI786499 IVD786470:IVE786499 JEZ786470:JFA786499 JOV786470:JOW786499 JYR786470:JYS786499 KIN786470:KIO786499 KSJ786470:KSK786499 LCF786470:LCG786499 LMB786470:LMC786499 LVX786470:LVY786499 MFT786470:MFU786499 MPP786470:MPQ786499 MZL786470:MZM786499 NJH786470:NJI786499 NTD786470:NTE786499 OCZ786470:ODA786499 OMV786470:OMW786499 OWR786470:OWS786499 PGN786470:PGO786499 PQJ786470:PQK786499 QAF786470:QAG786499 QKB786470:QKC786499 QTX786470:QTY786499 RDT786470:RDU786499 RNP786470:RNQ786499 RXL786470:RXM786499 SHH786470:SHI786499 SRD786470:SRE786499 TAZ786470:TBA786499 TKV786470:TKW786499 TUR786470:TUS786499 UEN786470:UEO786499 UOJ786470:UOK786499 UYF786470:UYG786499 VIB786470:VIC786499 VRX786470:VRY786499 WBT786470:WBU786499 WLP786470:WLQ786499 WVL786470:WVM786499 D852006:E852035 IZ852006:JA852035 SV852006:SW852035 ACR852006:ACS852035 AMN852006:AMO852035 AWJ852006:AWK852035 BGF852006:BGG852035 BQB852006:BQC852035 BZX852006:BZY852035 CJT852006:CJU852035 CTP852006:CTQ852035 DDL852006:DDM852035 DNH852006:DNI852035 DXD852006:DXE852035 EGZ852006:EHA852035 EQV852006:EQW852035 FAR852006:FAS852035 FKN852006:FKO852035 FUJ852006:FUK852035 GEF852006:GEG852035 GOB852006:GOC852035 GXX852006:GXY852035 HHT852006:HHU852035 HRP852006:HRQ852035 IBL852006:IBM852035 ILH852006:ILI852035 IVD852006:IVE852035 JEZ852006:JFA852035 JOV852006:JOW852035 JYR852006:JYS852035 KIN852006:KIO852035 KSJ852006:KSK852035 LCF852006:LCG852035 LMB852006:LMC852035 LVX852006:LVY852035 MFT852006:MFU852035 MPP852006:MPQ852035 MZL852006:MZM852035 NJH852006:NJI852035 NTD852006:NTE852035 OCZ852006:ODA852035 OMV852006:OMW852035 OWR852006:OWS852035 PGN852006:PGO852035 PQJ852006:PQK852035 QAF852006:QAG852035 QKB852006:QKC852035 QTX852006:QTY852035 RDT852006:RDU852035 RNP852006:RNQ852035 RXL852006:RXM852035 SHH852006:SHI852035 SRD852006:SRE852035 TAZ852006:TBA852035 TKV852006:TKW852035 TUR852006:TUS852035 UEN852006:UEO852035 UOJ852006:UOK852035 UYF852006:UYG852035 VIB852006:VIC852035 VRX852006:VRY852035 WBT852006:WBU852035 WLP852006:WLQ852035 WVL852006:WVM852035 D917542:E917571 IZ917542:JA917571 SV917542:SW917571 ACR917542:ACS917571 AMN917542:AMO917571 AWJ917542:AWK917571 BGF917542:BGG917571 BQB917542:BQC917571 BZX917542:BZY917571 CJT917542:CJU917571 CTP917542:CTQ917571 DDL917542:DDM917571 DNH917542:DNI917571 DXD917542:DXE917571 EGZ917542:EHA917571 EQV917542:EQW917571 FAR917542:FAS917571 FKN917542:FKO917571 FUJ917542:FUK917571 GEF917542:GEG917571 GOB917542:GOC917571 GXX917542:GXY917571 HHT917542:HHU917571 HRP917542:HRQ917571 IBL917542:IBM917571 ILH917542:ILI917571 IVD917542:IVE917571 JEZ917542:JFA917571 JOV917542:JOW917571 JYR917542:JYS917571 KIN917542:KIO917571 KSJ917542:KSK917571 LCF917542:LCG917571 LMB917542:LMC917571 LVX917542:LVY917571 MFT917542:MFU917571 MPP917542:MPQ917571 MZL917542:MZM917571 NJH917542:NJI917571 NTD917542:NTE917571 OCZ917542:ODA917571 OMV917542:OMW917571 OWR917542:OWS917571 PGN917542:PGO917571 PQJ917542:PQK917571 QAF917542:QAG917571 QKB917542:QKC917571 QTX917542:QTY917571 RDT917542:RDU917571 RNP917542:RNQ917571 RXL917542:RXM917571 SHH917542:SHI917571 SRD917542:SRE917571 TAZ917542:TBA917571 TKV917542:TKW917571 TUR917542:TUS917571 UEN917542:UEO917571 UOJ917542:UOK917571 UYF917542:UYG917571 VIB917542:VIC917571 VRX917542:VRY917571 WBT917542:WBU917571 WLP917542:WLQ917571 WVL917542:WVM917571 D983078:E983107 IZ983078:JA983107 SV983078:SW983107 ACR983078:ACS983107 AMN983078:AMO983107 AWJ983078:AWK983107 BGF983078:BGG983107 BQB983078:BQC983107 BZX983078:BZY983107 CJT983078:CJU983107 CTP983078:CTQ983107 DDL983078:DDM983107 DNH983078:DNI983107 DXD983078:DXE983107 EGZ983078:EHA983107 EQV983078:EQW983107 FAR983078:FAS983107 FKN983078:FKO983107 FUJ983078:FUK983107 GEF983078:GEG983107 GOB983078:GOC983107 GXX983078:GXY983107 HHT983078:HHU983107 HRP983078:HRQ983107 IBL983078:IBM983107 ILH983078:ILI983107 IVD983078:IVE983107 JEZ983078:JFA983107 JOV983078:JOW983107 JYR983078:JYS983107 KIN983078:KIO983107 KSJ983078:KSK983107 LCF983078:LCG983107 LMB983078:LMC983107 LVX983078:LVY983107 MFT983078:MFU983107 MPP983078:MPQ983107 MZL983078:MZM983107 NJH983078:NJI983107 NTD983078:NTE983107 OCZ983078:ODA983107 OMV983078:OMW983107 OWR983078:OWS983107 PGN983078:PGO983107 PQJ983078:PQK983107 QAF983078:QAG983107 QKB983078:QKC983107 QTX983078:QTY983107 RDT983078:RDU983107 RNP983078:RNQ983107 RXL983078:RXM983107 SHH983078:SHI983107 SRD983078:SRE983107 TAZ983078:TBA983107 TKV983078:TKW983107 TUR983078:TUS983107 UEN983078:UEO983107 UOJ983078:UOK983107 UYF983078:UYG983107 VIB983078:VIC983107 VRX983078:VRY983107 WBT983078:WBU983107 WLP983078:WLQ983107 WVL983078:WVM983107 D9:E36 IZ9:JA36 SV9:SW36 ACR9:ACS36 AMN9:AMO36 AWJ9:AWK36 BGF9:BGG36 BQB9:BQC36 BZX9:BZY36 CJT9:CJU36 CTP9:CTQ36 DDL9:DDM36 DNH9:DNI36 DXD9:DXE36 EGZ9:EHA36 EQV9:EQW36 FAR9:FAS36 FKN9:FKO36 FUJ9:FUK36 GEF9:GEG36 GOB9:GOC36 GXX9:GXY36 HHT9:HHU36 HRP9:HRQ36 IBL9:IBM36 ILH9:ILI36 IVD9:IVE36 JEZ9:JFA36 JOV9:JOW36 JYR9:JYS36 KIN9:KIO36 KSJ9:KSK36 LCF9:LCG36 LMB9:LMC36 LVX9:LVY36 MFT9:MFU36 MPP9:MPQ36 MZL9:MZM36 NJH9:NJI36 NTD9:NTE36 OCZ9:ODA36 OMV9:OMW36 OWR9:OWS36 PGN9:PGO36 PQJ9:PQK36 QAF9:QAG36 QKB9:QKC36 QTX9:QTY36 RDT9:RDU36 RNP9:RNQ36 RXL9:RXM36 SHH9:SHI36 SRD9:SRE36 TAZ9:TBA36 TKV9:TKW36 TUR9:TUS36 UEN9:UEO36 UOJ9:UOK36 UYF9:UYG36 VIB9:VIC36 VRX9:VRY36 WBT9:WBU36 WLP9:WLQ36 WVL9:WVM36 D65545:E65572 IZ65545:JA65572 SV65545:SW65572 ACR65545:ACS65572 AMN65545:AMO65572 AWJ65545:AWK65572 BGF65545:BGG65572 BQB65545:BQC65572 BZX65545:BZY65572 CJT65545:CJU65572 CTP65545:CTQ65572 DDL65545:DDM65572 DNH65545:DNI65572 DXD65545:DXE65572 EGZ65545:EHA65572 EQV65545:EQW65572 FAR65545:FAS65572 FKN65545:FKO65572 FUJ65545:FUK65572 GEF65545:GEG65572 GOB65545:GOC65572 GXX65545:GXY65572 HHT65545:HHU65572 HRP65545:HRQ65572 IBL65545:IBM65572 ILH65545:ILI65572 IVD65545:IVE65572 JEZ65545:JFA65572 JOV65545:JOW65572 JYR65545:JYS65572 KIN65545:KIO65572 KSJ65545:KSK65572 LCF65545:LCG65572 LMB65545:LMC65572 LVX65545:LVY65572 MFT65545:MFU65572 MPP65545:MPQ65572 MZL65545:MZM65572 NJH65545:NJI65572 NTD65545:NTE65572 OCZ65545:ODA65572 OMV65545:OMW65572 OWR65545:OWS65572 PGN65545:PGO65572 PQJ65545:PQK65572 QAF65545:QAG65572 QKB65545:QKC65572 QTX65545:QTY65572 RDT65545:RDU65572 RNP65545:RNQ65572 RXL65545:RXM65572 SHH65545:SHI65572 SRD65545:SRE65572 TAZ65545:TBA65572 TKV65545:TKW65572 TUR65545:TUS65572 UEN65545:UEO65572 UOJ65545:UOK65572 UYF65545:UYG65572 VIB65545:VIC65572 VRX65545:VRY65572 WBT65545:WBU65572 WLP65545:WLQ65572 WVL65545:WVM65572 D131081:E131108 IZ131081:JA131108 SV131081:SW131108 ACR131081:ACS131108 AMN131081:AMO131108 AWJ131081:AWK131108 BGF131081:BGG131108 BQB131081:BQC131108 BZX131081:BZY131108 CJT131081:CJU131108 CTP131081:CTQ131108 DDL131081:DDM131108 DNH131081:DNI131108 DXD131081:DXE131108 EGZ131081:EHA131108 EQV131081:EQW131108 FAR131081:FAS131108 FKN131081:FKO131108 FUJ131081:FUK131108 GEF131081:GEG131108 GOB131081:GOC131108 GXX131081:GXY131108 HHT131081:HHU131108 HRP131081:HRQ131108 IBL131081:IBM131108 ILH131081:ILI131108 IVD131081:IVE131108 JEZ131081:JFA131108 JOV131081:JOW131108 JYR131081:JYS131108 KIN131081:KIO131108 KSJ131081:KSK131108 LCF131081:LCG131108 LMB131081:LMC131108 LVX131081:LVY131108 MFT131081:MFU131108 MPP131081:MPQ131108 MZL131081:MZM131108 NJH131081:NJI131108 NTD131081:NTE131108 OCZ131081:ODA131108 OMV131081:OMW131108 OWR131081:OWS131108 PGN131081:PGO131108 PQJ131081:PQK131108 QAF131081:QAG131108 QKB131081:QKC131108 QTX131081:QTY131108 RDT131081:RDU131108 RNP131081:RNQ131108 RXL131081:RXM131108 SHH131081:SHI131108 SRD131081:SRE131108 TAZ131081:TBA131108 TKV131081:TKW131108 TUR131081:TUS131108 UEN131081:UEO131108 UOJ131081:UOK131108 UYF131081:UYG131108 VIB131081:VIC131108 VRX131081:VRY131108 WBT131081:WBU131108 WLP131081:WLQ131108 WVL131081:WVM131108 D196617:E196644 IZ196617:JA196644 SV196617:SW196644 ACR196617:ACS196644 AMN196617:AMO196644 AWJ196617:AWK196644 BGF196617:BGG196644 BQB196617:BQC196644 BZX196617:BZY196644 CJT196617:CJU196644 CTP196617:CTQ196644 DDL196617:DDM196644 DNH196617:DNI196644 DXD196617:DXE196644 EGZ196617:EHA196644 EQV196617:EQW196644 FAR196617:FAS196644 FKN196617:FKO196644 FUJ196617:FUK196644 GEF196617:GEG196644 GOB196617:GOC196644 GXX196617:GXY196644 HHT196617:HHU196644 HRP196617:HRQ196644 IBL196617:IBM196644 ILH196617:ILI196644 IVD196617:IVE196644 JEZ196617:JFA196644 JOV196617:JOW196644 JYR196617:JYS196644 KIN196617:KIO196644 KSJ196617:KSK196644 LCF196617:LCG196644 LMB196617:LMC196644 LVX196617:LVY196644 MFT196617:MFU196644 MPP196617:MPQ196644 MZL196617:MZM196644 NJH196617:NJI196644 NTD196617:NTE196644 OCZ196617:ODA196644 OMV196617:OMW196644 OWR196617:OWS196644 PGN196617:PGO196644 PQJ196617:PQK196644 QAF196617:QAG196644 QKB196617:QKC196644 QTX196617:QTY196644 RDT196617:RDU196644 RNP196617:RNQ196644 RXL196617:RXM196644 SHH196617:SHI196644 SRD196617:SRE196644 TAZ196617:TBA196644 TKV196617:TKW196644 TUR196617:TUS196644 UEN196617:UEO196644 UOJ196617:UOK196644 UYF196617:UYG196644 VIB196617:VIC196644 VRX196617:VRY196644 WBT196617:WBU196644 WLP196617:WLQ196644 WVL196617:WVM196644 D262153:E262180 IZ262153:JA262180 SV262153:SW262180 ACR262153:ACS262180 AMN262153:AMO262180 AWJ262153:AWK262180 BGF262153:BGG262180 BQB262153:BQC262180 BZX262153:BZY262180 CJT262153:CJU262180 CTP262153:CTQ262180 DDL262153:DDM262180 DNH262153:DNI262180 DXD262153:DXE262180 EGZ262153:EHA262180 EQV262153:EQW262180 FAR262153:FAS262180 FKN262153:FKO262180 FUJ262153:FUK262180 GEF262153:GEG262180 GOB262153:GOC262180 GXX262153:GXY262180 HHT262153:HHU262180 HRP262153:HRQ262180 IBL262153:IBM262180 ILH262153:ILI262180 IVD262153:IVE262180 JEZ262153:JFA262180 JOV262153:JOW262180 JYR262153:JYS262180 KIN262153:KIO262180 KSJ262153:KSK262180 LCF262153:LCG262180 LMB262153:LMC262180 LVX262153:LVY262180 MFT262153:MFU262180 MPP262153:MPQ262180 MZL262153:MZM262180 NJH262153:NJI262180 NTD262153:NTE262180 OCZ262153:ODA262180 OMV262153:OMW262180 OWR262153:OWS262180 PGN262153:PGO262180 PQJ262153:PQK262180 QAF262153:QAG262180 QKB262153:QKC262180 QTX262153:QTY262180 RDT262153:RDU262180 RNP262153:RNQ262180 RXL262153:RXM262180 SHH262153:SHI262180 SRD262153:SRE262180 TAZ262153:TBA262180 TKV262153:TKW262180 TUR262153:TUS262180 UEN262153:UEO262180 UOJ262153:UOK262180 UYF262153:UYG262180 VIB262153:VIC262180 VRX262153:VRY262180 WBT262153:WBU262180 WLP262153:WLQ262180 WVL262153:WVM262180 D327689:E327716 IZ327689:JA327716 SV327689:SW327716 ACR327689:ACS327716 AMN327689:AMO327716 AWJ327689:AWK327716 BGF327689:BGG327716 BQB327689:BQC327716 BZX327689:BZY327716 CJT327689:CJU327716 CTP327689:CTQ327716 DDL327689:DDM327716 DNH327689:DNI327716 DXD327689:DXE327716 EGZ327689:EHA327716 EQV327689:EQW327716 FAR327689:FAS327716 FKN327689:FKO327716 FUJ327689:FUK327716 GEF327689:GEG327716 GOB327689:GOC327716 GXX327689:GXY327716 HHT327689:HHU327716 HRP327689:HRQ327716 IBL327689:IBM327716 ILH327689:ILI327716 IVD327689:IVE327716 JEZ327689:JFA327716 JOV327689:JOW327716 JYR327689:JYS327716 KIN327689:KIO327716 KSJ327689:KSK327716 LCF327689:LCG327716 LMB327689:LMC327716 LVX327689:LVY327716 MFT327689:MFU327716 MPP327689:MPQ327716 MZL327689:MZM327716 NJH327689:NJI327716 NTD327689:NTE327716 OCZ327689:ODA327716 OMV327689:OMW327716 OWR327689:OWS327716 PGN327689:PGO327716 PQJ327689:PQK327716 QAF327689:QAG327716 QKB327689:QKC327716 QTX327689:QTY327716 RDT327689:RDU327716 RNP327689:RNQ327716 RXL327689:RXM327716 SHH327689:SHI327716 SRD327689:SRE327716 TAZ327689:TBA327716 TKV327689:TKW327716 TUR327689:TUS327716 UEN327689:UEO327716 UOJ327689:UOK327716 UYF327689:UYG327716 VIB327689:VIC327716 VRX327689:VRY327716 WBT327689:WBU327716 WLP327689:WLQ327716 WVL327689:WVM327716 D393225:E393252 IZ393225:JA393252 SV393225:SW393252 ACR393225:ACS393252 AMN393225:AMO393252 AWJ393225:AWK393252 BGF393225:BGG393252 BQB393225:BQC393252 BZX393225:BZY393252 CJT393225:CJU393252 CTP393225:CTQ393252 DDL393225:DDM393252 DNH393225:DNI393252 DXD393225:DXE393252 EGZ393225:EHA393252 EQV393225:EQW393252 FAR393225:FAS393252 FKN393225:FKO393252 FUJ393225:FUK393252 GEF393225:GEG393252 GOB393225:GOC393252 GXX393225:GXY393252 HHT393225:HHU393252 HRP393225:HRQ393252 IBL393225:IBM393252 ILH393225:ILI393252 IVD393225:IVE393252 JEZ393225:JFA393252 JOV393225:JOW393252 JYR393225:JYS393252 KIN393225:KIO393252 KSJ393225:KSK393252 LCF393225:LCG393252 LMB393225:LMC393252 LVX393225:LVY393252 MFT393225:MFU393252 MPP393225:MPQ393252 MZL393225:MZM393252 NJH393225:NJI393252 NTD393225:NTE393252 OCZ393225:ODA393252 OMV393225:OMW393252 OWR393225:OWS393252 PGN393225:PGO393252 PQJ393225:PQK393252 QAF393225:QAG393252 QKB393225:QKC393252 QTX393225:QTY393252 RDT393225:RDU393252 RNP393225:RNQ393252 RXL393225:RXM393252 SHH393225:SHI393252 SRD393225:SRE393252 TAZ393225:TBA393252 TKV393225:TKW393252 TUR393225:TUS393252 UEN393225:UEO393252 UOJ393225:UOK393252 UYF393225:UYG393252 VIB393225:VIC393252 VRX393225:VRY393252 WBT393225:WBU393252 WLP393225:WLQ393252 WVL393225:WVM393252 D458761:E458788 IZ458761:JA458788 SV458761:SW458788 ACR458761:ACS458788 AMN458761:AMO458788 AWJ458761:AWK458788 BGF458761:BGG458788 BQB458761:BQC458788 BZX458761:BZY458788 CJT458761:CJU458788 CTP458761:CTQ458788 DDL458761:DDM458788 DNH458761:DNI458788 DXD458761:DXE458788 EGZ458761:EHA458788 EQV458761:EQW458788 FAR458761:FAS458788 FKN458761:FKO458788 FUJ458761:FUK458788 GEF458761:GEG458788 GOB458761:GOC458788 GXX458761:GXY458788 HHT458761:HHU458788 HRP458761:HRQ458788 IBL458761:IBM458788 ILH458761:ILI458788 IVD458761:IVE458788 JEZ458761:JFA458788 JOV458761:JOW458788 JYR458761:JYS458788 KIN458761:KIO458788 KSJ458761:KSK458788 LCF458761:LCG458788 LMB458761:LMC458788 LVX458761:LVY458788 MFT458761:MFU458788 MPP458761:MPQ458788 MZL458761:MZM458788 NJH458761:NJI458788 NTD458761:NTE458788 OCZ458761:ODA458788 OMV458761:OMW458788 OWR458761:OWS458788 PGN458761:PGO458788 PQJ458761:PQK458788 QAF458761:QAG458788 QKB458761:QKC458788 QTX458761:QTY458788 RDT458761:RDU458788 RNP458761:RNQ458788 RXL458761:RXM458788 SHH458761:SHI458788 SRD458761:SRE458788 TAZ458761:TBA458788 TKV458761:TKW458788 TUR458761:TUS458788 UEN458761:UEO458788 UOJ458761:UOK458788 UYF458761:UYG458788 VIB458761:VIC458788 VRX458761:VRY458788 WBT458761:WBU458788 WLP458761:WLQ458788 WVL458761:WVM458788 D524297:E524324 IZ524297:JA524324 SV524297:SW524324 ACR524297:ACS524324 AMN524297:AMO524324 AWJ524297:AWK524324 BGF524297:BGG524324 BQB524297:BQC524324 BZX524297:BZY524324 CJT524297:CJU524324 CTP524297:CTQ524324 DDL524297:DDM524324 DNH524297:DNI524324 DXD524297:DXE524324 EGZ524297:EHA524324 EQV524297:EQW524324 FAR524297:FAS524324 FKN524297:FKO524324 FUJ524297:FUK524324 GEF524297:GEG524324 GOB524297:GOC524324 GXX524297:GXY524324 HHT524297:HHU524324 HRP524297:HRQ524324 IBL524297:IBM524324 ILH524297:ILI524324 IVD524297:IVE524324 JEZ524297:JFA524324 JOV524297:JOW524324 JYR524297:JYS524324 KIN524297:KIO524324 KSJ524297:KSK524324 LCF524297:LCG524324 LMB524297:LMC524324 LVX524297:LVY524324 MFT524297:MFU524324 MPP524297:MPQ524324 MZL524297:MZM524324 NJH524297:NJI524324 NTD524297:NTE524324 OCZ524297:ODA524324 OMV524297:OMW524324 OWR524297:OWS524324 PGN524297:PGO524324 PQJ524297:PQK524324 QAF524297:QAG524324 QKB524297:QKC524324 QTX524297:QTY524324 RDT524297:RDU524324 RNP524297:RNQ524324 RXL524297:RXM524324 SHH524297:SHI524324 SRD524297:SRE524324 TAZ524297:TBA524324 TKV524297:TKW524324 TUR524297:TUS524324 UEN524297:UEO524324 UOJ524297:UOK524324 UYF524297:UYG524324 VIB524297:VIC524324 VRX524297:VRY524324 WBT524297:WBU524324 WLP524297:WLQ524324 WVL524297:WVM524324 D589833:E589860 IZ589833:JA589860 SV589833:SW589860 ACR589833:ACS589860 AMN589833:AMO589860 AWJ589833:AWK589860 BGF589833:BGG589860 BQB589833:BQC589860 BZX589833:BZY589860 CJT589833:CJU589860 CTP589833:CTQ589860 DDL589833:DDM589860 DNH589833:DNI589860 DXD589833:DXE589860 EGZ589833:EHA589860 EQV589833:EQW589860 FAR589833:FAS589860 FKN589833:FKO589860 FUJ589833:FUK589860 GEF589833:GEG589860 GOB589833:GOC589860 GXX589833:GXY589860 HHT589833:HHU589860 HRP589833:HRQ589860 IBL589833:IBM589860 ILH589833:ILI589860 IVD589833:IVE589860 JEZ589833:JFA589860 JOV589833:JOW589860 JYR589833:JYS589860 KIN589833:KIO589860 KSJ589833:KSK589860 LCF589833:LCG589860 LMB589833:LMC589860 LVX589833:LVY589860 MFT589833:MFU589860 MPP589833:MPQ589860 MZL589833:MZM589860 NJH589833:NJI589860 NTD589833:NTE589860 OCZ589833:ODA589860 OMV589833:OMW589860 OWR589833:OWS589860 PGN589833:PGO589860 PQJ589833:PQK589860 QAF589833:QAG589860 QKB589833:QKC589860 QTX589833:QTY589860 RDT589833:RDU589860 RNP589833:RNQ589860 RXL589833:RXM589860 SHH589833:SHI589860 SRD589833:SRE589860 TAZ589833:TBA589860 TKV589833:TKW589860 TUR589833:TUS589860 UEN589833:UEO589860 UOJ589833:UOK589860 UYF589833:UYG589860 VIB589833:VIC589860 VRX589833:VRY589860 WBT589833:WBU589860 WLP589833:WLQ589860 WVL589833:WVM589860 D655369:E655396 IZ655369:JA655396 SV655369:SW655396 ACR655369:ACS655396 AMN655369:AMO655396 AWJ655369:AWK655396 BGF655369:BGG655396 BQB655369:BQC655396 BZX655369:BZY655396 CJT655369:CJU655396 CTP655369:CTQ655396 DDL655369:DDM655396 DNH655369:DNI655396 DXD655369:DXE655396 EGZ655369:EHA655396 EQV655369:EQW655396 FAR655369:FAS655396 FKN655369:FKO655396 FUJ655369:FUK655396 GEF655369:GEG655396 GOB655369:GOC655396 GXX655369:GXY655396 HHT655369:HHU655396 HRP655369:HRQ655396 IBL655369:IBM655396 ILH655369:ILI655396 IVD655369:IVE655396 JEZ655369:JFA655396 JOV655369:JOW655396 JYR655369:JYS655396 KIN655369:KIO655396 KSJ655369:KSK655396 LCF655369:LCG655396 LMB655369:LMC655396 LVX655369:LVY655396 MFT655369:MFU655396 MPP655369:MPQ655396 MZL655369:MZM655396 NJH655369:NJI655396 NTD655369:NTE655396 OCZ655369:ODA655396 OMV655369:OMW655396 OWR655369:OWS655396 PGN655369:PGO655396 PQJ655369:PQK655396 QAF655369:QAG655396 QKB655369:QKC655396 QTX655369:QTY655396 RDT655369:RDU655396 RNP655369:RNQ655396 RXL655369:RXM655396 SHH655369:SHI655396 SRD655369:SRE655396 TAZ655369:TBA655396 TKV655369:TKW655396 TUR655369:TUS655396 UEN655369:UEO655396 UOJ655369:UOK655396 UYF655369:UYG655396 VIB655369:VIC655396 VRX655369:VRY655396 WBT655369:WBU655396 WLP655369:WLQ655396 WVL655369:WVM655396 D720905:E720932 IZ720905:JA720932 SV720905:SW720932 ACR720905:ACS720932 AMN720905:AMO720932 AWJ720905:AWK720932 BGF720905:BGG720932 BQB720905:BQC720932 BZX720905:BZY720932 CJT720905:CJU720932 CTP720905:CTQ720932 DDL720905:DDM720932 DNH720905:DNI720932 DXD720905:DXE720932 EGZ720905:EHA720932 EQV720905:EQW720932 FAR720905:FAS720932 FKN720905:FKO720932 FUJ720905:FUK720932 GEF720905:GEG720932 GOB720905:GOC720932 GXX720905:GXY720932 HHT720905:HHU720932 HRP720905:HRQ720932 IBL720905:IBM720932 ILH720905:ILI720932 IVD720905:IVE720932 JEZ720905:JFA720932 JOV720905:JOW720932 JYR720905:JYS720932 KIN720905:KIO720932 KSJ720905:KSK720932 LCF720905:LCG720932 LMB720905:LMC720932 LVX720905:LVY720932 MFT720905:MFU720932 MPP720905:MPQ720932 MZL720905:MZM720932 NJH720905:NJI720932 NTD720905:NTE720932 OCZ720905:ODA720932 OMV720905:OMW720932 OWR720905:OWS720932 PGN720905:PGO720932 PQJ720905:PQK720932 QAF720905:QAG720932 QKB720905:QKC720932 QTX720905:QTY720932 RDT720905:RDU720932 RNP720905:RNQ720932 RXL720905:RXM720932 SHH720905:SHI720932 SRD720905:SRE720932 TAZ720905:TBA720932 TKV720905:TKW720932 TUR720905:TUS720932 UEN720905:UEO720932 UOJ720905:UOK720932 UYF720905:UYG720932 VIB720905:VIC720932 VRX720905:VRY720932 WBT720905:WBU720932 WLP720905:WLQ720932 WVL720905:WVM720932 D786441:E786468 IZ786441:JA786468 SV786441:SW786468 ACR786441:ACS786468 AMN786441:AMO786468 AWJ786441:AWK786468 BGF786441:BGG786468 BQB786441:BQC786468 BZX786441:BZY786468 CJT786441:CJU786468 CTP786441:CTQ786468 DDL786441:DDM786468 DNH786441:DNI786468 DXD786441:DXE786468 EGZ786441:EHA786468 EQV786441:EQW786468 FAR786441:FAS786468 FKN786441:FKO786468 FUJ786441:FUK786468 GEF786441:GEG786468 GOB786441:GOC786468 GXX786441:GXY786468 HHT786441:HHU786468 HRP786441:HRQ786468 IBL786441:IBM786468 ILH786441:ILI786468 IVD786441:IVE786468 JEZ786441:JFA786468 JOV786441:JOW786468 JYR786441:JYS786468 KIN786441:KIO786468 KSJ786441:KSK786468 LCF786441:LCG786468 LMB786441:LMC786468 LVX786441:LVY786468 MFT786441:MFU786468 MPP786441:MPQ786468 MZL786441:MZM786468 NJH786441:NJI786468 NTD786441:NTE786468 OCZ786441:ODA786468 OMV786441:OMW786468 OWR786441:OWS786468 PGN786441:PGO786468 PQJ786441:PQK786468 QAF786441:QAG786468 QKB786441:QKC786468 QTX786441:QTY786468 RDT786441:RDU786468 RNP786441:RNQ786468 RXL786441:RXM786468 SHH786441:SHI786468 SRD786441:SRE786468 TAZ786441:TBA786468 TKV786441:TKW786468 TUR786441:TUS786468 UEN786441:UEO786468 UOJ786441:UOK786468 UYF786441:UYG786468 VIB786441:VIC786468 VRX786441:VRY786468 WBT786441:WBU786468 WLP786441:WLQ786468 WVL786441:WVM786468 D851977:E852004 IZ851977:JA852004 SV851977:SW852004 ACR851977:ACS852004 AMN851977:AMO852004 AWJ851977:AWK852004 BGF851977:BGG852004 BQB851977:BQC852004 BZX851977:BZY852004 CJT851977:CJU852004 CTP851977:CTQ852004 DDL851977:DDM852004 DNH851977:DNI852004 DXD851977:DXE852004 EGZ851977:EHA852004 EQV851977:EQW852004 FAR851977:FAS852004 FKN851977:FKO852004 FUJ851977:FUK852004 GEF851977:GEG852004 GOB851977:GOC852004 GXX851977:GXY852004 HHT851977:HHU852004 HRP851977:HRQ852004 IBL851977:IBM852004 ILH851977:ILI852004 IVD851977:IVE852004 JEZ851977:JFA852004 JOV851977:JOW852004 JYR851977:JYS852004 KIN851977:KIO852004 KSJ851977:KSK852004 LCF851977:LCG852004 LMB851977:LMC852004 LVX851977:LVY852004 MFT851977:MFU852004 MPP851977:MPQ852004 MZL851977:MZM852004 NJH851977:NJI852004 NTD851977:NTE852004 OCZ851977:ODA852004 OMV851977:OMW852004 OWR851977:OWS852004 PGN851977:PGO852004 PQJ851977:PQK852004 QAF851977:QAG852004 QKB851977:QKC852004 QTX851977:QTY852004 RDT851977:RDU852004 RNP851977:RNQ852004 RXL851977:RXM852004 SHH851977:SHI852004 SRD851977:SRE852004 TAZ851977:TBA852004 TKV851977:TKW852004 TUR851977:TUS852004 UEN851977:UEO852004 UOJ851977:UOK852004 UYF851977:UYG852004 VIB851977:VIC852004 VRX851977:VRY852004 WBT851977:WBU852004 WLP851977:WLQ852004 WVL851977:WVM852004 D917513:E917540 IZ917513:JA917540 SV917513:SW917540 ACR917513:ACS917540 AMN917513:AMO917540 AWJ917513:AWK917540 BGF917513:BGG917540 BQB917513:BQC917540 BZX917513:BZY917540 CJT917513:CJU917540 CTP917513:CTQ917540 DDL917513:DDM917540 DNH917513:DNI917540 DXD917513:DXE917540 EGZ917513:EHA917540 EQV917513:EQW917540 FAR917513:FAS917540 FKN917513:FKO917540 FUJ917513:FUK917540 GEF917513:GEG917540 GOB917513:GOC917540 GXX917513:GXY917540 HHT917513:HHU917540 HRP917513:HRQ917540 IBL917513:IBM917540 ILH917513:ILI917540 IVD917513:IVE917540 JEZ917513:JFA917540 JOV917513:JOW917540 JYR917513:JYS917540 KIN917513:KIO917540 KSJ917513:KSK917540 LCF917513:LCG917540 LMB917513:LMC917540 LVX917513:LVY917540 MFT917513:MFU917540 MPP917513:MPQ917540 MZL917513:MZM917540 NJH917513:NJI917540 NTD917513:NTE917540 OCZ917513:ODA917540 OMV917513:OMW917540 OWR917513:OWS917540 PGN917513:PGO917540 PQJ917513:PQK917540 QAF917513:QAG917540 QKB917513:QKC917540 QTX917513:QTY917540 RDT917513:RDU917540 RNP917513:RNQ917540 RXL917513:RXM917540 SHH917513:SHI917540 SRD917513:SRE917540 TAZ917513:TBA917540 TKV917513:TKW917540 TUR917513:TUS917540 UEN917513:UEO917540 UOJ917513:UOK917540 UYF917513:UYG917540 VIB917513:VIC917540 VRX917513:VRY917540 WBT917513:WBU917540 WLP917513:WLQ917540 WVL917513:WVM917540 D983049:E983076 IZ983049:JA983076 SV983049:SW983076 ACR983049:ACS983076 AMN983049:AMO983076 AWJ983049:AWK983076 BGF983049:BGG983076 BQB983049:BQC983076 BZX983049:BZY983076 CJT983049:CJU983076 CTP983049:CTQ983076 DDL983049:DDM983076 DNH983049:DNI983076 DXD983049:DXE983076 EGZ983049:EHA983076 EQV983049:EQW983076 FAR983049:FAS983076 FKN983049:FKO983076 FUJ983049:FUK983076 GEF983049:GEG983076 GOB983049:GOC983076 GXX983049:GXY983076 HHT983049:HHU983076 HRP983049:HRQ983076 IBL983049:IBM983076 ILH983049:ILI983076 IVD983049:IVE983076 JEZ983049:JFA983076 JOV983049:JOW983076 JYR983049:JYS983076 KIN983049:KIO983076 KSJ983049:KSK983076 LCF983049:LCG983076 LMB983049:LMC983076 LVX983049:LVY983076 MFT983049:MFU983076 MPP983049:MPQ983076 MZL983049:MZM983076 NJH983049:NJI983076 NTD983049:NTE983076 OCZ983049:ODA983076 OMV983049:OMW983076 OWR983049:OWS983076 PGN983049:PGO983076 PQJ983049:PQK983076 QAF983049:QAG983076 QKB983049:QKC983076 QTX983049:QTY983076 RDT983049:RDU983076 RNP983049:RNQ983076 RXL983049:RXM983076 SHH983049:SHI983076 SRD983049:SRE983076 TAZ983049:TBA983076 TKV983049:TKW983076 TUR983049:TUS983076 UEN983049:UEO983076 UOJ983049:UOK983076 UYF983049:UYG983076 VIB983049:VIC983076 VRX983049:VRY983076 WBT983049:WBU983076 WLP983049:WLQ983076 WVL983049:WVM983076">
      <formula1>DATE(50,1,1)</formula1>
    </dataValidation>
  </dataValidations>
  <pageMargins left="0.75" right="0.75" top="0.54" bottom="0.55000000000000004" header="0.5" footer="0.5"/>
  <pageSetup paperSize="9" scale="85" orientation="landscape" r:id="rId1"/>
  <headerFooter alignWithMargins="0"/>
</worksheet>
</file>

<file path=xl/worksheets/sheet13.xml><?xml version="1.0" encoding="utf-8"?>
<worksheet xmlns="http://schemas.openxmlformats.org/spreadsheetml/2006/main" xmlns:r="http://schemas.openxmlformats.org/officeDocument/2006/relationships">
  <sheetPr codeName="Лист12"/>
  <dimension ref="A1:R75"/>
  <sheetViews>
    <sheetView topLeftCell="A7" workbookViewId="0">
      <selection activeCell="O26" sqref="O26"/>
    </sheetView>
  </sheetViews>
  <sheetFormatPr defaultRowHeight="12.75"/>
  <cols>
    <col min="1" max="1" width="3.42578125" style="358" customWidth="1"/>
    <col min="2" max="2" width="32.28515625" style="358" customWidth="1"/>
    <col min="3" max="3" width="10.42578125" style="358" customWidth="1"/>
    <col min="4" max="5" width="13.7109375" style="358" customWidth="1"/>
    <col min="6" max="6" width="11.85546875" style="358" customWidth="1"/>
    <col min="7" max="7" width="13" style="358" customWidth="1"/>
    <col min="8" max="8" width="11.140625" style="358" customWidth="1"/>
    <col min="9" max="9" width="10.140625" style="358" customWidth="1"/>
    <col min="10" max="10" width="11" style="358" customWidth="1"/>
    <col min="11" max="11" width="10.85546875" style="358" customWidth="1"/>
    <col min="12" max="12" width="0.140625" style="358" hidden="1" customWidth="1"/>
    <col min="13" max="13" width="11.42578125" style="358" hidden="1" customWidth="1"/>
    <col min="14" max="14" width="9.140625" style="358"/>
    <col min="15" max="15" width="12.140625" style="358" customWidth="1"/>
    <col min="16" max="18" width="9.140625" style="358"/>
    <col min="19" max="19" width="25" style="358" customWidth="1"/>
    <col min="20" max="16384" width="9.140625" style="358"/>
  </cols>
  <sheetData>
    <row r="1" spans="1:15" ht="82.5" customHeight="1">
      <c r="I1" s="984" t="s">
        <v>2277</v>
      </c>
      <c r="J1" s="984"/>
      <c r="K1" s="984"/>
      <c r="L1" s="984"/>
    </row>
    <row r="2" spans="1:15" ht="15.75">
      <c r="A2" s="377" t="s">
        <v>1343</v>
      </c>
      <c r="B2" s="378"/>
      <c r="C2" s="378"/>
      <c r="D2" s="378"/>
      <c r="E2" s="378"/>
      <c r="F2" s="378"/>
      <c r="G2" s="378"/>
      <c r="H2" s="378"/>
      <c r="I2" s="378"/>
      <c r="J2" s="709" t="s">
        <v>2673</v>
      </c>
      <c r="K2" s="378"/>
    </row>
    <row r="3" spans="1:15" ht="15.75">
      <c r="A3" s="371" t="s">
        <v>379</v>
      </c>
      <c r="B3" s="378"/>
      <c r="C3" s="378"/>
      <c r="D3" s="378"/>
      <c r="E3" s="378"/>
      <c r="F3" s="378"/>
      <c r="G3" s="378"/>
      <c r="H3" s="378"/>
      <c r="I3" s="378"/>
      <c r="J3" s="378"/>
      <c r="K3" s="378"/>
    </row>
    <row r="4" spans="1:15" ht="13.5" thickBot="1">
      <c r="A4" s="379"/>
      <c r="B4" s="379"/>
      <c r="C4" s="379"/>
      <c r="D4" s="379"/>
      <c r="E4" s="379"/>
      <c r="F4" s="379"/>
      <c r="G4" s="379"/>
      <c r="H4" s="379"/>
      <c r="I4" s="379"/>
      <c r="J4" s="379"/>
      <c r="K4" s="379"/>
    </row>
    <row r="5" spans="1:15" ht="96" customHeight="1" thickBot="1">
      <c r="A5" s="380" t="s">
        <v>2043</v>
      </c>
      <c r="B5" s="380" t="s">
        <v>474</v>
      </c>
      <c r="C5" s="381" t="s">
        <v>1348</v>
      </c>
      <c r="D5" s="382" t="s">
        <v>1349</v>
      </c>
      <c r="E5" s="382" t="s">
        <v>1350</v>
      </c>
      <c r="F5" s="383" t="s">
        <v>1577</v>
      </c>
      <c r="G5" s="383" t="s">
        <v>51</v>
      </c>
      <c r="H5" s="383" t="s">
        <v>991</v>
      </c>
      <c r="I5" s="382" t="s">
        <v>389</v>
      </c>
      <c r="J5" s="382" t="s">
        <v>390</v>
      </c>
      <c r="K5" s="382" t="s">
        <v>391</v>
      </c>
      <c r="N5" s="382" t="s">
        <v>1197</v>
      </c>
    </row>
    <row r="6" spans="1:15" ht="13.5" thickBot="1">
      <c r="A6" s="384"/>
      <c r="B6" s="385" t="s">
        <v>1481</v>
      </c>
      <c r="C6" s="386" t="s">
        <v>700</v>
      </c>
      <c r="D6" s="386" t="s">
        <v>675</v>
      </c>
      <c r="E6" s="386" t="s">
        <v>676</v>
      </c>
      <c r="F6" s="386" t="s">
        <v>731</v>
      </c>
      <c r="G6" s="386" t="s">
        <v>1941</v>
      </c>
      <c r="H6" s="386" t="s">
        <v>1482</v>
      </c>
      <c r="I6" s="386" t="s">
        <v>1483</v>
      </c>
      <c r="J6" s="386" t="s">
        <v>1484</v>
      </c>
      <c r="K6" s="386" t="s">
        <v>1485</v>
      </c>
      <c r="N6" s="386" t="s">
        <v>1486</v>
      </c>
    </row>
    <row r="7" spans="1:15">
      <c r="A7" s="387">
        <v>1</v>
      </c>
      <c r="B7" s="358" t="s">
        <v>2727</v>
      </c>
      <c r="D7" s="358" t="s">
        <v>2728</v>
      </c>
      <c r="E7" s="358" t="s">
        <v>2729</v>
      </c>
      <c r="F7" s="393" t="s">
        <v>2730</v>
      </c>
      <c r="G7" s="393" t="s">
        <v>2731</v>
      </c>
      <c r="I7" s="358" t="s">
        <v>2732</v>
      </c>
      <c r="J7" s="358" t="s">
        <v>2733</v>
      </c>
      <c r="K7" s="358" t="s">
        <v>2734</v>
      </c>
      <c r="L7" s="394"/>
      <c r="M7" s="388"/>
      <c r="N7" s="358" t="s">
        <v>2735</v>
      </c>
    </row>
    <row r="8" spans="1:15">
      <c r="A8" s="389">
        <f>A7+1</f>
        <v>2</v>
      </c>
      <c r="B8" s="358" t="s">
        <v>2736</v>
      </c>
      <c r="D8" s="358" t="s">
        <v>2737</v>
      </c>
      <c r="E8" s="358" t="s">
        <v>2738</v>
      </c>
      <c r="F8" s="393" t="s">
        <v>2739</v>
      </c>
      <c r="G8" s="393" t="s">
        <v>2740</v>
      </c>
      <c r="I8" s="358" t="s">
        <v>2741</v>
      </c>
      <c r="J8" s="358" t="s">
        <v>2742</v>
      </c>
      <c r="K8" s="358" t="s">
        <v>2743</v>
      </c>
      <c r="L8" s="394"/>
      <c r="M8" s="388"/>
      <c r="N8" s="358" t="s">
        <v>2744</v>
      </c>
    </row>
    <row r="9" spans="1:15">
      <c r="A9" s="389">
        <f t="shared" ref="A9:A26" si="0">A8+1</f>
        <v>3</v>
      </c>
      <c r="B9" s="358" t="s">
        <v>2745</v>
      </c>
      <c r="D9" s="358" t="s">
        <v>2746</v>
      </c>
      <c r="E9" s="358" t="s">
        <v>2747</v>
      </c>
      <c r="F9" s="393" t="s">
        <v>2748</v>
      </c>
      <c r="G9" s="393" t="s">
        <v>2749</v>
      </c>
      <c r="I9" s="358" t="s">
        <v>2750</v>
      </c>
      <c r="J9" s="358" t="s">
        <v>2751</v>
      </c>
      <c r="K9" s="358" t="s">
        <v>2752</v>
      </c>
      <c r="L9" s="394"/>
      <c r="M9" s="388"/>
      <c r="N9" s="358" t="s">
        <v>2753</v>
      </c>
    </row>
    <row r="10" spans="1:15">
      <c r="A10" s="389">
        <f t="shared" si="0"/>
        <v>4</v>
      </c>
      <c r="B10" s="358" t="s">
        <v>2754</v>
      </c>
      <c r="D10" s="358" t="s">
        <v>2755</v>
      </c>
      <c r="E10" s="358" t="s">
        <v>2756</v>
      </c>
      <c r="F10" s="393" t="s">
        <v>2757</v>
      </c>
      <c r="G10" s="393" t="s">
        <v>2758</v>
      </c>
      <c r="I10" s="358" t="s">
        <v>2759</v>
      </c>
      <c r="J10" s="358" t="s">
        <v>2760</v>
      </c>
      <c r="K10" s="358" t="s">
        <v>2761</v>
      </c>
      <c r="L10" s="394"/>
      <c r="M10" s="388"/>
      <c r="N10" s="358" t="s">
        <v>2762</v>
      </c>
      <c r="O10" s="393"/>
    </row>
    <row r="11" spans="1:15">
      <c r="A11" s="389">
        <f t="shared" si="0"/>
        <v>5</v>
      </c>
      <c r="B11" s="358" t="s">
        <v>2763</v>
      </c>
      <c r="D11" s="358" t="s">
        <v>2764</v>
      </c>
      <c r="E11" s="358" t="s">
        <v>2765</v>
      </c>
      <c r="F11" s="393" t="s">
        <v>2766</v>
      </c>
      <c r="G11" s="393" t="s">
        <v>2767</v>
      </c>
      <c r="I11" s="358" t="s">
        <v>2768</v>
      </c>
      <c r="J11" s="358" t="s">
        <v>2769</v>
      </c>
      <c r="K11" s="358" t="s">
        <v>2770</v>
      </c>
      <c r="L11" s="394"/>
      <c r="M11" s="388"/>
      <c r="N11" s="358" t="s">
        <v>2771</v>
      </c>
    </row>
    <row r="12" spans="1:15">
      <c r="A12" s="389">
        <f t="shared" si="0"/>
        <v>6</v>
      </c>
      <c r="B12" s="358" t="s">
        <v>2772</v>
      </c>
      <c r="D12" s="358" t="s">
        <v>2773</v>
      </c>
      <c r="E12" s="358" t="s">
        <v>2774</v>
      </c>
      <c r="F12" s="393" t="s">
        <v>2775</v>
      </c>
      <c r="G12" s="393" t="s">
        <v>2776</v>
      </c>
      <c r="I12" s="358" t="s">
        <v>2777</v>
      </c>
      <c r="J12" s="358" t="s">
        <v>2778</v>
      </c>
      <c r="K12" s="358" t="s">
        <v>2779</v>
      </c>
      <c r="L12" s="394"/>
      <c r="M12" s="388"/>
      <c r="N12" s="358" t="s">
        <v>2780</v>
      </c>
    </row>
    <row r="13" spans="1:15" ht="14.25" customHeight="1">
      <c r="A13" s="389">
        <f t="shared" si="0"/>
        <v>7</v>
      </c>
      <c r="B13" s="358" t="s">
        <v>2781</v>
      </c>
      <c r="D13" s="358" t="s">
        <v>2782</v>
      </c>
      <c r="E13" s="358" t="s">
        <v>2783</v>
      </c>
      <c r="F13" s="393" t="s">
        <v>2784</v>
      </c>
      <c r="G13" s="393" t="s">
        <v>2785</v>
      </c>
      <c r="I13" s="358" t="s">
        <v>2786</v>
      </c>
      <c r="J13" s="358" t="s">
        <v>2787</v>
      </c>
      <c r="K13" s="358" t="s">
        <v>2788</v>
      </c>
      <c r="L13" s="394"/>
      <c r="M13" s="388"/>
      <c r="N13" s="358" t="s">
        <v>2789</v>
      </c>
    </row>
    <row r="14" spans="1:15" ht="14.25" customHeight="1">
      <c r="A14" s="389">
        <f t="shared" si="0"/>
        <v>8</v>
      </c>
      <c r="B14" s="358" t="s">
        <v>2790</v>
      </c>
      <c r="D14" s="358" t="s">
        <v>2791</v>
      </c>
      <c r="E14" s="358" t="s">
        <v>2792</v>
      </c>
      <c r="F14" s="393" t="s">
        <v>2793</v>
      </c>
      <c r="G14" s="393" t="s">
        <v>2794</v>
      </c>
      <c r="I14" s="358" t="s">
        <v>2795</v>
      </c>
      <c r="J14" s="358" t="s">
        <v>2796</v>
      </c>
      <c r="K14" s="358" t="s">
        <v>2797</v>
      </c>
      <c r="L14" s="394"/>
      <c r="M14" s="388"/>
      <c r="N14" s="358" t="s">
        <v>2798</v>
      </c>
    </row>
    <row r="15" spans="1:15">
      <c r="A15" s="389">
        <f t="shared" si="0"/>
        <v>9</v>
      </c>
      <c r="B15" s="358" t="s">
        <v>2799</v>
      </c>
      <c r="D15" s="358" t="s">
        <v>2800</v>
      </c>
      <c r="E15" s="358" t="s">
        <v>2801</v>
      </c>
      <c r="F15" s="393" t="s">
        <v>2802</v>
      </c>
      <c r="G15" s="393" t="s">
        <v>2803</v>
      </c>
      <c r="I15" s="358" t="s">
        <v>2804</v>
      </c>
      <c r="J15" s="358" t="s">
        <v>2805</v>
      </c>
      <c r="K15" s="358" t="s">
        <v>2806</v>
      </c>
      <c r="L15" s="394"/>
      <c r="M15" s="388"/>
      <c r="N15" s="358" t="s">
        <v>2807</v>
      </c>
    </row>
    <row r="16" spans="1:15">
      <c r="A16" s="389">
        <f t="shared" si="0"/>
        <v>10</v>
      </c>
      <c r="B16" s="358" t="s">
        <v>2808</v>
      </c>
      <c r="D16" s="358" t="s">
        <v>2809</v>
      </c>
      <c r="E16" s="358" t="s">
        <v>2810</v>
      </c>
      <c r="F16" s="393" t="s">
        <v>2811</v>
      </c>
      <c r="G16" s="393" t="s">
        <v>2812</v>
      </c>
      <c r="I16" s="358" t="s">
        <v>2813</v>
      </c>
      <c r="J16" s="358" t="s">
        <v>2814</v>
      </c>
      <c r="K16" s="358" t="s">
        <v>2815</v>
      </c>
      <c r="L16" s="394"/>
      <c r="M16" s="388"/>
      <c r="N16" s="358" t="s">
        <v>2816</v>
      </c>
    </row>
    <row r="17" spans="1:15">
      <c r="A17" s="389">
        <f t="shared" si="0"/>
        <v>11</v>
      </c>
      <c r="B17" s="358" t="s">
        <v>2817</v>
      </c>
      <c r="D17" s="358" t="s">
        <v>2818</v>
      </c>
      <c r="E17" s="358" t="s">
        <v>2819</v>
      </c>
      <c r="F17" s="393" t="s">
        <v>2820</v>
      </c>
      <c r="G17" s="393" t="s">
        <v>2821</v>
      </c>
      <c r="I17" s="358" t="s">
        <v>2822</v>
      </c>
      <c r="J17" s="358" t="s">
        <v>2823</v>
      </c>
      <c r="K17" s="358" t="s">
        <v>2824</v>
      </c>
      <c r="L17" s="394"/>
      <c r="M17" s="388"/>
      <c r="N17" s="358" t="s">
        <v>2825</v>
      </c>
    </row>
    <row r="18" spans="1:15">
      <c r="A18" s="389">
        <f t="shared" si="0"/>
        <v>12</v>
      </c>
      <c r="B18" s="358" t="s">
        <v>2826</v>
      </c>
      <c r="D18" s="358" t="s">
        <v>2827</v>
      </c>
      <c r="E18" s="358" t="s">
        <v>2828</v>
      </c>
      <c r="F18" s="393" t="s">
        <v>2829</v>
      </c>
      <c r="G18" s="393" t="s">
        <v>2830</v>
      </c>
      <c r="I18" s="358" t="s">
        <v>2831</v>
      </c>
      <c r="J18" s="358" t="s">
        <v>2832</v>
      </c>
      <c r="K18" s="358" t="s">
        <v>2833</v>
      </c>
      <c r="L18" s="394"/>
      <c r="M18" s="388"/>
      <c r="N18" s="358" t="s">
        <v>2834</v>
      </c>
    </row>
    <row r="19" spans="1:15">
      <c r="A19" s="389">
        <f t="shared" si="0"/>
        <v>13</v>
      </c>
      <c r="B19" s="358" t="s">
        <v>2835</v>
      </c>
      <c r="D19" s="358" t="s">
        <v>2836</v>
      </c>
      <c r="E19" s="358" t="s">
        <v>2837</v>
      </c>
      <c r="F19" s="393" t="s">
        <v>2838</v>
      </c>
      <c r="G19" s="393" t="s">
        <v>2839</v>
      </c>
      <c r="I19" s="358" t="s">
        <v>2840</v>
      </c>
      <c r="J19" s="358" t="s">
        <v>2841</v>
      </c>
      <c r="K19" s="358" t="s">
        <v>2842</v>
      </c>
      <c r="L19" s="394"/>
      <c r="M19" s="388"/>
      <c r="N19" s="358" t="s">
        <v>2843</v>
      </c>
    </row>
    <row r="20" spans="1:15">
      <c r="A20" s="389">
        <f t="shared" si="0"/>
        <v>14</v>
      </c>
      <c r="B20" s="358" t="s">
        <v>2844</v>
      </c>
      <c r="D20" s="358" t="s">
        <v>2845</v>
      </c>
      <c r="E20" s="358" t="s">
        <v>2846</v>
      </c>
      <c r="F20" s="393" t="s">
        <v>2847</v>
      </c>
      <c r="G20" s="393" t="s">
        <v>2848</v>
      </c>
      <c r="I20" s="358" t="s">
        <v>2849</v>
      </c>
      <c r="J20" s="358" t="s">
        <v>2850</v>
      </c>
      <c r="K20" s="358" t="s">
        <v>2851</v>
      </c>
      <c r="L20" s="394"/>
      <c r="M20" s="388"/>
      <c r="N20" s="358" t="s">
        <v>2852</v>
      </c>
    </row>
    <row r="21" spans="1:15">
      <c r="A21" s="389">
        <f t="shared" si="0"/>
        <v>15</v>
      </c>
      <c r="B21" s="358" t="s">
        <v>2853</v>
      </c>
      <c r="D21" s="358" t="s">
        <v>2854</v>
      </c>
      <c r="E21" s="358" t="s">
        <v>2855</v>
      </c>
      <c r="F21" s="393" t="s">
        <v>2856</v>
      </c>
      <c r="G21" s="393" t="s">
        <v>2857</v>
      </c>
      <c r="I21" s="358" t="s">
        <v>2858</v>
      </c>
      <c r="J21" s="358" t="s">
        <v>2859</v>
      </c>
      <c r="K21" s="358" t="s">
        <v>2860</v>
      </c>
      <c r="L21" s="394"/>
      <c r="M21" s="388"/>
      <c r="N21" s="358" t="s">
        <v>2861</v>
      </c>
    </row>
    <row r="22" spans="1:15">
      <c r="A22" s="389">
        <f t="shared" si="0"/>
        <v>16</v>
      </c>
      <c r="B22" s="358" t="s">
        <v>2862</v>
      </c>
      <c r="D22" s="358" t="s">
        <v>2863</v>
      </c>
      <c r="E22" s="358" t="s">
        <v>2864</v>
      </c>
      <c r="F22" s="393" t="s">
        <v>2865</v>
      </c>
      <c r="G22" s="393" t="s">
        <v>2866</v>
      </c>
      <c r="I22" s="358" t="s">
        <v>2867</v>
      </c>
      <c r="J22" s="358" t="s">
        <v>2868</v>
      </c>
      <c r="K22" s="358" t="s">
        <v>2869</v>
      </c>
      <c r="L22" s="394"/>
      <c r="M22" s="388"/>
      <c r="N22" s="358" t="s">
        <v>2870</v>
      </c>
    </row>
    <row r="23" spans="1:15">
      <c r="A23" s="389">
        <f t="shared" si="0"/>
        <v>17</v>
      </c>
      <c r="B23" s="358" t="s">
        <v>2871</v>
      </c>
      <c r="D23" s="358" t="s">
        <v>2872</v>
      </c>
      <c r="E23" s="358" t="s">
        <v>2873</v>
      </c>
      <c r="F23" s="393" t="s">
        <v>2874</v>
      </c>
      <c r="G23" s="393" t="s">
        <v>2875</v>
      </c>
      <c r="I23" s="358" t="s">
        <v>2876</v>
      </c>
      <c r="J23" s="358" t="s">
        <v>2877</v>
      </c>
      <c r="K23" s="358" t="s">
        <v>2878</v>
      </c>
      <c r="L23" s="394"/>
      <c r="M23" s="388"/>
      <c r="N23" s="358" t="s">
        <v>2879</v>
      </c>
    </row>
    <row r="24" spans="1:15">
      <c r="A24" s="389">
        <f t="shared" si="0"/>
        <v>18</v>
      </c>
      <c r="B24" s="358" t="s">
        <v>2880</v>
      </c>
      <c r="D24" s="358" t="s">
        <v>2881</v>
      </c>
      <c r="E24" s="358" t="s">
        <v>2882</v>
      </c>
      <c r="F24" s="393" t="s">
        <v>2883</v>
      </c>
      <c r="G24" s="393" t="s">
        <v>2884</v>
      </c>
      <c r="I24" s="358" t="s">
        <v>2885</v>
      </c>
      <c r="J24" s="358" t="s">
        <v>2886</v>
      </c>
      <c r="K24" s="358" t="s">
        <v>2887</v>
      </c>
      <c r="L24" s="394"/>
      <c r="M24" s="388"/>
      <c r="N24" s="358" t="s">
        <v>2888</v>
      </c>
    </row>
    <row r="25" spans="1:15">
      <c r="A25" s="389">
        <f t="shared" si="0"/>
        <v>19</v>
      </c>
      <c r="B25" s="358" t="s">
        <v>2889</v>
      </c>
      <c r="D25" s="358" t="s">
        <v>2890</v>
      </c>
      <c r="E25" s="358" t="s">
        <v>2891</v>
      </c>
      <c r="F25" s="393" t="s">
        <v>2892</v>
      </c>
      <c r="G25" s="393" t="s">
        <v>2893</v>
      </c>
      <c r="I25" s="358" t="s">
        <v>2894</v>
      </c>
      <c r="J25" s="358" t="s">
        <v>2895</v>
      </c>
      <c r="K25" s="358" t="s">
        <v>2896</v>
      </c>
      <c r="L25" s="394"/>
      <c r="M25" s="388"/>
      <c r="N25" s="358" t="s">
        <v>2897</v>
      </c>
    </row>
    <row r="26" spans="1:15">
      <c r="A26" s="389">
        <f t="shared" si="0"/>
        <v>20</v>
      </c>
      <c r="B26" s="358" t="s">
        <v>2898</v>
      </c>
      <c r="D26" s="358" t="s">
        <v>2899</v>
      </c>
      <c r="E26" s="358" t="s">
        <v>2900</v>
      </c>
      <c r="F26" s="393" t="s">
        <v>2901</v>
      </c>
      <c r="G26" s="393" t="s">
        <v>2902</v>
      </c>
      <c r="I26" s="358" t="s">
        <v>2903</v>
      </c>
      <c r="J26" s="358" t="s">
        <v>2904</v>
      </c>
      <c r="K26" s="358" t="s">
        <v>2905</v>
      </c>
      <c r="L26" s="394"/>
      <c r="M26" s="388"/>
      <c r="N26" s="358" t="s">
        <v>2906</v>
      </c>
      <c r="O26" s="393">
        <f>SUM(G7:G26)</f>
        <v>0</v>
      </c>
    </row>
    <row r="27" spans="1:15">
      <c r="A27" s="392"/>
      <c r="B27" s="388"/>
      <c r="F27" s="393"/>
      <c r="G27" s="393"/>
      <c r="L27" s="394"/>
      <c r="M27" s="388"/>
      <c r="N27" s="388"/>
    </row>
    <row r="28" spans="1:15">
      <c r="A28" s="392"/>
      <c r="B28" s="388"/>
      <c r="F28" s="393"/>
      <c r="G28" s="393"/>
      <c r="L28" s="394"/>
      <c r="M28" s="388"/>
      <c r="N28" s="388"/>
    </row>
    <row r="29" spans="1:15">
      <c r="A29" s="392"/>
      <c r="B29" s="388"/>
      <c r="F29" s="393"/>
      <c r="G29" s="393"/>
      <c r="L29" s="394"/>
      <c r="M29" s="388"/>
      <c r="N29" s="388"/>
    </row>
    <row r="30" spans="1:15">
      <c r="A30" s="392"/>
      <c r="B30" s="388"/>
      <c r="F30" s="393"/>
      <c r="G30" s="393"/>
      <c r="L30" s="394"/>
      <c r="M30" s="388"/>
      <c r="N30" s="388"/>
    </row>
    <row r="31" spans="1:15">
      <c r="A31" s="392"/>
      <c r="B31" s="388"/>
      <c r="F31" s="393"/>
      <c r="G31" s="393"/>
      <c r="L31" s="394"/>
      <c r="M31" s="388"/>
      <c r="N31" s="388"/>
    </row>
    <row r="32" spans="1:15">
      <c r="A32" s="392"/>
      <c r="B32" s="388"/>
      <c r="F32" s="393"/>
      <c r="G32" s="393"/>
      <c r="L32" s="394"/>
      <c r="M32" s="388"/>
      <c r="N32" s="388"/>
    </row>
    <row r="33" spans="1:18">
      <c r="A33" s="392"/>
      <c r="B33" s="388"/>
      <c r="F33" s="393"/>
      <c r="G33" s="393"/>
      <c r="L33" s="394"/>
      <c r="M33" s="388"/>
      <c r="N33" s="388"/>
    </row>
    <row r="34" spans="1:18">
      <c r="A34" s="392"/>
      <c r="B34" s="388"/>
      <c r="F34" s="395"/>
      <c r="G34" s="395"/>
      <c r="H34" s="396"/>
      <c r="I34" s="396"/>
      <c r="J34" s="396"/>
      <c r="K34" s="396"/>
      <c r="L34" s="397"/>
      <c r="M34" s="398"/>
      <c r="N34" s="398"/>
      <c r="O34" s="396"/>
      <c r="P34" s="396"/>
    </row>
    <row r="35" spans="1:18">
      <c r="A35" s="392"/>
      <c r="B35" s="388"/>
      <c r="C35" s="388"/>
      <c r="D35" s="388"/>
      <c r="E35" s="388"/>
      <c r="F35" s="399"/>
      <c r="G35" s="399"/>
      <c r="H35" s="398"/>
      <c r="I35" s="398"/>
      <c r="J35" s="398"/>
      <c r="K35" s="398"/>
      <c r="L35" s="398"/>
      <c r="M35" s="398"/>
      <c r="N35" s="398"/>
      <c r="O35" s="398"/>
      <c r="P35" s="398"/>
      <c r="Q35" s="388"/>
      <c r="R35" s="388"/>
    </row>
    <row r="36" spans="1:18">
      <c r="A36" s="392"/>
      <c r="B36" s="388"/>
      <c r="C36" s="388"/>
      <c r="D36" s="388"/>
      <c r="E36" s="388"/>
      <c r="F36" s="399"/>
      <c r="G36" s="399"/>
      <c r="H36" s="398"/>
      <c r="I36" s="398"/>
      <c r="J36" s="398"/>
      <c r="K36" s="398"/>
      <c r="L36" s="398"/>
      <c r="M36" s="398"/>
      <c r="N36" s="398"/>
      <c r="O36" s="398"/>
      <c r="P36" s="398"/>
      <c r="Q36" s="388"/>
      <c r="R36" s="388"/>
    </row>
    <row r="37" spans="1:18">
      <c r="A37" s="392"/>
      <c r="B37" s="379"/>
      <c r="C37" s="379"/>
      <c r="D37" s="379"/>
      <c r="E37" s="379"/>
      <c r="F37" s="400"/>
      <c r="G37" s="401"/>
      <c r="H37" s="401"/>
      <c r="I37" s="401"/>
      <c r="J37" s="401"/>
      <c r="K37" s="401"/>
      <c r="L37" s="398"/>
      <c r="M37" s="398"/>
      <c r="N37" s="398"/>
      <c r="O37" s="398"/>
      <c r="P37" s="398"/>
      <c r="Q37" s="388"/>
      <c r="R37" s="388"/>
    </row>
    <row r="38" spans="1:18">
      <c r="A38" s="392"/>
      <c r="B38" s="402"/>
      <c r="C38" s="402"/>
      <c r="D38" s="402"/>
      <c r="E38" s="402"/>
      <c r="F38" s="403"/>
      <c r="G38" s="401"/>
      <c r="H38" s="401"/>
      <c r="I38" s="401"/>
      <c r="J38" s="401"/>
      <c r="K38" s="401"/>
      <c r="L38" s="398"/>
      <c r="M38" s="398"/>
      <c r="N38" s="398"/>
      <c r="O38" s="398"/>
      <c r="P38" s="398"/>
      <c r="Q38" s="388"/>
      <c r="R38" s="388"/>
    </row>
    <row r="39" spans="1:18">
      <c r="A39" s="388"/>
      <c r="B39" s="388"/>
      <c r="C39" s="388"/>
      <c r="D39" s="388"/>
      <c r="E39" s="388"/>
      <c r="F39" s="398"/>
      <c r="G39" s="398"/>
      <c r="H39" s="398"/>
      <c r="I39" s="398"/>
      <c r="J39" s="398"/>
      <c r="K39" s="398"/>
      <c r="L39" s="398"/>
      <c r="M39" s="398"/>
      <c r="N39" s="398"/>
      <c r="O39" s="398"/>
      <c r="P39" s="398"/>
      <c r="Q39" s="388"/>
      <c r="R39" s="388"/>
    </row>
    <row r="40" spans="1:18">
      <c r="B40" s="388"/>
      <c r="C40" s="388"/>
      <c r="D40" s="388"/>
      <c r="E40" s="388"/>
      <c r="F40" s="398"/>
      <c r="G40" s="398"/>
      <c r="H40" s="398"/>
      <c r="I40" s="398"/>
      <c r="J40" s="398"/>
      <c r="K40" s="398"/>
      <c r="L40" s="398"/>
      <c r="M40" s="398"/>
      <c r="N40" s="398"/>
      <c r="O40" s="398"/>
      <c r="P40" s="398"/>
      <c r="Q40" s="388"/>
      <c r="R40" s="388"/>
    </row>
    <row r="41" spans="1:18">
      <c r="B41" s="388"/>
      <c r="C41" s="388"/>
      <c r="D41" s="388"/>
      <c r="E41" s="388"/>
      <c r="F41" s="398"/>
      <c r="G41" s="398"/>
      <c r="H41" s="398"/>
      <c r="I41" s="398"/>
      <c r="J41" s="398"/>
      <c r="K41" s="398"/>
      <c r="L41" s="398"/>
      <c r="M41" s="398"/>
      <c r="N41" s="398"/>
      <c r="O41" s="398"/>
      <c r="P41" s="398"/>
      <c r="Q41" s="388"/>
      <c r="R41" s="388"/>
    </row>
    <row r="42" spans="1:18">
      <c r="B42" s="388"/>
      <c r="C42" s="388"/>
      <c r="D42" s="388"/>
      <c r="E42" s="388"/>
      <c r="F42" s="388"/>
      <c r="G42" s="388"/>
      <c r="H42" s="388"/>
      <c r="I42" s="388"/>
      <c r="J42" s="388"/>
      <c r="K42" s="388"/>
      <c r="L42" s="388"/>
      <c r="M42" s="388"/>
      <c r="N42" s="388"/>
      <c r="O42" s="388"/>
      <c r="P42" s="388"/>
      <c r="Q42" s="388"/>
      <c r="R42" s="388"/>
    </row>
    <row r="43" spans="1:18">
      <c r="B43" s="388"/>
      <c r="C43" s="388"/>
      <c r="D43" s="388"/>
      <c r="E43" s="388"/>
      <c r="F43" s="388"/>
      <c r="G43" s="388"/>
      <c r="H43" s="388"/>
      <c r="I43" s="388"/>
      <c r="J43" s="388"/>
      <c r="K43" s="388"/>
      <c r="L43" s="388"/>
      <c r="M43" s="388"/>
      <c r="N43" s="388"/>
      <c r="O43" s="388"/>
      <c r="P43" s="388"/>
      <c r="Q43" s="388"/>
      <c r="R43" s="388"/>
    </row>
    <row r="44" spans="1:18">
      <c r="A44" s="388"/>
      <c r="B44" s="388"/>
      <c r="C44" s="388"/>
      <c r="D44" s="388"/>
      <c r="E44" s="388"/>
      <c r="F44" s="388"/>
      <c r="G44" s="388"/>
      <c r="H44" s="388"/>
      <c r="I44" s="388"/>
      <c r="J44" s="388"/>
      <c r="K44" s="388"/>
      <c r="L44" s="404"/>
      <c r="M44" s="388"/>
      <c r="N44" s="388"/>
      <c r="O44" s="388"/>
      <c r="P44" s="388"/>
      <c r="Q44" s="388"/>
      <c r="R44" s="388"/>
    </row>
    <row r="45" spans="1:18" ht="13.5" thickBot="1">
      <c r="A45" s="388"/>
      <c r="B45" s="388"/>
      <c r="C45" s="388"/>
      <c r="D45" s="388"/>
      <c r="E45" s="388"/>
      <c r="F45" s="388"/>
      <c r="G45" s="388"/>
      <c r="H45" s="388"/>
      <c r="I45" s="388"/>
      <c r="J45" s="388"/>
      <c r="K45" s="388"/>
      <c r="L45" s="405" t="s">
        <v>1485</v>
      </c>
    </row>
    <row r="46" spans="1:18">
      <c r="A46" s="388"/>
      <c r="B46" s="388"/>
      <c r="C46" s="388"/>
      <c r="D46" s="388"/>
      <c r="E46" s="388"/>
      <c r="F46" s="388"/>
      <c r="G46" s="388"/>
      <c r="H46" s="388"/>
      <c r="I46" s="388"/>
      <c r="J46" s="388"/>
      <c r="K46" s="388"/>
      <c r="L46" s="5"/>
    </row>
    <row r="47" spans="1:18">
      <c r="A47" s="388"/>
      <c r="B47" s="388"/>
      <c r="C47" s="388"/>
      <c r="D47" s="388"/>
      <c r="E47" s="388"/>
      <c r="F47" s="388"/>
      <c r="G47" s="388"/>
      <c r="H47" s="388"/>
      <c r="I47" s="388"/>
      <c r="J47" s="388"/>
      <c r="K47" s="388"/>
      <c r="L47" s="5"/>
    </row>
    <row r="48" spans="1:18">
      <c r="A48" s="388"/>
      <c r="B48" s="388"/>
      <c r="C48" s="388"/>
      <c r="D48" s="388"/>
      <c r="E48" s="388"/>
      <c r="F48" s="388"/>
      <c r="G48" s="388"/>
      <c r="H48" s="388"/>
      <c r="I48" s="388"/>
      <c r="J48" s="388"/>
      <c r="K48" s="388"/>
      <c r="L48" s="5"/>
    </row>
    <row r="49" spans="1:12">
      <c r="A49" s="388"/>
      <c r="B49" s="388"/>
      <c r="C49" s="388"/>
      <c r="D49" s="388"/>
      <c r="E49" s="388"/>
      <c r="F49" s="388"/>
      <c r="G49" s="388"/>
      <c r="H49" s="388"/>
      <c r="I49" s="388"/>
      <c r="J49" s="388"/>
      <c r="K49" s="388"/>
      <c r="L49" s="5"/>
    </row>
    <row r="50" spans="1:12">
      <c r="A50" s="388"/>
      <c r="B50" s="388"/>
      <c r="C50" s="388"/>
      <c r="D50" s="388"/>
      <c r="E50" s="388"/>
      <c r="F50" s="388"/>
      <c r="G50" s="388"/>
      <c r="H50" s="388"/>
      <c r="I50" s="388"/>
      <c r="J50" s="388"/>
      <c r="K50" s="388"/>
      <c r="L50" s="5"/>
    </row>
    <row r="51" spans="1:12">
      <c r="A51" s="388"/>
      <c r="B51" s="388"/>
      <c r="C51" s="388"/>
      <c r="D51" s="388"/>
      <c r="E51" s="388"/>
      <c r="F51" s="388"/>
      <c r="G51" s="388"/>
      <c r="H51" s="388"/>
      <c r="I51" s="388"/>
      <c r="J51" s="388"/>
      <c r="K51" s="388"/>
      <c r="L51" s="5"/>
    </row>
    <row r="52" spans="1:12">
      <c r="A52" s="388"/>
      <c r="B52" s="388"/>
      <c r="C52" s="388"/>
      <c r="D52" s="388"/>
      <c r="E52" s="388"/>
      <c r="F52" s="388"/>
      <c r="G52" s="388"/>
      <c r="H52" s="388"/>
      <c r="I52" s="388"/>
      <c r="J52" s="388"/>
      <c r="K52" s="388"/>
      <c r="L52" s="5"/>
    </row>
    <row r="53" spans="1:12">
      <c r="A53" s="388"/>
      <c r="B53" s="388"/>
      <c r="C53" s="388"/>
      <c r="D53" s="388"/>
      <c r="E53" s="388"/>
      <c r="F53" s="388"/>
      <c r="G53" s="388"/>
      <c r="H53" s="388"/>
      <c r="I53" s="388"/>
      <c r="J53" s="388"/>
      <c r="K53" s="388"/>
      <c r="L53" s="5"/>
    </row>
    <row r="54" spans="1:12">
      <c r="A54" s="388"/>
      <c r="B54" s="388"/>
      <c r="C54" s="388"/>
      <c r="D54" s="388"/>
      <c r="E54" s="388"/>
      <c r="F54" s="388"/>
      <c r="G54" s="388"/>
      <c r="H54" s="388"/>
      <c r="I54" s="388"/>
      <c r="J54" s="388"/>
      <c r="K54" s="388"/>
      <c r="L54" s="5"/>
    </row>
    <row r="55" spans="1:12">
      <c r="A55" s="388"/>
      <c r="B55" s="388"/>
      <c r="C55" s="388"/>
      <c r="D55" s="388"/>
      <c r="E55" s="388"/>
      <c r="F55" s="388"/>
      <c r="G55" s="388"/>
      <c r="H55" s="388"/>
      <c r="I55" s="388"/>
      <c r="J55" s="388"/>
      <c r="K55" s="388"/>
      <c r="L55" s="5"/>
    </row>
    <row r="56" spans="1:12">
      <c r="A56" s="388"/>
      <c r="B56" s="388"/>
      <c r="C56" s="388"/>
      <c r="D56" s="388"/>
      <c r="E56" s="388"/>
      <c r="F56" s="388"/>
      <c r="G56" s="388"/>
      <c r="H56" s="388"/>
      <c r="I56" s="388"/>
      <c r="J56" s="388"/>
      <c r="K56" s="388"/>
      <c r="L56" s="5"/>
    </row>
    <row r="57" spans="1:12">
      <c r="A57" s="388"/>
      <c r="B57" s="388"/>
      <c r="C57" s="388"/>
      <c r="D57" s="388"/>
      <c r="E57" s="388"/>
      <c r="F57" s="388"/>
      <c r="G57" s="388"/>
      <c r="H57" s="388"/>
      <c r="I57" s="388"/>
      <c r="J57" s="388"/>
      <c r="K57" s="388"/>
      <c r="L57" s="5"/>
    </row>
    <row r="58" spans="1:12">
      <c r="A58" s="388"/>
      <c r="B58" s="388"/>
      <c r="C58" s="388"/>
      <c r="D58" s="388"/>
      <c r="E58" s="388"/>
      <c r="F58" s="388"/>
      <c r="G58" s="388"/>
      <c r="H58" s="388"/>
      <c r="I58" s="388"/>
      <c r="J58" s="388"/>
      <c r="K58" s="388"/>
      <c r="L58" s="5"/>
    </row>
    <row r="59" spans="1:12">
      <c r="A59" s="388"/>
      <c r="B59" s="388"/>
      <c r="C59" s="388"/>
      <c r="D59" s="388"/>
      <c r="E59" s="388"/>
      <c r="F59" s="388"/>
      <c r="G59" s="388"/>
      <c r="H59" s="388"/>
      <c r="I59" s="388"/>
      <c r="J59" s="388"/>
      <c r="K59" s="388"/>
      <c r="L59" s="5"/>
    </row>
    <row r="60" spans="1:12">
      <c r="A60" s="388"/>
      <c r="B60" s="388"/>
      <c r="C60" s="388"/>
      <c r="D60" s="388"/>
      <c r="E60" s="388"/>
      <c r="F60" s="388"/>
      <c r="G60" s="388"/>
      <c r="H60" s="388"/>
      <c r="I60" s="388"/>
      <c r="J60" s="388"/>
      <c r="K60" s="388"/>
      <c r="L60" s="5"/>
    </row>
    <row r="61" spans="1:12">
      <c r="A61" s="388"/>
      <c r="B61" s="388"/>
      <c r="C61" s="388"/>
      <c r="D61" s="388"/>
      <c r="E61" s="388"/>
      <c r="F61" s="388"/>
      <c r="G61" s="388"/>
      <c r="H61" s="388"/>
      <c r="I61" s="388"/>
      <c r="J61" s="388"/>
      <c r="K61" s="388"/>
      <c r="L61" s="5"/>
    </row>
    <row r="62" spans="1:12">
      <c r="A62" s="388"/>
      <c r="B62" s="388"/>
      <c r="C62" s="388"/>
      <c r="D62" s="388"/>
      <c r="E62" s="388"/>
      <c r="F62" s="388"/>
      <c r="G62" s="388"/>
      <c r="H62" s="388"/>
      <c r="I62" s="388"/>
      <c r="J62" s="388"/>
      <c r="K62" s="388"/>
      <c r="L62" s="5"/>
    </row>
    <row r="63" spans="1:12">
      <c r="A63" s="388"/>
      <c r="B63" s="388"/>
      <c r="C63" s="388"/>
      <c r="D63" s="388"/>
      <c r="E63" s="388"/>
      <c r="F63" s="388"/>
      <c r="G63" s="388"/>
      <c r="H63" s="388"/>
      <c r="I63" s="388"/>
      <c r="J63" s="388"/>
      <c r="K63" s="388"/>
      <c r="L63" s="5"/>
    </row>
    <row r="64" spans="1:12">
      <c r="A64" s="388"/>
      <c r="B64" s="388"/>
      <c r="C64" s="388"/>
      <c r="D64" s="388"/>
      <c r="E64" s="388"/>
      <c r="F64" s="388"/>
      <c r="G64" s="388"/>
      <c r="H64" s="388"/>
      <c r="I64" s="388"/>
      <c r="J64" s="388"/>
      <c r="K64" s="388"/>
      <c r="L64" s="5"/>
    </row>
    <row r="65" spans="1:12">
      <c r="A65" s="388"/>
      <c r="B65" s="388"/>
      <c r="C65" s="388"/>
      <c r="D65" s="388"/>
      <c r="E65" s="388"/>
      <c r="F65" s="388"/>
      <c r="G65" s="388"/>
      <c r="H65" s="388"/>
      <c r="I65" s="388"/>
      <c r="J65" s="388"/>
      <c r="K65" s="388"/>
      <c r="L65" s="5"/>
    </row>
    <row r="66" spans="1:12">
      <c r="A66" s="388"/>
      <c r="B66" s="388"/>
      <c r="C66" s="388"/>
      <c r="D66" s="388"/>
      <c r="E66" s="388"/>
      <c r="F66" s="388"/>
      <c r="G66" s="388"/>
      <c r="H66" s="388"/>
      <c r="I66" s="388"/>
      <c r="J66" s="388"/>
      <c r="K66" s="388"/>
      <c r="L66" s="5"/>
    </row>
    <row r="67" spans="1:12">
      <c r="A67" s="388"/>
      <c r="B67" s="388"/>
      <c r="C67" s="388"/>
      <c r="D67" s="388"/>
      <c r="E67" s="388"/>
      <c r="F67" s="388"/>
      <c r="G67" s="388"/>
      <c r="H67" s="388"/>
      <c r="I67" s="388"/>
      <c r="J67" s="388"/>
      <c r="K67" s="388"/>
      <c r="L67" s="5"/>
    </row>
    <row r="68" spans="1:12">
      <c r="A68" s="388"/>
      <c r="B68" s="388"/>
      <c r="C68" s="388"/>
      <c r="D68" s="388"/>
      <c r="E68" s="388"/>
      <c r="F68" s="388"/>
      <c r="G68" s="388"/>
      <c r="H68" s="388"/>
      <c r="I68" s="388"/>
      <c r="J68" s="388"/>
      <c r="K68" s="388"/>
      <c r="L68" s="5"/>
    </row>
    <row r="69" spans="1:12">
      <c r="A69" s="388"/>
      <c r="B69" s="388"/>
      <c r="C69" s="388"/>
      <c r="D69" s="388"/>
      <c r="E69" s="388"/>
      <c r="F69" s="388"/>
      <c r="G69" s="388"/>
      <c r="H69" s="388"/>
      <c r="I69" s="388"/>
      <c r="J69" s="388"/>
      <c r="K69" s="388"/>
      <c r="L69" s="5"/>
    </row>
    <row r="70" spans="1:12">
      <c r="A70" s="388"/>
      <c r="B70" s="388"/>
      <c r="C70" s="388"/>
      <c r="D70" s="388"/>
      <c r="E70" s="388"/>
      <c r="F70" s="388"/>
      <c r="G70" s="388"/>
      <c r="H70" s="388"/>
      <c r="I70" s="388"/>
      <c r="J70" s="388"/>
      <c r="K70" s="388"/>
      <c r="L70" s="5"/>
    </row>
    <row r="71" spans="1:12">
      <c r="A71" s="388"/>
      <c r="B71" s="388"/>
      <c r="C71" s="388"/>
      <c r="D71" s="388"/>
      <c r="E71" s="388"/>
      <c r="F71" s="388"/>
      <c r="G71" s="388"/>
      <c r="H71" s="388"/>
      <c r="I71" s="388"/>
      <c r="J71" s="388"/>
      <c r="K71" s="388"/>
      <c r="L71" s="5"/>
    </row>
    <row r="72" spans="1:12">
      <c r="A72" s="388"/>
      <c r="B72" s="388"/>
      <c r="C72" s="388"/>
      <c r="D72" s="388"/>
      <c r="E72" s="388"/>
      <c r="F72" s="388"/>
      <c r="G72" s="388"/>
      <c r="H72" s="388"/>
      <c r="I72" s="388"/>
      <c r="J72" s="388"/>
      <c r="K72" s="388"/>
      <c r="L72" s="5"/>
    </row>
    <row r="73" spans="1:12">
      <c r="A73" s="388"/>
      <c r="B73" s="388"/>
      <c r="C73" s="388"/>
      <c r="D73" s="388"/>
      <c r="E73" s="388"/>
      <c r="F73" s="388"/>
      <c r="G73" s="388"/>
      <c r="H73" s="388"/>
      <c r="I73" s="388"/>
      <c r="J73" s="388"/>
      <c r="K73" s="388"/>
      <c r="L73" s="5"/>
    </row>
    <row r="74" spans="1:12">
      <c r="A74" s="388"/>
      <c r="B74" s="388"/>
      <c r="C74" s="388"/>
      <c r="D74" s="388"/>
      <c r="E74" s="388"/>
      <c r="F74" s="388"/>
      <c r="G74" s="388"/>
      <c r="H74" s="388"/>
      <c r="I74" s="388"/>
      <c r="J74" s="388"/>
      <c r="K74" s="388"/>
      <c r="L74" s="5"/>
    </row>
    <row r="75" spans="1:12">
      <c r="A75" s="388"/>
      <c r="B75" s="388"/>
      <c r="C75" s="388"/>
      <c r="D75" s="388"/>
      <c r="E75" s="388"/>
      <c r="F75" s="388"/>
      <c r="G75" s="388"/>
      <c r="H75" s="388"/>
      <c r="I75" s="388"/>
      <c r="J75" s="388"/>
      <c r="K75" s="388"/>
      <c r="L75" s="5"/>
    </row>
  </sheetData>
  <mergeCells count="1">
    <mergeCell ref="I1:L1"/>
  </mergeCells>
  <phoneticPr fontId="0" type="noConversion"/>
  <dataValidations count="1">
    <dataValidation type="date" operator="greaterThan" allowBlank="1" showInputMessage="1" showErrorMessage="1" prompt="Введите дату в формате ЧЧ.ММ.ГГГГ" sqref="D46:E75 IZ46:JA75 SV46:SW75 ACR46:ACS75 AMN46:AMO75 AWJ46:AWK75 BGF46:BGG75 BQB46:BQC75 BZX46:BZY75 CJT46:CJU75 CTP46:CTQ75 DDL46:DDM75 DNH46:DNI75 DXD46:DXE75 EGZ46:EHA75 EQV46:EQW75 FAR46:FAS75 FKN46:FKO75 FUJ46:FUK75 GEF46:GEG75 GOB46:GOC75 GXX46:GXY75 HHT46:HHU75 HRP46:HRQ75 IBL46:IBM75 ILH46:ILI75 IVD46:IVE75 JEZ46:JFA75 JOV46:JOW75 JYR46:JYS75 KIN46:KIO75 KSJ46:KSK75 LCF46:LCG75 LMB46:LMC75 LVX46:LVY75 MFT46:MFU75 MPP46:MPQ75 MZL46:MZM75 NJH46:NJI75 NTD46:NTE75 OCZ46:ODA75 OMV46:OMW75 OWR46:OWS75 PGN46:PGO75 PQJ46:PQK75 QAF46:QAG75 QKB46:QKC75 QTX46:QTY75 RDT46:RDU75 RNP46:RNQ75 RXL46:RXM75 SHH46:SHI75 SRD46:SRE75 TAZ46:TBA75 TKV46:TKW75 TUR46:TUS75 UEN46:UEO75 UOJ46:UOK75 UYF46:UYG75 VIB46:VIC75 VRX46:VRY75 WBT46:WBU75 WLP46:WLQ75 WVL46:WVM75 D65582:E65611 IZ65582:JA65611 SV65582:SW65611 ACR65582:ACS65611 AMN65582:AMO65611 AWJ65582:AWK65611 BGF65582:BGG65611 BQB65582:BQC65611 BZX65582:BZY65611 CJT65582:CJU65611 CTP65582:CTQ65611 DDL65582:DDM65611 DNH65582:DNI65611 DXD65582:DXE65611 EGZ65582:EHA65611 EQV65582:EQW65611 FAR65582:FAS65611 FKN65582:FKO65611 FUJ65582:FUK65611 GEF65582:GEG65611 GOB65582:GOC65611 GXX65582:GXY65611 HHT65582:HHU65611 HRP65582:HRQ65611 IBL65582:IBM65611 ILH65582:ILI65611 IVD65582:IVE65611 JEZ65582:JFA65611 JOV65582:JOW65611 JYR65582:JYS65611 KIN65582:KIO65611 KSJ65582:KSK65611 LCF65582:LCG65611 LMB65582:LMC65611 LVX65582:LVY65611 MFT65582:MFU65611 MPP65582:MPQ65611 MZL65582:MZM65611 NJH65582:NJI65611 NTD65582:NTE65611 OCZ65582:ODA65611 OMV65582:OMW65611 OWR65582:OWS65611 PGN65582:PGO65611 PQJ65582:PQK65611 QAF65582:QAG65611 QKB65582:QKC65611 QTX65582:QTY65611 RDT65582:RDU65611 RNP65582:RNQ65611 RXL65582:RXM65611 SHH65582:SHI65611 SRD65582:SRE65611 TAZ65582:TBA65611 TKV65582:TKW65611 TUR65582:TUS65611 UEN65582:UEO65611 UOJ65582:UOK65611 UYF65582:UYG65611 VIB65582:VIC65611 VRX65582:VRY65611 WBT65582:WBU65611 WLP65582:WLQ65611 WVL65582:WVM65611 D131118:E131147 IZ131118:JA131147 SV131118:SW131147 ACR131118:ACS131147 AMN131118:AMO131147 AWJ131118:AWK131147 BGF131118:BGG131147 BQB131118:BQC131147 BZX131118:BZY131147 CJT131118:CJU131147 CTP131118:CTQ131147 DDL131118:DDM131147 DNH131118:DNI131147 DXD131118:DXE131147 EGZ131118:EHA131147 EQV131118:EQW131147 FAR131118:FAS131147 FKN131118:FKO131147 FUJ131118:FUK131147 GEF131118:GEG131147 GOB131118:GOC131147 GXX131118:GXY131147 HHT131118:HHU131147 HRP131118:HRQ131147 IBL131118:IBM131147 ILH131118:ILI131147 IVD131118:IVE131147 JEZ131118:JFA131147 JOV131118:JOW131147 JYR131118:JYS131147 KIN131118:KIO131147 KSJ131118:KSK131147 LCF131118:LCG131147 LMB131118:LMC131147 LVX131118:LVY131147 MFT131118:MFU131147 MPP131118:MPQ131147 MZL131118:MZM131147 NJH131118:NJI131147 NTD131118:NTE131147 OCZ131118:ODA131147 OMV131118:OMW131147 OWR131118:OWS131147 PGN131118:PGO131147 PQJ131118:PQK131147 QAF131118:QAG131147 QKB131118:QKC131147 QTX131118:QTY131147 RDT131118:RDU131147 RNP131118:RNQ131147 RXL131118:RXM131147 SHH131118:SHI131147 SRD131118:SRE131147 TAZ131118:TBA131147 TKV131118:TKW131147 TUR131118:TUS131147 UEN131118:UEO131147 UOJ131118:UOK131147 UYF131118:UYG131147 VIB131118:VIC131147 VRX131118:VRY131147 WBT131118:WBU131147 WLP131118:WLQ131147 WVL131118:WVM131147 D196654:E196683 IZ196654:JA196683 SV196654:SW196683 ACR196654:ACS196683 AMN196654:AMO196683 AWJ196654:AWK196683 BGF196654:BGG196683 BQB196654:BQC196683 BZX196654:BZY196683 CJT196654:CJU196683 CTP196654:CTQ196683 DDL196654:DDM196683 DNH196654:DNI196683 DXD196654:DXE196683 EGZ196654:EHA196683 EQV196654:EQW196683 FAR196654:FAS196683 FKN196654:FKO196683 FUJ196654:FUK196683 GEF196654:GEG196683 GOB196654:GOC196683 GXX196654:GXY196683 HHT196654:HHU196683 HRP196654:HRQ196683 IBL196654:IBM196683 ILH196654:ILI196683 IVD196654:IVE196683 JEZ196654:JFA196683 JOV196654:JOW196683 JYR196654:JYS196683 KIN196654:KIO196683 KSJ196654:KSK196683 LCF196654:LCG196683 LMB196654:LMC196683 LVX196654:LVY196683 MFT196654:MFU196683 MPP196654:MPQ196683 MZL196654:MZM196683 NJH196654:NJI196683 NTD196654:NTE196683 OCZ196654:ODA196683 OMV196654:OMW196683 OWR196654:OWS196683 PGN196654:PGO196683 PQJ196654:PQK196683 QAF196654:QAG196683 QKB196654:QKC196683 QTX196654:QTY196683 RDT196654:RDU196683 RNP196654:RNQ196683 RXL196654:RXM196683 SHH196654:SHI196683 SRD196654:SRE196683 TAZ196654:TBA196683 TKV196654:TKW196683 TUR196654:TUS196683 UEN196654:UEO196683 UOJ196654:UOK196683 UYF196654:UYG196683 VIB196654:VIC196683 VRX196654:VRY196683 WBT196654:WBU196683 WLP196654:WLQ196683 WVL196654:WVM196683 D262190:E262219 IZ262190:JA262219 SV262190:SW262219 ACR262190:ACS262219 AMN262190:AMO262219 AWJ262190:AWK262219 BGF262190:BGG262219 BQB262190:BQC262219 BZX262190:BZY262219 CJT262190:CJU262219 CTP262190:CTQ262219 DDL262190:DDM262219 DNH262190:DNI262219 DXD262190:DXE262219 EGZ262190:EHA262219 EQV262190:EQW262219 FAR262190:FAS262219 FKN262190:FKO262219 FUJ262190:FUK262219 GEF262190:GEG262219 GOB262190:GOC262219 GXX262190:GXY262219 HHT262190:HHU262219 HRP262190:HRQ262219 IBL262190:IBM262219 ILH262190:ILI262219 IVD262190:IVE262219 JEZ262190:JFA262219 JOV262190:JOW262219 JYR262190:JYS262219 KIN262190:KIO262219 KSJ262190:KSK262219 LCF262190:LCG262219 LMB262190:LMC262219 LVX262190:LVY262219 MFT262190:MFU262219 MPP262190:MPQ262219 MZL262190:MZM262219 NJH262190:NJI262219 NTD262190:NTE262219 OCZ262190:ODA262219 OMV262190:OMW262219 OWR262190:OWS262219 PGN262190:PGO262219 PQJ262190:PQK262219 QAF262190:QAG262219 QKB262190:QKC262219 QTX262190:QTY262219 RDT262190:RDU262219 RNP262190:RNQ262219 RXL262190:RXM262219 SHH262190:SHI262219 SRD262190:SRE262219 TAZ262190:TBA262219 TKV262190:TKW262219 TUR262190:TUS262219 UEN262190:UEO262219 UOJ262190:UOK262219 UYF262190:UYG262219 VIB262190:VIC262219 VRX262190:VRY262219 WBT262190:WBU262219 WLP262190:WLQ262219 WVL262190:WVM262219 D327726:E327755 IZ327726:JA327755 SV327726:SW327755 ACR327726:ACS327755 AMN327726:AMO327755 AWJ327726:AWK327755 BGF327726:BGG327755 BQB327726:BQC327755 BZX327726:BZY327755 CJT327726:CJU327755 CTP327726:CTQ327755 DDL327726:DDM327755 DNH327726:DNI327755 DXD327726:DXE327755 EGZ327726:EHA327755 EQV327726:EQW327755 FAR327726:FAS327755 FKN327726:FKO327755 FUJ327726:FUK327755 GEF327726:GEG327755 GOB327726:GOC327755 GXX327726:GXY327755 HHT327726:HHU327755 HRP327726:HRQ327755 IBL327726:IBM327755 ILH327726:ILI327755 IVD327726:IVE327755 JEZ327726:JFA327755 JOV327726:JOW327755 JYR327726:JYS327755 KIN327726:KIO327755 KSJ327726:KSK327755 LCF327726:LCG327755 LMB327726:LMC327755 LVX327726:LVY327755 MFT327726:MFU327755 MPP327726:MPQ327755 MZL327726:MZM327755 NJH327726:NJI327755 NTD327726:NTE327755 OCZ327726:ODA327755 OMV327726:OMW327755 OWR327726:OWS327755 PGN327726:PGO327755 PQJ327726:PQK327755 QAF327726:QAG327755 QKB327726:QKC327755 QTX327726:QTY327755 RDT327726:RDU327755 RNP327726:RNQ327755 RXL327726:RXM327755 SHH327726:SHI327755 SRD327726:SRE327755 TAZ327726:TBA327755 TKV327726:TKW327755 TUR327726:TUS327755 UEN327726:UEO327755 UOJ327726:UOK327755 UYF327726:UYG327755 VIB327726:VIC327755 VRX327726:VRY327755 WBT327726:WBU327755 WLP327726:WLQ327755 WVL327726:WVM327755 D393262:E393291 IZ393262:JA393291 SV393262:SW393291 ACR393262:ACS393291 AMN393262:AMO393291 AWJ393262:AWK393291 BGF393262:BGG393291 BQB393262:BQC393291 BZX393262:BZY393291 CJT393262:CJU393291 CTP393262:CTQ393291 DDL393262:DDM393291 DNH393262:DNI393291 DXD393262:DXE393291 EGZ393262:EHA393291 EQV393262:EQW393291 FAR393262:FAS393291 FKN393262:FKO393291 FUJ393262:FUK393291 GEF393262:GEG393291 GOB393262:GOC393291 GXX393262:GXY393291 HHT393262:HHU393291 HRP393262:HRQ393291 IBL393262:IBM393291 ILH393262:ILI393291 IVD393262:IVE393291 JEZ393262:JFA393291 JOV393262:JOW393291 JYR393262:JYS393291 KIN393262:KIO393291 KSJ393262:KSK393291 LCF393262:LCG393291 LMB393262:LMC393291 LVX393262:LVY393291 MFT393262:MFU393291 MPP393262:MPQ393291 MZL393262:MZM393291 NJH393262:NJI393291 NTD393262:NTE393291 OCZ393262:ODA393291 OMV393262:OMW393291 OWR393262:OWS393291 PGN393262:PGO393291 PQJ393262:PQK393291 QAF393262:QAG393291 QKB393262:QKC393291 QTX393262:QTY393291 RDT393262:RDU393291 RNP393262:RNQ393291 RXL393262:RXM393291 SHH393262:SHI393291 SRD393262:SRE393291 TAZ393262:TBA393291 TKV393262:TKW393291 TUR393262:TUS393291 UEN393262:UEO393291 UOJ393262:UOK393291 UYF393262:UYG393291 VIB393262:VIC393291 VRX393262:VRY393291 WBT393262:WBU393291 WLP393262:WLQ393291 WVL393262:WVM393291 D458798:E458827 IZ458798:JA458827 SV458798:SW458827 ACR458798:ACS458827 AMN458798:AMO458827 AWJ458798:AWK458827 BGF458798:BGG458827 BQB458798:BQC458827 BZX458798:BZY458827 CJT458798:CJU458827 CTP458798:CTQ458827 DDL458798:DDM458827 DNH458798:DNI458827 DXD458798:DXE458827 EGZ458798:EHA458827 EQV458798:EQW458827 FAR458798:FAS458827 FKN458798:FKO458827 FUJ458798:FUK458827 GEF458798:GEG458827 GOB458798:GOC458827 GXX458798:GXY458827 HHT458798:HHU458827 HRP458798:HRQ458827 IBL458798:IBM458827 ILH458798:ILI458827 IVD458798:IVE458827 JEZ458798:JFA458827 JOV458798:JOW458827 JYR458798:JYS458827 KIN458798:KIO458827 KSJ458798:KSK458827 LCF458798:LCG458827 LMB458798:LMC458827 LVX458798:LVY458827 MFT458798:MFU458827 MPP458798:MPQ458827 MZL458798:MZM458827 NJH458798:NJI458827 NTD458798:NTE458827 OCZ458798:ODA458827 OMV458798:OMW458827 OWR458798:OWS458827 PGN458798:PGO458827 PQJ458798:PQK458827 QAF458798:QAG458827 QKB458798:QKC458827 QTX458798:QTY458827 RDT458798:RDU458827 RNP458798:RNQ458827 RXL458798:RXM458827 SHH458798:SHI458827 SRD458798:SRE458827 TAZ458798:TBA458827 TKV458798:TKW458827 TUR458798:TUS458827 UEN458798:UEO458827 UOJ458798:UOK458827 UYF458798:UYG458827 VIB458798:VIC458827 VRX458798:VRY458827 WBT458798:WBU458827 WLP458798:WLQ458827 WVL458798:WVM458827 D524334:E524363 IZ524334:JA524363 SV524334:SW524363 ACR524334:ACS524363 AMN524334:AMO524363 AWJ524334:AWK524363 BGF524334:BGG524363 BQB524334:BQC524363 BZX524334:BZY524363 CJT524334:CJU524363 CTP524334:CTQ524363 DDL524334:DDM524363 DNH524334:DNI524363 DXD524334:DXE524363 EGZ524334:EHA524363 EQV524334:EQW524363 FAR524334:FAS524363 FKN524334:FKO524363 FUJ524334:FUK524363 GEF524334:GEG524363 GOB524334:GOC524363 GXX524334:GXY524363 HHT524334:HHU524363 HRP524334:HRQ524363 IBL524334:IBM524363 ILH524334:ILI524363 IVD524334:IVE524363 JEZ524334:JFA524363 JOV524334:JOW524363 JYR524334:JYS524363 KIN524334:KIO524363 KSJ524334:KSK524363 LCF524334:LCG524363 LMB524334:LMC524363 LVX524334:LVY524363 MFT524334:MFU524363 MPP524334:MPQ524363 MZL524334:MZM524363 NJH524334:NJI524363 NTD524334:NTE524363 OCZ524334:ODA524363 OMV524334:OMW524363 OWR524334:OWS524363 PGN524334:PGO524363 PQJ524334:PQK524363 QAF524334:QAG524363 QKB524334:QKC524363 QTX524334:QTY524363 RDT524334:RDU524363 RNP524334:RNQ524363 RXL524334:RXM524363 SHH524334:SHI524363 SRD524334:SRE524363 TAZ524334:TBA524363 TKV524334:TKW524363 TUR524334:TUS524363 UEN524334:UEO524363 UOJ524334:UOK524363 UYF524334:UYG524363 VIB524334:VIC524363 VRX524334:VRY524363 WBT524334:WBU524363 WLP524334:WLQ524363 WVL524334:WVM524363 D589870:E589899 IZ589870:JA589899 SV589870:SW589899 ACR589870:ACS589899 AMN589870:AMO589899 AWJ589870:AWK589899 BGF589870:BGG589899 BQB589870:BQC589899 BZX589870:BZY589899 CJT589870:CJU589899 CTP589870:CTQ589899 DDL589870:DDM589899 DNH589870:DNI589899 DXD589870:DXE589899 EGZ589870:EHA589899 EQV589870:EQW589899 FAR589870:FAS589899 FKN589870:FKO589899 FUJ589870:FUK589899 GEF589870:GEG589899 GOB589870:GOC589899 GXX589870:GXY589899 HHT589870:HHU589899 HRP589870:HRQ589899 IBL589870:IBM589899 ILH589870:ILI589899 IVD589870:IVE589899 JEZ589870:JFA589899 JOV589870:JOW589899 JYR589870:JYS589899 KIN589870:KIO589899 KSJ589870:KSK589899 LCF589870:LCG589899 LMB589870:LMC589899 LVX589870:LVY589899 MFT589870:MFU589899 MPP589870:MPQ589899 MZL589870:MZM589899 NJH589870:NJI589899 NTD589870:NTE589899 OCZ589870:ODA589899 OMV589870:OMW589899 OWR589870:OWS589899 PGN589870:PGO589899 PQJ589870:PQK589899 QAF589870:QAG589899 QKB589870:QKC589899 QTX589870:QTY589899 RDT589870:RDU589899 RNP589870:RNQ589899 RXL589870:RXM589899 SHH589870:SHI589899 SRD589870:SRE589899 TAZ589870:TBA589899 TKV589870:TKW589899 TUR589870:TUS589899 UEN589870:UEO589899 UOJ589870:UOK589899 UYF589870:UYG589899 VIB589870:VIC589899 VRX589870:VRY589899 WBT589870:WBU589899 WLP589870:WLQ589899 WVL589870:WVM589899 D655406:E655435 IZ655406:JA655435 SV655406:SW655435 ACR655406:ACS655435 AMN655406:AMO655435 AWJ655406:AWK655435 BGF655406:BGG655435 BQB655406:BQC655435 BZX655406:BZY655435 CJT655406:CJU655435 CTP655406:CTQ655435 DDL655406:DDM655435 DNH655406:DNI655435 DXD655406:DXE655435 EGZ655406:EHA655435 EQV655406:EQW655435 FAR655406:FAS655435 FKN655406:FKO655435 FUJ655406:FUK655435 GEF655406:GEG655435 GOB655406:GOC655435 GXX655406:GXY655435 HHT655406:HHU655435 HRP655406:HRQ655435 IBL655406:IBM655435 ILH655406:ILI655435 IVD655406:IVE655435 JEZ655406:JFA655435 JOV655406:JOW655435 JYR655406:JYS655435 KIN655406:KIO655435 KSJ655406:KSK655435 LCF655406:LCG655435 LMB655406:LMC655435 LVX655406:LVY655435 MFT655406:MFU655435 MPP655406:MPQ655435 MZL655406:MZM655435 NJH655406:NJI655435 NTD655406:NTE655435 OCZ655406:ODA655435 OMV655406:OMW655435 OWR655406:OWS655435 PGN655406:PGO655435 PQJ655406:PQK655435 QAF655406:QAG655435 QKB655406:QKC655435 QTX655406:QTY655435 RDT655406:RDU655435 RNP655406:RNQ655435 RXL655406:RXM655435 SHH655406:SHI655435 SRD655406:SRE655435 TAZ655406:TBA655435 TKV655406:TKW655435 TUR655406:TUS655435 UEN655406:UEO655435 UOJ655406:UOK655435 UYF655406:UYG655435 VIB655406:VIC655435 VRX655406:VRY655435 WBT655406:WBU655435 WLP655406:WLQ655435 WVL655406:WVM655435 D720942:E720971 IZ720942:JA720971 SV720942:SW720971 ACR720942:ACS720971 AMN720942:AMO720971 AWJ720942:AWK720971 BGF720942:BGG720971 BQB720942:BQC720971 BZX720942:BZY720971 CJT720942:CJU720971 CTP720942:CTQ720971 DDL720942:DDM720971 DNH720942:DNI720971 DXD720942:DXE720971 EGZ720942:EHA720971 EQV720942:EQW720971 FAR720942:FAS720971 FKN720942:FKO720971 FUJ720942:FUK720971 GEF720942:GEG720971 GOB720942:GOC720971 GXX720942:GXY720971 HHT720942:HHU720971 HRP720942:HRQ720971 IBL720942:IBM720971 ILH720942:ILI720971 IVD720942:IVE720971 JEZ720942:JFA720971 JOV720942:JOW720971 JYR720942:JYS720971 KIN720942:KIO720971 KSJ720942:KSK720971 LCF720942:LCG720971 LMB720942:LMC720971 LVX720942:LVY720971 MFT720942:MFU720971 MPP720942:MPQ720971 MZL720942:MZM720971 NJH720942:NJI720971 NTD720942:NTE720971 OCZ720942:ODA720971 OMV720942:OMW720971 OWR720942:OWS720971 PGN720942:PGO720971 PQJ720942:PQK720971 QAF720942:QAG720971 QKB720942:QKC720971 QTX720942:QTY720971 RDT720942:RDU720971 RNP720942:RNQ720971 RXL720942:RXM720971 SHH720942:SHI720971 SRD720942:SRE720971 TAZ720942:TBA720971 TKV720942:TKW720971 TUR720942:TUS720971 UEN720942:UEO720971 UOJ720942:UOK720971 UYF720942:UYG720971 VIB720942:VIC720971 VRX720942:VRY720971 WBT720942:WBU720971 WLP720942:WLQ720971 WVL720942:WVM720971 D786478:E786507 IZ786478:JA786507 SV786478:SW786507 ACR786478:ACS786507 AMN786478:AMO786507 AWJ786478:AWK786507 BGF786478:BGG786507 BQB786478:BQC786507 BZX786478:BZY786507 CJT786478:CJU786507 CTP786478:CTQ786507 DDL786478:DDM786507 DNH786478:DNI786507 DXD786478:DXE786507 EGZ786478:EHA786507 EQV786478:EQW786507 FAR786478:FAS786507 FKN786478:FKO786507 FUJ786478:FUK786507 GEF786478:GEG786507 GOB786478:GOC786507 GXX786478:GXY786507 HHT786478:HHU786507 HRP786478:HRQ786507 IBL786478:IBM786507 ILH786478:ILI786507 IVD786478:IVE786507 JEZ786478:JFA786507 JOV786478:JOW786507 JYR786478:JYS786507 KIN786478:KIO786507 KSJ786478:KSK786507 LCF786478:LCG786507 LMB786478:LMC786507 LVX786478:LVY786507 MFT786478:MFU786507 MPP786478:MPQ786507 MZL786478:MZM786507 NJH786478:NJI786507 NTD786478:NTE786507 OCZ786478:ODA786507 OMV786478:OMW786507 OWR786478:OWS786507 PGN786478:PGO786507 PQJ786478:PQK786507 QAF786478:QAG786507 QKB786478:QKC786507 QTX786478:QTY786507 RDT786478:RDU786507 RNP786478:RNQ786507 RXL786478:RXM786507 SHH786478:SHI786507 SRD786478:SRE786507 TAZ786478:TBA786507 TKV786478:TKW786507 TUR786478:TUS786507 UEN786478:UEO786507 UOJ786478:UOK786507 UYF786478:UYG786507 VIB786478:VIC786507 VRX786478:VRY786507 WBT786478:WBU786507 WLP786478:WLQ786507 WVL786478:WVM786507 D852014:E852043 IZ852014:JA852043 SV852014:SW852043 ACR852014:ACS852043 AMN852014:AMO852043 AWJ852014:AWK852043 BGF852014:BGG852043 BQB852014:BQC852043 BZX852014:BZY852043 CJT852014:CJU852043 CTP852014:CTQ852043 DDL852014:DDM852043 DNH852014:DNI852043 DXD852014:DXE852043 EGZ852014:EHA852043 EQV852014:EQW852043 FAR852014:FAS852043 FKN852014:FKO852043 FUJ852014:FUK852043 GEF852014:GEG852043 GOB852014:GOC852043 GXX852014:GXY852043 HHT852014:HHU852043 HRP852014:HRQ852043 IBL852014:IBM852043 ILH852014:ILI852043 IVD852014:IVE852043 JEZ852014:JFA852043 JOV852014:JOW852043 JYR852014:JYS852043 KIN852014:KIO852043 KSJ852014:KSK852043 LCF852014:LCG852043 LMB852014:LMC852043 LVX852014:LVY852043 MFT852014:MFU852043 MPP852014:MPQ852043 MZL852014:MZM852043 NJH852014:NJI852043 NTD852014:NTE852043 OCZ852014:ODA852043 OMV852014:OMW852043 OWR852014:OWS852043 PGN852014:PGO852043 PQJ852014:PQK852043 QAF852014:QAG852043 QKB852014:QKC852043 QTX852014:QTY852043 RDT852014:RDU852043 RNP852014:RNQ852043 RXL852014:RXM852043 SHH852014:SHI852043 SRD852014:SRE852043 TAZ852014:TBA852043 TKV852014:TKW852043 TUR852014:TUS852043 UEN852014:UEO852043 UOJ852014:UOK852043 UYF852014:UYG852043 VIB852014:VIC852043 VRX852014:VRY852043 WBT852014:WBU852043 WLP852014:WLQ852043 WVL852014:WVM852043 D917550:E917579 IZ917550:JA917579 SV917550:SW917579 ACR917550:ACS917579 AMN917550:AMO917579 AWJ917550:AWK917579 BGF917550:BGG917579 BQB917550:BQC917579 BZX917550:BZY917579 CJT917550:CJU917579 CTP917550:CTQ917579 DDL917550:DDM917579 DNH917550:DNI917579 DXD917550:DXE917579 EGZ917550:EHA917579 EQV917550:EQW917579 FAR917550:FAS917579 FKN917550:FKO917579 FUJ917550:FUK917579 GEF917550:GEG917579 GOB917550:GOC917579 GXX917550:GXY917579 HHT917550:HHU917579 HRP917550:HRQ917579 IBL917550:IBM917579 ILH917550:ILI917579 IVD917550:IVE917579 JEZ917550:JFA917579 JOV917550:JOW917579 JYR917550:JYS917579 KIN917550:KIO917579 KSJ917550:KSK917579 LCF917550:LCG917579 LMB917550:LMC917579 LVX917550:LVY917579 MFT917550:MFU917579 MPP917550:MPQ917579 MZL917550:MZM917579 NJH917550:NJI917579 NTD917550:NTE917579 OCZ917550:ODA917579 OMV917550:OMW917579 OWR917550:OWS917579 PGN917550:PGO917579 PQJ917550:PQK917579 QAF917550:QAG917579 QKB917550:QKC917579 QTX917550:QTY917579 RDT917550:RDU917579 RNP917550:RNQ917579 RXL917550:RXM917579 SHH917550:SHI917579 SRD917550:SRE917579 TAZ917550:TBA917579 TKV917550:TKW917579 TUR917550:TUS917579 UEN917550:UEO917579 UOJ917550:UOK917579 UYF917550:UYG917579 VIB917550:VIC917579 VRX917550:VRY917579 WBT917550:WBU917579 WLP917550:WLQ917579 WVL917550:WVM917579 D983086:E983115 IZ983086:JA983115 SV983086:SW983115 ACR983086:ACS983115 AMN983086:AMO983115 AWJ983086:AWK983115 BGF983086:BGG983115 BQB983086:BQC983115 BZX983086:BZY983115 CJT983086:CJU983115 CTP983086:CTQ983115 DDL983086:DDM983115 DNH983086:DNI983115 DXD983086:DXE983115 EGZ983086:EHA983115 EQV983086:EQW983115 FAR983086:FAS983115 FKN983086:FKO983115 FUJ983086:FUK983115 GEF983086:GEG983115 GOB983086:GOC983115 GXX983086:GXY983115 HHT983086:HHU983115 HRP983086:HRQ983115 IBL983086:IBM983115 ILH983086:ILI983115 IVD983086:IVE983115 JEZ983086:JFA983115 JOV983086:JOW983115 JYR983086:JYS983115 KIN983086:KIO983115 KSJ983086:KSK983115 LCF983086:LCG983115 LMB983086:LMC983115 LVX983086:LVY983115 MFT983086:MFU983115 MPP983086:MPQ983115 MZL983086:MZM983115 NJH983086:NJI983115 NTD983086:NTE983115 OCZ983086:ODA983115 OMV983086:OMW983115 OWR983086:OWS983115 PGN983086:PGO983115 PQJ983086:PQK983115 QAF983086:QAG983115 QKB983086:QKC983115 QTX983086:QTY983115 RDT983086:RDU983115 RNP983086:RNQ983115 RXL983086:RXM983115 SHH983086:SHI983115 SRD983086:SRE983115 TAZ983086:TBA983115 TKV983086:TKW983115 TUR983086:TUS983115 UEN983086:UEO983115 UOJ983086:UOK983115 UYF983086:UYG983115 VIB983086:VIC983115 VRX983086:VRY983115 WBT983086:WBU983115 WLP983086:WLQ983115 WVL983086:WVM983115">
      <formula1>DATE(50,1,1)</formula1>
    </dataValidation>
  </dataValidations>
  <pageMargins left="0.75" right="0.75" top="0.46" bottom="0.41" header="0.19" footer="0.19"/>
  <pageSetup paperSize="9" scale="85" orientation="landscape" r:id="rId1"/>
  <headerFooter alignWithMargins="0"/>
</worksheet>
</file>

<file path=xl/worksheets/sheet14.xml><?xml version="1.0" encoding="utf-8"?>
<worksheet xmlns="http://schemas.openxmlformats.org/spreadsheetml/2006/main" xmlns:r="http://schemas.openxmlformats.org/officeDocument/2006/relationships">
  <sheetPr codeName="Лист13"/>
  <dimension ref="A1:G33"/>
  <sheetViews>
    <sheetView topLeftCell="A18" workbookViewId="0">
      <selection sqref="A1:XFD1048576"/>
    </sheetView>
  </sheetViews>
  <sheetFormatPr defaultColWidth="9.42578125" defaultRowHeight="15.75"/>
  <cols>
    <col min="1" max="1" width="42.42578125" style="25" customWidth="1"/>
    <col min="2" max="2" width="14.7109375" style="25" customWidth="1"/>
    <col min="3" max="3" width="15.140625" style="25" customWidth="1"/>
    <col min="4" max="4" width="14.140625" style="25" customWidth="1"/>
    <col min="5" max="5" width="20.85546875" style="25" customWidth="1"/>
    <col min="6" max="16384" width="9.42578125" style="25"/>
  </cols>
  <sheetData>
    <row r="1" spans="1:7" ht="61.5" customHeight="1">
      <c r="D1" s="984" t="s">
        <v>2277</v>
      </c>
      <c r="E1" s="1005"/>
    </row>
    <row r="2" spans="1:7" ht="36.75" customHeight="1">
      <c r="A2" s="1000" t="s">
        <v>1670</v>
      </c>
      <c r="B2" s="1000"/>
      <c r="C2" s="1000"/>
      <c r="D2" s="1000"/>
      <c r="E2" s="710" t="s">
        <v>2674</v>
      </c>
      <c r="F2" s="134"/>
      <c r="G2" s="134"/>
    </row>
    <row r="3" spans="1:7" ht="12.75" customHeight="1">
      <c r="A3" s="37" t="s">
        <v>269</v>
      </c>
      <c r="B3" s="1001" t="s">
        <v>379</v>
      </c>
      <c r="C3" s="1002"/>
      <c r="D3" s="1001"/>
      <c r="E3" s="1002"/>
    </row>
    <row r="4" spans="1:7" ht="16.5" thickBot="1">
      <c r="A4" s="140" t="s">
        <v>1217</v>
      </c>
      <c r="B4" s="44"/>
      <c r="C4" s="44"/>
      <c r="D4" s="141" t="s">
        <v>678</v>
      </c>
      <c r="E4" s="142"/>
    </row>
    <row r="5" spans="1:7" s="136" customFormat="1" ht="16.5" customHeight="1" thickBot="1">
      <c r="A5" s="143"/>
      <c r="B5" s="144" t="s">
        <v>1218</v>
      </c>
      <c r="C5" s="145"/>
      <c r="D5" s="144" t="s">
        <v>1219</v>
      </c>
      <c r="E5" s="146"/>
    </row>
    <row r="6" spans="1:7" s="136" customFormat="1" ht="48" thickBot="1">
      <c r="A6" s="147"/>
      <c r="B6" s="148" t="s">
        <v>2025</v>
      </c>
      <c r="C6" s="148" t="s">
        <v>2026</v>
      </c>
      <c r="D6" s="148" t="s">
        <v>2025</v>
      </c>
      <c r="E6" s="148" t="s">
        <v>2026</v>
      </c>
    </row>
    <row r="7" spans="1:7" s="136" customFormat="1" ht="16.5" thickBot="1">
      <c r="A7" s="148" t="s">
        <v>1481</v>
      </c>
      <c r="B7" s="148" t="s">
        <v>700</v>
      </c>
      <c r="C7" s="148" t="s">
        <v>675</v>
      </c>
      <c r="D7" s="148" t="s">
        <v>676</v>
      </c>
      <c r="E7" s="148" t="s">
        <v>731</v>
      </c>
    </row>
    <row r="8" spans="1:7">
      <c r="A8" s="149" t="s">
        <v>2027</v>
      </c>
      <c r="B8" s="150"/>
      <c r="C8" s="150"/>
      <c r="D8" s="150"/>
      <c r="E8" s="300"/>
    </row>
    <row r="9" spans="1:7">
      <c r="A9" s="149" t="s">
        <v>2028</v>
      </c>
      <c r="B9" s="150"/>
      <c r="C9" s="150"/>
      <c r="D9" s="150"/>
      <c r="E9" s="300"/>
    </row>
    <row r="10" spans="1:7" ht="16.5" customHeight="1">
      <c r="A10" s="149" t="s">
        <v>2029</v>
      </c>
      <c r="B10" s="150"/>
      <c r="C10" s="150"/>
      <c r="D10" s="150"/>
      <c r="E10" s="300"/>
    </row>
    <row r="11" spans="1:7">
      <c r="A11" s="149" t="s">
        <v>2030</v>
      </c>
      <c r="B11" s="150"/>
      <c r="C11" s="150"/>
      <c r="D11" s="150"/>
      <c r="E11" s="300"/>
    </row>
    <row r="12" spans="1:7">
      <c r="A12" s="149" t="s">
        <v>2031</v>
      </c>
      <c r="B12" s="150"/>
      <c r="C12" s="150"/>
      <c r="D12" s="150"/>
      <c r="E12" s="300"/>
    </row>
    <row r="13" spans="1:7">
      <c r="A13" s="151" t="s">
        <v>2032</v>
      </c>
      <c r="B13" s="150"/>
      <c r="C13" s="150"/>
      <c r="D13" s="150"/>
      <c r="E13" s="300"/>
    </row>
    <row r="14" spans="1:7" ht="13.5" customHeight="1">
      <c r="A14" s="149" t="s">
        <v>1823</v>
      </c>
      <c r="B14" s="150"/>
      <c r="C14" s="150"/>
      <c r="D14" s="150"/>
      <c r="E14" s="300"/>
    </row>
    <row r="15" spans="1:7" ht="13.5" customHeight="1" thickBot="1">
      <c r="A15" s="152" t="s">
        <v>1824</v>
      </c>
      <c r="B15" s="150"/>
      <c r="C15" s="150"/>
      <c r="D15" s="150"/>
      <c r="E15" s="300"/>
    </row>
    <row r="16" spans="1:7" ht="16.5" thickBot="1">
      <c r="A16" s="125" t="s">
        <v>1825</v>
      </c>
      <c r="B16" s="153">
        <v>0</v>
      </c>
      <c r="C16" s="153">
        <v>0</v>
      </c>
      <c r="D16" s="153">
        <v>0</v>
      </c>
      <c r="E16" s="301">
        <v>0</v>
      </c>
    </row>
    <row r="17" spans="1:6">
      <c r="A17" s="44"/>
      <c r="B17" s="138"/>
      <c r="C17" s="138"/>
      <c r="D17" s="138"/>
      <c r="E17" s="138"/>
    </row>
    <row r="18" spans="1:6">
      <c r="A18" s="138"/>
      <c r="B18" s="138"/>
      <c r="C18" s="138"/>
      <c r="D18" s="44"/>
      <c r="E18" s="44"/>
    </row>
    <row r="19" spans="1:6">
      <c r="A19" s="44"/>
      <c r="B19" s="44"/>
      <c r="C19" s="44"/>
      <c r="D19" s="44"/>
      <c r="E19" s="44"/>
    </row>
    <row r="20" spans="1:6">
      <c r="A20" s="154" t="s">
        <v>1826</v>
      </c>
      <c r="B20" s="138"/>
      <c r="C20" s="138"/>
      <c r="D20" s="138"/>
      <c r="E20" s="138"/>
    </row>
    <row r="21" spans="1:6" ht="16.5" thickBot="1">
      <c r="A21" s="296" t="s">
        <v>616</v>
      </c>
      <c r="B21" s="154"/>
      <c r="C21" s="138"/>
      <c r="D21" s="138"/>
      <c r="E21" s="44"/>
      <c r="F21" s="37"/>
    </row>
    <row r="22" spans="1:6" ht="32.25" customHeight="1">
      <c r="A22" s="297" t="s">
        <v>617</v>
      </c>
      <c r="B22" s="298"/>
      <c r="C22" s="449" t="s">
        <v>2205</v>
      </c>
      <c r="D22" s="295"/>
      <c r="E22" s="138"/>
    </row>
    <row r="23" spans="1:6">
      <c r="A23" s="168" t="s">
        <v>618</v>
      </c>
      <c r="B23" s="43"/>
      <c r="C23" s="457">
        <v>0</v>
      </c>
      <c r="D23" s="295"/>
      <c r="E23" s="138"/>
    </row>
    <row r="24" spans="1:6">
      <c r="A24" s="168" t="s">
        <v>215</v>
      </c>
      <c r="B24" s="43"/>
      <c r="C24" s="458">
        <v>0</v>
      </c>
      <c r="D24" s="295"/>
      <c r="E24" s="138"/>
    </row>
    <row r="25" spans="1:6" ht="29.25" customHeight="1">
      <c r="A25" s="1003" t="s">
        <v>1362</v>
      </c>
      <c r="B25" s="1004"/>
      <c r="C25" s="204" t="s">
        <v>162</v>
      </c>
      <c r="D25" s="295"/>
      <c r="E25" s="138"/>
    </row>
    <row r="26" spans="1:6">
      <c r="A26" s="168" t="s">
        <v>44</v>
      </c>
      <c r="B26" s="43"/>
      <c r="C26" s="204" t="s">
        <v>189</v>
      </c>
      <c r="D26" s="295"/>
      <c r="E26" s="138"/>
    </row>
    <row r="27" spans="1:6" ht="16.5" thickBot="1">
      <c r="A27" s="193" t="s">
        <v>2041</v>
      </c>
      <c r="B27" s="299"/>
      <c r="C27" s="33" t="e">
        <f>C22+C23-C24+C25+C26</f>
        <v>#VALUE!</v>
      </c>
      <c r="D27" s="295"/>
      <c r="E27" s="138"/>
    </row>
    <row r="28" spans="1:6">
      <c r="D28" s="37"/>
    </row>
    <row r="29" spans="1:6">
      <c r="A29" s="34" t="s">
        <v>102</v>
      </c>
    </row>
    <row r="30" spans="1:6">
      <c r="A30" s="34" t="s">
        <v>1198</v>
      </c>
    </row>
    <row r="33" spans="1:2">
      <c r="A33" s="31"/>
      <c r="B33" s="25" t="s">
        <v>96</v>
      </c>
    </row>
  </sheetData>
  <mergeCells count="5">
    <mergeCell ref="A2:D2"/>
    <mergeCell ref="D3:E3"/>
    <mergeCell ref="A25:B25"/>
    <mergeCell ref="D1:E1"/>
    <mergeCell ref="B3:C3"/>
  </mergeCells>
  <phoneticPr fontId="0" type="noConversion"/>
  <dataValidations count="2">
    <dataValidation type="whole" operator="greaterThanOrEqual" allowBlank="1" showInputMessage="1" showErrorMessage="1" prompt="Ввести как положительное число." sqref="C24 IY24 SU24 ACQ24 AMM24 AWI24 BGE24 BQA24 BZW24 CJS24 CTO24 DDK24 DNG24 DXC24 EGY24 EQU24 FAQ24 FKM24 FUI24 GEE24 GOA24 GXW24 HHS24 HRO24 IBK24 ILG24 IVC24 JEY24 JOU24 JYQ24 KIM24 KSI24 LCE24 LMA24 LVW24 MFS24 MPO24 MZK24 NJG24 NTC24 OCY24 OMU24 OWQ24 PGM24 PQI24 QAE24 QKA24 QTW24 RDS24 RNO24 RXK24 SHG24 SRC24 TAY24 TKU24 TUQ24 UEM24 UOI24 UYE24 VIA24 VRW24 WBS24 WLO24 WVK24 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WVK983064">
      <formula1>0</formula1>
    </dataValidation>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B8:E15 IX8:JA15 ST8:SW15 ACP8:ACS15 AML8:AMO15 AWH8:AWK15 BGD8:BGG15 BPZ8:BQC15 BZV8:BZY15 CJR8:CJU15 CTN8:CTQ15 DDJ8:DDM15 DNF8:DNI15 DXB8:DXE15 EGX8:EHA15 EQT8:EQW15 FAP8:FAS15 FKL8:FKO15 FUH8:FUK15 GED8:GEG15 GNZ8:GOC15 GXV8:GXY15 HHR8:HHU15 HRN8:HRQ15 IBJ8:IBM15 ILF8:ILI15 IVB8:IVE15 JEX8:JFA15 JOT8:JOW15 JYP8:JYS15 KIL8:KIO15 KSH8:KSK15 LCD8:LCG15 LLZ8:LMC15 LVV8:LVY15 MFR8:MFU15 MPN8:MPQ15 MZJ8:MZM15 NJF8:NJI15 NTB8:NTE15 OCX8:ODA15 OMT8:OMW15 OWP8:OWS15 PGL8:PGO15 PQH8:PQK15 QAD8:QAG15 QJZ8:QKC15 QTV8:QTY15 RDR8:RDU15 RNN8:RNQ15 RXJ8:RXM15 SHF8:SHI15 SRB8:SRE15 TAX8:TBA15 TKT8:TKW15 TUP8:TUS15 UEL8:UEO15 UOH8:UOK15 UYD8:UYG15 VHZ8:VIC15 VRV8:VRY15 WBR8:WBU15 WLN8:WLQ15 WVJ8:WVM15 B65544:E65551 IX65544:JA65551 ST65544:SW65551 ACP65544:ACS65551 AML65544:AMO65551 AWH65544:AWK65551 BGD65544:BGG65551 BPZ65544:BQC65551 BZV65544:BZY65551 CJR65544:CJU65551 CTN65544:CTQ65551 DDJ65544:DDM65551 DNF65544:DNI65551 DXB65544:DXE65551 EGX65544:EHA65551 EQT65544:EQW65551 FAP65544:FAS65551 FKL65544:FKO65551 FUH65544:FUK65551 GED65544:GEG65551 GNZ65544:GOC65551 GXV65544:GXY65551 HHR65544:HHU65551 HRN65544:HRQ65551 IBJ65544:IBM65551 ILF65544:ILI65551 IVB65544:IVE65551 JEX65544:JFA65551 JOT65544:JOW65551 JYP65544:JYS65551 KIL65544:KIO65551 KSH65544:KSK65551 LCD65544:LCG65551 LLZ65544:LMC65551 LVV65544:LVY65551 MFR65544:MFU65551 MPN65544:MPQ65551 MZJ65544:MZM65551 NJF65544:NJI65551 NTB65544:NTE65551 OCX65544:ODA65551 OMT65544:OMW65551 OWP65544:OWS65551 PGL65544:PGO65551 PQH65544:PQK65551 QAD65544:QAG65551 QJZ65544:QKC65551 QTV65544:QTY65551 RDR65544:RDU65551 RNN65544:RNQ65551 RXJ65544:RXM65551 SHF65544:SHI65551 SRB65544:SRE65551 TAX65544:TBA65551 TKT65544:TKW65551 TUP65544:TUS65551 UEL65544:UEO65551 UOH65544:UOK65551 UYD65544:UYG65551 VHZ65544:VIC65551 VRV65544:VRY65551 WBR65544:WBU65551 WLN65544:WLQ65551 WVJ65544:WVM65551 B131080:E131087 IX131080:JA131087 ST131080:SW131087 ACP131080:ACS131087 AML131080:AMO131087 AWH131080:AWK131087 BGD131080:BGG131087 BPZ131080:BQC131087 BZV131080:BZY131087 CJR131080:CJU131087 CTN131080:CTQ131087 DDJ131080:DDM131087 DNF131080:DNI131087 DXB131080:DXE131087 EGX131080:EHA131087 EQT131080:EQW131087 FAP131080:FAS131087 FKL131080:FKO131087 FUH131080:FUK131087 GED131080:GEG131087 GNZ131080:GOC131087 GXV131080:GXY131087 HHR131080:HHU131087 HRN131080:HRQ131087 IBJ131080:IBM131087 ILF131080:ILI131087 IVB131080:IVE131087 JEX131080:JFA131087 JOT131080:JOW131087 JYP131080:JYS131087 KIL131080:KIO131087 KSH131080:KSK131087 LCD131080:LCG131087 LLZ131080:LMC131087 LVV131080:LVY131087 MFR131080:MFU131087 MPN131080:MPQ131087 MZJ131080:MZM131087 NJF131080:NJI131087 NTB131080:NTE131087 OCX131080:ODA131087 OMT131080:OMW131087 OWP131080:OWS131087 PGL131080:PGO131087 PQH131080:PQK131087 QAD131080:QAG131087 QJZ131080:QKC131087 QTV131080:QTY131087 RDR131080:RDU131087 RNN131080:RNQ131087 RXJ131080:RXM131087 SHF131080:SHI131087 SRB131080:SRE131087 TAX131080:TBA131087 TKT131080:TKW131087 TUP131080:TUS131087 UEL131080:UEO131087 UOH131080:UOK131087 UYD131080:UYG131087 VHZ131080:VIC131087 VRV131080:VRY131087 WBR131080:WBU131087 WLN131080:WLQ131087 WVJ131080:WVM131087 B196616:E196623 IX196616:JA196623 ST196616:SW196623 ACP196616:ACS196623 AML196616:AMO196623 AWH196616:AWK196623 BGD196616:BGG196623 BPZ196616:BQC196623 BZV196616:BZY196623 CJR196616:CJU196623 CTN196616:CTQ196623 DDJ196616:DDM196623 DNF196616:DNI196623 DXB196616:DXE196623 EGX196616:EHA196623 EQT196616:EQW196623 FAP196616:FAS196623 FKL196616:FKO196623 FUH196616:FUK196623 GED196616:GEG196623 GNZ196616:GOC196623 GXV196616:GXY196623 HHR196616:HHU196623 HRN196616:HRQ196623 IBJ196616:IBM196623 ILF196616:ILI196623 IVB196616:IVE196623 JEX196616:JFA196623 JOT196616:JOW196623 JYP196616:JYS196623 KIL196616:KIO196623 KSH196616:KSK196623 LCD196616:LCG196623 LLZ196616:LMC196623 LVV196616:LVY196623 MFR196616:MFU196623 MPN196616:MPQ196623 MZJ196616:MZM196623 NJF196616:NJI196623 NTB196616:NTE196623 OCX196616:ODA196623 OMT196616:OMW196623 OWP196616:OWS196623 PGL196616:PGO196623 PQH196616:PQK196623 QAD196616:QAG196623 QJZ196616:QKC196623 QTV196616:QTY196623 RDR196616:RDU196623 RNN196616:RNQ196623 RXJ196616:RXM196623 SHF196616:SHI196623 SRB196616:SRE196623 TAX196616:TBA196623 TKT196616:TKW196623 TUP196616:TUS196623 UEL196616:UEO196623 UOH196616:UOK196623 UYD196616:UYG196623 VHZ196616:VIC196623 VRV196616:VRY196623 WBR196616:WBU196623 WLN196616:WLQ196623 WVJ196616:WVM196623 B262152:E262159 IX262152:JA262159 ST262152:SW262159 ACP262152:ACS262159 AML262152:AMO262159 AWH262152:AWK262159 BGD262152:BGG262159 BPZ262152:BQC262159 BZV262152:BZY262159 CJR262152:CJU262159 CTN262152:CTQ262159 DDJ262152:DDM262159 DNF262152:DNI262159 DXB262152:DXE262159 EGX262152:EHA262159 EQT262152:EQW262159 FAP262152:FAS262159 FKL262152:FKO262159 FUH262152:FUK262159 GED262152:GEG262159 GNZ262152:GOC262159 GXV262152:GXY262159 HHR262152:HHU262159 HRN262152:HRQ262159 IBJ262152:IBM262159 ILF262152:ILI262159 IVB262152:IVE262159 JEX262152:JFA262159 JOT262152:JOW262159 JYP262152:JYS262159 KIL262152:KIO262159 KSH262152:KSK262159 LCD262152:LCG262159 LLZ262152:LMC262159 LVV262152:LVY262159 MFR262152:MFU262159 MPN262152:MPQ262159 MZJ262152:MZM262159 NJF262152:NJI262159 NTB262152:NTE262159 OCX262152:ODA262159 OMT262152:OMW262159 OWP262152:OWS262159 PGL262152:PGO262159 PQH262152:PQK262159 QAD262152:QAG262159 QJZ262152:QKC262159 QTV262152:QTY262159 RDR262152:RDU262159 RNN262152:RNQ262159 RXJ262152:RXM262159 SHF262152:SHI262159 SRB262152:SRE262159 TAX262152:TBA262159 TKT262152:TKW262159 TUP262152:TUS262159 UEL262152:UEO262159 UOH262152:UOK262159 UYD262152:UYG262159 VHZ262152:VIC262159 VRV262152:VRY262159 WBR262152:WBU262159 WLN262152:WLQ262159 WVJ262152:WVM262159 B327688:E327695 IX327688:JA327695 ST327688:SW327695 ACP327688:ACS327695 AML327688:AMO327695 AWH327688:AWK327695 BGD327688:BGG327695 BPZ327688:BQC327695 BZV327688:BZY327695 CJR327688:CJU327695 CTN327688:CTQ327695 DDJ327688:DDM327695 DNF327688:DNI327695 DXB327688:DXE327695 EGX327688:EHA327695 EQT327688:EQW327695 FAP327688:FAS327695 FKL327688:FKO327695 FUH327688:FUK327695 GED327688:GEG327695 GNZ327688:GOC327695 GXV327688:GXY327695 HHR327688:HHU327695 HRN327688:HRQ327695 IBJ327688:IBM327695 ILF327688:ILI327695 IVB327688:IVE327695 JEX327688:JFA327695 JOT327688:JOW327695 JYP327688:JYS327695 KIL327688:KIO327695 KSH327688:KSK327695 LCD327688:LCG327695 LLZ327688:LMC327695 LVV327688:LVY327695 MFR327688:MFU327695 MPN327688:MPQ327695 MZJ327688:MZM327695 NJF327688:NJI327695 NTB327688:NTE327695 OCX327688:ODA327695 OMT327688:OMW327695 OWP327688:OWS327695 PGL327688:PGO327695 PQH327688:PQK327695 QAD327688:QAG327695 QJZ327688:QKC327695 QTV327688:QTY327695 RDR327688:RDU327695 RNN327688:RNQ327695 RXJ327688:RXM327695 SHF327688:SHI327695 SRB327688:SRE327695 TAX327688:TBA327695 TKT327688:TKW327695 TUP327688:TUS327695 UEL327688:UEO327695 UOH327688:UOK327695 UYD327688:UYG327695 VHZ327688:VIC327695 VRV327688:VRY327695 WBR327688:WBU327695 WLN327688:WLQ327695 WVJ327688:WVM327695 B393224:E393231 IX393224:JA393231 ST393224:SW393231 ACP393224:ACS393231 AML393224:AMO393231 AWH393224:AWK393231 BGD393224:BGG393231 BPZ393224:BQC393231 BZV393224:BZY393231 CJR393224:CJU393231 CTN393224:CTQ393231 DDJ393224:DDM393231 DNF393224:DNI393231 DXB393224:DXE393231 EGX393224:EHA393231 EQT393224:EQW393231 FAP393224:FAS393231 FKL393224:FKO393231 FUH393224:FUK393231 GED393224:GEG393231 GNZ393224:GOC393231 GXV393224:GXY393231 HHR393224:HHU393231 HRN393224:HRQ393231 IBJ393224:IBM393231 ILF393224:ILI393231 IVB393224:IVE393231 JEX393224:JFA393231 JOT393224:JOW393231 JYP393224:JYS393231 KIL393224:KIO393231 KSH393224:KSK393231 LCD393224:LCG393231 LLZ393224:LMC393231 LVV393224:LVY393231 MFR393224:MFU393231 MPN393224:MPQ393231 MZJ393224:MZM393231 NJF393224:NJI393231 NTB393224:NTE393231 OCX393224:ODA393231 OMT393224:OMW393231 OWP393224:OWS393231 PGL393224:PGO393231 PQH393224:PQK393231 QAD393224:QAG393231 QJZ393224:QKC393231 QTV393224:QTY393231 RDR393224:RDU393231 RNN393224:RNQ393231 RXJ393224:RXM393231 SHF393224:SHI393231 SRB393224:SRE393231 TAX393224:TBA393231 TKT393224:TKW393231 TUP393224:TUS393231 UEL393224:UEO393231 UOH393224:UOK393231 UYD393224:UYG393231 VHZ393224:VIC393231 VRV393224:VRY393231 WBR393224:WBU393231 WLN393224:WLQ393231 WVJ393224:WVM393231 B458760:E458767 IX458760:JA458767 ST458760:SW458767 ACP458760:ACS458767 AML458760:AMO458767 AWH458760:AWK458767 BGD458760:BGG458767 BPZ458760:BQC458767 BZV458760:BZY458767 CJR458760:CJU458767 CTN458760:CTQ458767 DDJ458760:DDM458767 DNF458760:DNI458767 DXB458760:DXE458767 EGX458760:EHA458767 EQT458760:EQW458767 FAP458760:FAS458767 FKL458760:FKO458767 FUH458760:FUK458767 GED458760:GEG458767 GNZ458760:GOC458767 GXV458760:GXY458767 HHR458760:HHU458767 HRN458760:HRQ458767 IBJ458760:IBM458767 ILF458760:ILI458767 IVB458760:IVE458767 JEX458760:JFA458767 JOT458760:JOW458767 JYP458760:JYS458767 KIL458760:KIO458767 KSH458760:KSK458767 LCD458760:LCG458767 LLZ458760:LMC458767 LVV458760:LVY458767 MFR458760:MFU458767 MPN458760:MPQ458767 MZJ458760:MZM458767 NJF458760:NJI458767 NTB458760:NTE458767 OCX458760:ODA458767 OMT458760:OMW458767 OWP458760:OWS458767 PGL458760:PGO458767 PQH458760:PQK458767 QAD458760:QAG458767 QJZ458760:QKC458767 QTV458760:QTY458767 RDR458760:RDU458767 RNN458760:RNQ458767 RXJ458760:RXM458767 SHF458760:SHI458767 SRB458760:SRE458767 TAX458760:TBA458767 TKT458760:TKW458767 TUP458760:TUS458767 UEL458760:UEO458767 UOH458760:UOK458767 UYD458760:UYG458767 VHZ458760:VIC458767 VRV458760:VRY458767 WBR458760:WBU458767 WLN458760:WLQ458767 WVJ458760:WVM458767 B524296:E524303 IX524296:JA524303 ST524296:SW524303 ACP524296:ACS524303 AML524296:AMO524303 AWH524296:AWK524303 BGD524296:BGG524303 BPZ524296:BQC524303 BZV524296:BZY524303 CJR524296:CJU524303 CTN524296:CTQ524303 DDJ524296:DDM524303 DNF524296:DNI524303 DXB524296:DXE524303 EGX524296:EHA524303 EQT524296:EQW524303 FAP524296:FAS524303 FKL524296:FKO524303 FUH524296:FUK524303 GED524296:GEG524303 GNZ524296:GOC524303 GXV524296:GXY524303 HHR524296:HHU524303 HRN524296:HRQ524303 IBJ524296:IBM524303 ILF524296:ILI524303 IVB524296:IVE524303 JEX524296:JFA524303 JOT524296:JOW524303 JYP524296:JYS524303 KIL524296:KIO524303 KSH524296:KSK524303 LCD524296:LCG524303 LLZ524296:LMC524303 LVV524296:LVY524303 MFR524296:MFU524303 MPN524296:MPQ524303 MZJ524296:MZM524303 NJF524296:NJI524303 NTB524296:NTE524303 OCX524296:ODA524303 OMT524296:OMW524303 OWP524296:OWS524303 PGL524296:PGO524303 PQH524296:PQK524303 QAD524296:QAG524303 QJZ524296:QKC524303 QTV524296:QTY524303 RDR524296:RDU524303 RNN524296:RNQ524303 RXJ524296:RXM524303 SHF524296:SHI524303 SRB524296:SRE524303 TAX524296:TBA524303 TKT524296:TKW524303 TUP524296:TUS524303 UEL524296:UEO524303 UOH524296:UOK524303 UYD524296:UYG524303 VHZ524296:VIC524303 VRV524296:VRY524303 WBR524296:WBU524303 WLN524296:WLQ524303 WVJ524296:WVM524303 B589832:E589839 IX589832:JA589839 ST589832:SW589839 ACP589832:ACS589839 AML589832:AMO589839 AWH589832:AWK589839 BGD589832:BGG589839 BPZ589832:BQC589839 BZV589832:BZY589839 CJR589832:CJU589839 CTN589832:CTQ589839 DDJ589832:DDM589839 DNF589832:DNI589839 DXB589832:DXE589839 EGX589832:EHA589839 EQT589832:EQW589839 FAP589832:FAS589839 FKL589832:FKO589839 FUH589832:FUK589839 GED589832:GEG589839 GNZ589832:GOC589839 GXV589832:GXY589839 HHR589832:HHU589839 HRN589832:HRQ589839 IBJ589832:IBM589839 ILF589832:ILI589839 IVB589832:IVE589839 JEX589832:JFA589839 JOT589832:JOW589839 JYP589832:JYS589839 KIL589832:KIO589839 KSH589832:KSK589839 LCD589832:LCG589839 LLZ589832:LMC589839 LVV589832:LVY589839 MFR589832:MFU589839 MPN589832:MPQ589839 MZJ589832:MZM589839 NJF589832:NJI589839 NTB589832:NTE589839 OCX589832:ODA589839 OMT589832:OMW589839 OWP589832:OWS589839 PGL589832:PGO589839 PQH589832:PQK589839 QAD589832:QAG589839 QJZ589832:QKC589839 QTV589832:QTY589839 RDR589832:RDU589839 RNN589832:RNQ589839 RXJ589832:RXM589839 SHF589832:SHI589839 SRB589832:SRE589839 TAX589832:TBA589839 TKT589832:TKW589839 TUP589832:TUS589839 UEL589832:UEO589839 UOH589832:UOK589839 UYD589832:UYG589839 VHZ589832:VIC589839 VRV589832:VRY589839 WBR589832:WBU589839 WLN589832:WLQ589839 WVJ589832:WVM589839 B655368:E655375 IX655368:JA655375 ST655368:SW655375 ACP655368:ACS655375 AML655368:AMO655375 AWH655368:AWK655375 BGD655368:BGG655375 BPZ655368:BQC655375 BZV655368:BZY655375 CJR655368:CJU655375 CTN655368:CTQ655375 DDJ655368:DDM655375 DNF655368:DNI655375 DXB655368:DXE655375 EGX655368:EHA655375 EQT655368:EQW655375 FAP655368:FAS655375 FKL655368:FKO655375 FUH655368:FUK655375 GED655368:GEG655375 GNZ655368:GOC655375 GXV655368:GXY655375 HHR655368:HHU655375 HRN655368:HRQ655375 IBJ655368:IBM655375 ILF655368:ILI655375 IVB655368:IVE655375 JEX655368:JFA655375 JOT655368:JOW655375 JYP655368:JYS655375 KIL655368:KIO655375 KSH655368:KSK655375 LCD655368:LCG655375 LLZ655368:LMC655375 LVV655368:LVY655375 MFR655368:MFU655375 MPN655368:MPQ655375 MZJ655368:MZM655375 NJF655368:NJI655375 NTB655368:NTE655375 OCX655368:ODA655375 OMT655368:OMW655375 OWP655368:OWS655375 PGL655368:PGO655375 PQH655368:PQK655375 QAD655368:QAG655375 QJZ655368:QKC655375 QTV655368:QTY655375 RDR655368:RDU655375 RNN655368:RNQ655375 RXJ655368:RXM655375 SHF655368:SHI655375 SRB655368:SRE655375 TAX655368:TBA655375 TKT655368:TKW655375 TUP655368:TUS655375 UEL655368:UEO655375 UOH655368:UOK655375 UYD655368:UYG655375 VHZ655368:VIC655375 VRV655368:VRY655375 WBR655368:WBU655375 WLN655368:WLQ655375 WVJ655368:WVM655375 B720904:E720911 IX720904:JA720911 ST720904:SW720911 ACP720904:ACS720911 AML720904:AMO720911 AWH720904:AWK720911 BGD720904:BGG720911 BPZ720904:BQC720911 BZV720904:BZY720911 CJR720904:CJU720911 CTN720904:CTQ720911 DDJ720904:DDM720911 DNF720904:DNI720911 DXB720904:DXE720911 EGX720904:EHA720911 EQT720904:EQW720911 FAP720904:FAS720911 FKL720904:FKO720911 FUH720904:FUK720911 GED720904:GEG720911 GNZ720904:GOC720911 GXV720904:GXY720911 HHR720904:HHU720911 HRN720904:HRQ720911 IBJ720904:IBM720911 ILF720904:ILI720911 IVB720904:IVE720911 JEX720904:JFA720911 JOT720904:JOW720911 JYP720904:JYS720911 KIL720904:KIO720911 KSH720904:KSK720911 LCD720904:LCG720911 LLZ720904:LMC720911 LVV720904:LVY720911 MFR720904:MFU720911 MPN720904:MPQ720911 MZJ720904:MZM720911 NJF720904:NJI720911 NTB720904:NTE720911 OCX720904:ODA720911 OMT720904:OMW720911 OWP720904:OWS720911 PGL720904:PGO720911 PQH720904:PQK720911 QAD720904:QAG720911 QJZ720904:QKC720911 QTV720904:QTY720911 RDR720904:RDU720911 RNN720904:RNQ720911 RXJ720904:RXM720911 SHF720904:SHI720911 SRB720904:SRE720911 TAX720904:TBA720911 TKT720904:TKW720911 TUP720904:TUS720911 UEL720904:UEO720911 UOH720904:UOK720911 UYD720904:UYG720911 VHZ720904:VIC720911 VRV720904:VRY720911 WBR720904:WBU720911 WLN720904:WLQ720911 WVJ720904:WVM720911 B786440:E786447 IX786440:JA786447 ST786440:SW786447 ACP786440:ACS786447 AML786440:AMO786447 AWH786440:AWK786447 BGD786440:BGG786447 BPZ786440:BQC786447 BZV786440:BZY786447 CJR786440:CJU786447 CTN786440:CTQ786447 DDJ786440:DDM786447 DNF786440:DNI786447 DXB786440:DXE786447 EGX786440:EHA786447 EQT786440:EQW786447 FAP786440:FAS786447 FKL786440:FKO786447 FUH786440:FUK786447 GED786440:GEG786447 GNZ786440:GOC786447 GXV786440:GXY786447 HHR786440:HHU786447 HRN786440:HRQ786447 IBJ786440:IBM786447 ILF786440:ILI786447 IVB786440:IVE786447 JEX786440:JFA786447 JOT786440:JOW786447 JYP786440:JYS786447 KIL786440:KIO786447 KSH786440:KSK786447 LCD786440:LCG786447 LLZ786440:LMC786447 LVV786440:LVY786447 MFR786440:MFU786447 MPN786440:MPQ786447 MZJ786440:MZM786447 NJF786440:NJI786447 NTB786440:NTE786447 OCX786440:ODA786447 OMT786440:OMW786447 OWP786440:OWS786447 PGL786440:PGO786447 PQH786440:PQK786447 QAD786440:QAG786447 QJZ786440:QKC786447 QTV786440:QTY786447 RDR786440:RDU786447 RNN786440:RNQ786447 RXJ786440:RXM786447 SHF786440:SHI786447 SRB786440:SRE786447 TAX786440:TBA786447 TKT786440:TKW786447 TUP786440:TUS786447 UEL786440:UEO786447 UOH786440:UOK786447 UYD786440:UYG786447 VHZ786440:VIC786447 VRV786440:VRY786447 WBR786440:WBU786447 WLN786440:WLQ786447 WVJ786440:WVM786447 B851976:E851983 IX851976:JA851983 ST851976:SW851983 ACP851976:ACS851983 AML851976:AMO851983 AWH851976:AWK851983 BGD851976:BGG851983 BPZ851976:BQC851983 BZV851976:BZY851983 CJR851976:CJU851983 CTN851976:CTQ851983 DDJ851976:DDM851983 DNF851976:DNI851983 DXB851976:DXE851983 EGX851976:EHA851983 EQT851976:EQW851983 FAP851976:FAS851983 FKL851976:FKO851983 FUH851976:FUK851983 GED851976:GEG851983 GNZ851976:GOC851983 GXV851976:GXY851983 HHR851976:HHU851983 HRN851976:HRQ851983 IBJ851976:IBM851983 ILF851976:ILI851983 IVB851976:IVE851983 JEX851976:JFA851983 JOT851976:JOW851983 JYP851976:JYS851983 KIL851976:KIO851983 KSH851976:KSK851983 LCD851976:LCG851983 LLZ851976:LMC851983 LVV851976:LVY851983 MFR851976:MFU851983 MPN851976:MPQ851983 MZJ851976:MZM851983 NJF851976:NJI851983 NTB851976:NTE851983 OCX851976:ODA851983 OMT851976:OMW851983 OWP851976:OWS851983 PGL851976:PGO851983 PQH851976:PQK851983 QAD851976:QAG851983 QJZ851976:QKC851983 QTV851976:QTY851983 RDR851976:RDU851983 RNN851976:RNQ851983 RXJ851976:RXM851983 SHF851976:SHI851983 SRB851976:SRE851983 TAX851976:TBA851983 TKT851976:TKW851983 TUP851976:TUS851983 UEL851976:UEO851983 UOH851976:UOK851983 UYD851976:UYG851983 VHZ851976:VIC851983 VRV851976:VRY851983 WBR851976:WBU851983 WLN851976:WLQ851983 WVJ851976:WVM851983 B917512:E917519 IX917512:JA917519 ST917512:SW917519 ACP917512:ACS917519 AML917512:AMO917519 AWH917512:AWK917519 BGD917512:BGG917519 BPZ917512:BQC917519 BZV917512:BZY917519 CJR917512:CJU917519 CTN917512:CTQ917519 DDJ917512:DDM917519 DNF917512:DNI917519 DXB917512:DXE917519 EGX917512:EHA917519 EQT917512:EQW917519 FAP917512:FAS917519 FKL917512:FKO917519 FUH917512:FUK917519 GED917512:GEG917519 GNZ917512:GOC917519 GXV917512:GXY917519 HHR917512:HHU917519 HRN917512:HRQ917519 IBJ917512:IBM917519 ILF917512:ILI917519 IVB917512:IVE917519 JEX917512:JFA917519 JOT917512:JOW917519 JYP917512:JYS917519 KIL917512:KIO917519 KSH917512:KSK917519 LCD917512:LCG917519 LLZ917512:LMC917519 LVV917512:LVY917519 MFR917512:MFU917519 MPN917512:MPQ917519 MZJ917512:MZM917519 NJF917512:NJI917519 NTB917512:NTE917519 OCX917512:ODA917519 OMT917512:OMW917519 OWP917512:OWS917519 PGL917512:PGO917519 PQH917512:PQK917519 QAD917512:QAG917519 QJZ917512:QKC917519 QTV917512:QTY917519 RDR917512:RDU917519 RNN917512:RNQ917519 RXJ917512:RXM917519 SHF917512:SHI917519 SRB917512:SRE917519 TAX917512:TBA917519 TKT917512:TKW917519 TUP917512:TUS917519 UEL917512:UEO917519 UOH917512:UOK917519 UYD917512:UYG917519 VHZ917512:VIC917519 VRV917512:VRY917519 WBR917512:WBU917519 WLN917512:WLQ917519 WVJ917512:WVM917519 B983048:E983055 IX983048:JA983055 ST983048:SW983055 ACP983048:ACS983055 AML983048:AMO983055 AWH983048:AWK983055 BGD983048:BGG983055 BPZ983048:BQC983055 BZV983048:BZY983055 CJR983048:CJU983055 CTN983048:CTQ983055 DDJ983048:DDM983055 DNF983048:DNI983055 DXB983048:DXE983055 EGX983048:EHA983055 EQT983048:EQW983055 FAP983048:FAS983055 FKL983048:FKO983055 FUH983048:FUK983055 GED983048:GEG983055 GNZ983048:GOC983055 GXV983048:GXY983055 HHR983048:HHU983055 HRN983048:HRQ983055 IBJ983048:IBM983055 ILF983048:ILI983055 IVB983048:IVE983055 JEX983048:JFA983055 JOT983048:JOW983055 JYP983048:JYS983055 KIL983048:KIO983055 KSH983048:KSK983055 LCD983048:LCG983055 LLZ983048:LMC983055 LVV983048:LVY983055 MFR983048:MFU983055 MPN983048:MPQ983055 MZJ983048:MZM983055 NJF983048:NJI983055 NTB983048:NTE983055 OCX983048:ODA983055 OMT983048:OMW983055 OWP983048:OWS983055 PGL983048:PGO983055 PQH983048:PQK983055 QAD983048:QAG983055 QJZ983048:QKC983055 QTV983048:QTY983055 RDR983048:RDU983055 RNN983048:RNQ983055 RXJ983048:RXM983055 SHF983048:SHI983055 SRB983048:SRE983055 TAX983048:TBA983055 TKT983048:TKW983055 TUP983048:TUS983055 UEL983048:UEO983055 UOH983048:UOK983055 UYD983048:UYG983055 VHZ983048:VIC983055 VRV983048:VRY983055 WBR983048:WBU983055 WLN983048:WLQ983055 WVJ983048:WVM983055">
      <formula1>-1E+22</formula1>
      <formula2>1E+22</formula2>
    </dataValidation>
  </dataValidations>
  <pageMargins left="0.35" right="0.34" top="1" bottom="1" header="0.5" footer="0.5"/>
  <pageSetup paperSize="9" scale="94" orientation="portrait" r:id="rId1"/>
  <headerFooter alignWithMargins="0"/>
</worksheet>
</file>

<file path=xl/worksheets/sheet15.xml><?xml version="1.0" encoding="utf-8"?>
<worksheet xmlns="http://schemas.openxmlformats.org/spreadsheetml/2006/main" xmlns:r="http://schemas.openxmlformats.org/officeDocument/2006/relationships">
  <sheetPr codeName="Лист14"/>
  <dimension ref="A1:H47"/>
  <sheetViews>
    <sheetView topLeftCell="A4" workbookViewId="0">
      <selection activeCell="A3" sqref="A3"/>
    </sheetView>
  </sheetViews>
  <sheetFormatPr defaultRowHeight="12.75"/>
  <cols>
    <col min="1" max="1" width="40.42578125" style="14" customWidth="1"/>
    <col min="2" max="2" width="21.28515625" style="14" customWidth="1"/>
    <col min="3" max="3" width="24.42578125" style="14" customWidth="1"/>
    <col min="4" max="16384" width="9.140625" style="14"/>
  </cols>
  <sheetData>
    <row r="1" spans="1:8" ht="53.25" customHeight="1">
      <c r="B1" s="984" t="s">
        <v>2277</v>
      </c>
      <c r="C1" s="1005"/>
    </row>
    <row r="2" spans="1:8" ht="15.75">
      <c r="A2" s="1006" t="s">
        <v>2675</v>
      </c>
      <c r="B2" s="1006"/>
      <c r="C2" s="1006"/>
      <c r="D2" s="49"/>
      <c r="E2" s="137"/>
      <c r="F2" s="137"/>
      <c r="G2" s="49"/>
      <c r="H2" s="49"/>
    </row>
    <row r="3" spans="1:8" ht="16.5" thickBot="1">
      <c r="A3" s="371" t="s">
        <v>379</v>
      </c>
      <c r="B3" s="371"/>
      <c r="C3" s="155" t="s">
        <v>678</v>
      </c>
      <c r="D3" s="49"/>
      <c r="E3" s="137"/>
      <c r="F3" s="137"/>
      <c r="G3" s="49"/>
      <c r="H3" s="49"/>
    </row>
    <row r="4" spans="1:8" ht="25.5">
      <c r="A4" s="156" t="s">
        <v>710</v>
      </c>
      <c r="B4" s="157" t="s">
        <v>2025</v>
      </c>
      <c r="C4" s="158" t="s">
        <v>712</v>
      </c>
      <c r="D4" s="49"/>
      <c r="E4" s="137"/>
      <c r="F4" s="137"/>
      <c r="G4" s="49"/>
      <c r="H4" s="49"/>
    </row>
    <row r="5" spans="1:8">
      <c r="A5" s="159" t="s">
        <v>1883</v>
      </c>
      <c r="B5" s="160"/>
      <c r="C5" s="161"/>
      <c r="D5" s="49"/>
      <c r="E5" s="137"/>
      <c r="F5" s="137"/>
      <c r="G5" s="49"/>
      <c r="H5" s="49"/>
    </row>
    <row r="6" spans="1:8">
      <c r="A6" s="162" t="s">
        <v>1884</v>
      </c>
      <c r="B6" s="359" t="s">
        <v>1345</v>
      </c>
      <c r="C6" s="360" t="s">
        <v>1750</v>
      </c>
      <c r="D6" s="49"/>
      <c r="E6" s="137"/>
      <c r="F6" s="137"/>
      <c r="G6" s="49"/>
      <c r="H6" s="49"/>
    </row>
    <row r="7" spans="1:8">
      <c r="A7" s="162" t="s">
        <v>1885</v>
      </c>
      <c r="B7" s="359" t="s">
        <v>2931</v>
      </c>
      <c r="C7" s="360" t="s">
        <v>2932</v>
      </c>
      <c r="D7" s="49"/>
      <c r="E7" s="137"/>
      <c r="F7" s="137"/>
      <c r="G7" s="49"/>
      <c r="H7" s="49"/>
    </row>
    <row r="8" spans="1:8">
      <c r="A8" s="162" t="s">
        <v>1886</v>
      </c>
      <c r="B8" s="359" t="s">
        <v>1063</v>
      </c>
      <c r="C8" s="360" t="s">
        <v>1751</v>
      </c>
      <c r="D8" s="49"/>
      <c r="E8" s="137"/>
      <c r="F8" s="137"/>
      <c r="G8" s="49"/>
      <c r="H8" s="49"/>
    </row>
    <row r="9" spans="1:8">
      <c r="A9" s="162" t="s">
        <v>1887</v>
      </c>
      <c r="B9" s="359" t="s">
        <v>1064</v>
      </c>
      <c r="C9" s="360" t="s">
        <v>1802</v>
      </c>
      <c r="D9" s="49"/>
      <c r="E9" s="137"/>
      <c r="F9" s="137"/>
      <c r="G9" s="49"/>
      <c r="H9" s="49"/>
    </row>
    <row r="10" spans="1:8">
      <c r="A10" s="162" t="s">
        <v>1888</v>
      </c>
      <c r="B10" s="359" t="s">
        <v>1065</v>
      </c>
      <c r="C10" s="360" t="s">
        <v>1803</v>
      </c>
      <c r="D10" s="49"/>
      <c r="E10" s="137"/>
      <c r="F10" s="137"/>
      <c r="G10" s="49"/>
      <c r="H10" s="49"/>
    </row>
    <row r="11" spans="1:8">
      <c r="A11" s="162" t="s">
        <v>1889</v>
      </c>
      <c r="B11" s="359" t="s">
        <v>481</v>
      </c>
      <c r="C11" s="359" t="s">
        <v>482</v>
      </c>
      <c r="D11" s="49"/>
      <c r="E11" s="137"/>
      <c r="F11" s="463"/>
      <c r="G11" s="49"/>
      <c r="H11" s="49"/>
    </row>
    <row r="12" spans="1:8">
      <c r="A12" s="159" t="s">
        <v>1743</v>
      </c>
      <c r="B12" s="347" t="e">
        <f>B6+B7+B8+B9+B10+B11</f>
        <v>#VALUE!</v>
      </c>
      <c r="C12" s="348" t="e">
        <f>C6+C7+C8+C9+C10+C11</f>
        <v>#VALUE!</v>
      </c>
      <c r="D12" s="49"/>
      <c r="E12" s="137"/>
      <c r="F12" s="137"/>
      <c r="G12" s="49"/>
      <c r="H12" s="49"/>
    </row>
    <row r="13" spans="1:8">
      <c r="A13" s="162"/>
      <c r="B13" s="347"/>
      <c r="C13" s="349"/>
      <c r="D13" s="49"/>
      <c r="E13" s="137"/>
      <c r="F13" s="137"/>
      <c r="G13" s="49"/>
      <c r="H13" s="49"/>
    </row>
    <row r="14" spans="1:8">
      <c r="A14" s="159" t="s">
        <v>1744</v>
      </c>
      <c r="B14" s="350" t="s">
        <v>269</v>
      </c>
      <c r="C14" s="351"/>
      <c r="D14" s="49"/>
      <c r="E14" s="137"/>
      <c r="F14" s="137"/>
      <c r="G14" s="49"/>
      <c r="H14" s="49"/>
    </row>
    <row r="15" spans="1:8">
      <c r="A15" s="162" t="s">
        <v>1884</v>
      </c>
      <c r="B15" s="359" t="s">
        <v>1532</v>
      </c>
      <c r="C15" s="360" t="s">
        <v>1533</v>
      </c>
      <c r="D15" s="49"/>
      <c r="E15" s="137"/>
      <c r="F15" s="137"/>
      <c r="G15" s="49"/>
      <c r="H15" s="49"/>
    </row>
    <row r="16" spans="1:8">
      <c r="A16" s="162" t="s">
        <v>1885</v>
      </c>
      <c r="B16" s="359" t="s">
        <v>2222</v>
      </c>
      <c r="C16" s="360" t="s">
        <v>1534</v>
      </c>
      <c r="D16" s="49"/>
      <c r="E16" s="137"/>
      <c r="F16" s="137"/>
      <c r="G16" s="49"/>
      <c r="H16" s="49"/>
    </row>
    <row r="17" spans="1:8">
      <c r="A17" s="162" t="s">
        <v>1886</v>
      </c>
      <c r="B17" s="359" t="s">
        <v>1151</v>
      </c>
      <c r="C17" s="360" t="s">
        <v>1804</v>
      </c>
      <c r="D17" s="49"/>
      <c r="E17" s="137"/>
      <c r="F17" s="137"/>
      <c r="G17" s="49"/>
      <c r="H17" s="49"/>
    </row>
    <row r="18" spans="1:8">
      <c r="A18" s="162" t="s">
        <v>1887</v>
      </c>
      <c r="B18" s="359" t="s">
        <v>1152</v>
      </c>
      <c r="C18" s="360" t="s">
        <v>1805</v>
      </c>
      <c r="D18" s="49"/>
      <c r="E18" s="137"/>
      <c r="F18" s="137"/>
      <c r="G18" s="49"/>
      <c r="H18" s="49"/>
    </row>
    <row r="19" spans="1:8">
      <c r="A19" s="162" t="s">
        <v>1888</v>
      </c>
      <c r="B19" s="359" t="s">
        <v>1066</v>
      </c>
      <c r="C19" s="360" t="s">
        <v>173</v>
      </c>
      <c r="D19" s="49"/>
      <c r="E19" s="137"/>
      <c r="F19" s="137"/>
      <c r="G19" s="49"/>
      <c r="H19" s="49"/>
    </row>
    <row r="20" spans="1:8">
      <c r="A20" s="162" t="s">
        <v>1432</v>
      </c>
      <c r="B20" s="359" t="s">
        <v>1960</v>
      </c>
      <c r="C20" s="360" t="s">
        <v>1961</v>
      </c>
      <c r="D20" s="49"/>
      <c r="E20" s="137"/>
      <c r="F20" s="137"/>
      <c r="G20" s="49"/>
      <c r="H20" s="49"/>
    </row>
    <row r="21" spans="1:8">
      <c r="A21" s="159" t="s">
        <v>1575</v>
      </c>
      <c r="B21" s="347" t="e">
        <f>B15+B16+B17+B18+B19+B20</f>
        <v>#VALUE!</v>
      </c>
      <c r="C21" s="348" t="e">
        <f>C15+C16+C17+C18+C19+C20</f>
        <v>#VALUE!</v>
      </c>
      <c r="D21" s="49"/>
      <c r="E21" s="137"/>
      <c r="F21" s="137"/>
      <c r="G21" s="49"/>
      <c r="H21" s="49"/>
    </row>
    <row r="22" spans="1:8">
      <c r="A22" s="162"/>
      <c r="B22" s="347"/>
      <c r="C22" s="349"/>
      <c r="D22" s="49"/>
      <c r="E22" s="137"/>
      <c r="F22" s="137"/>
      <c r="G22" s="49"/>
      <c r="H22" s="49"/>
    </row>
    <row r="23" spans="1:8">
      <c r="A23" s="159" t="s">
        <v>1576</v>
      </c>
      <c r="B23" s="350"/>
      <c r="C23" s="351"/>
      <c r="D23" s="49"/>
      <c r="E23" s="137"/>
      <c r="F23" s="137"/>
      <c r="G23" s="49"/>
      <c r="H23" s="49"/>
    </row>
    <row r="24" spans="1:8">
      <c r="A24" s="162" t="s">
        <v>1884</v>
      </c>
      <c r="B24" s="359" t="s">
        <v>798</v>
      </c>
      <c r="C24" s="360" t="s">
        <v>799</v>
      </c>
      <c r="D24" s="49"/>
      <c r="E24" s="137"/>
      <c r="F24" s="137"/>
      <c r="G24" s="49"/>
      <c r="H24" s="49"/>
    </row>
    <row r="25" spans="1:8">
      <c r="A25" s="162" t="s">
        <v>1885</v>
      </c>
      <c r="B25" s="359" t="s">
        <v>2114</v>
      </c>
      <c r="C25" s="360" t="s">
        <v>1595</v>
      </c>
      <c r="D25" s="49"/>
      <c r="E25" s="137"/>
      <c r="F25" s="137"/>
      <c r="G25" s="49"/>
      <c r="H25" s="49"/>
    </row>
    <row r="26" spans="1:8">
      <c r="A26" s="162" t="s">
        <v>1886</v>
      </c>
      <c r="B26" s="359" t="s">
        <v>1434</v>
      </c>
      <c r="C26" s="360" t="s">
        <v>174</v>
      </c>
      <c r="D26" s="49"/>
      <c r="E26" s="137"/>
      <c r="F26" s="137"/>
      <c r="G26" s="49"/>
      <c r="H26" s="49"/>
    </row>
    <row r="27" spans="1:8">
      <c r="A27" s="162" t="s">
        <v>1887</v>
      </c>
      <c r="B27" s="359" t="s">
        <v>701</v>
      </c>
      <c r="C27" s="360" t="s">
        <v>175</v>
      </c>
      <c r="D27" s="49"/>
      <c r="E27" s="137"/>
      <c r="F27" s="137"/>
      <c r="G27" s="49"/>
      <c r="H27" s="49"/>
    </row>
    <row r="28" spans="1:8">
      <c r="A28" s="162" t="s">
        <v>1888</v>
      </c>
      <c r="B28" s="359" t="s">
        <v>702</v>
      </c>
      <c r="C28" s="360" t="s">
        <v>176</v>
      </c>
      <c r="D28" s="49"/>
      <c r="E28" s="137"/>
      <c r="F28" s="137"/>
      <c r="G28" s="49"/>
      <c r="H28" s="49"/>
    </row>
    <row r="29" spans="1:8">
      <c r="A29" s="162" t="s">
        <v>1433</v>
      </c>
      <c r="B29" s="359" t="s">
        <v>1672</v>
      </c>
      <c r="C29" s="360" t="s">
        <v>682</v>
      </c>
      <c r="D29" s="49"/>
      <c r="E29" s="137"/>
      <c r="F29" s="137"/>
      <c r="G29" s="49"/>
      <c r="H29" s="49"/>
    </row>
    <row r="30" spans="1:8">
      <c r="A30" s="159" t="s">
        <v>242</v>
      </c>
      <c r="B30" s="347" t="e">
        <f>B24+B25+B26+B27+B28+B29</f>
        <v>#VALUE!</v>
      </c>
      <c r="C30" s="348" t="e">
        <f>C24+C25+C26+C27+C28+C29</f>
        <v>#VALUE!</v>
      </c>
      <c r="D30" s="49"/>
      <c r="E30" s="137"/>
      <c r="F30" s="137"/>
      <c r="G30" s="49"/>
      <c r="H30" s="49"/>
    </row>
    <row r="31" spans="1:8">
      <c r="A31" s="162"/>
      <c r="B31" s="347"/>
      <c r="C31" s="348"/>
      <c r="D31" s="49"/>
      <c r="E31" s="137"/>
      <c r="F31" s="137"/>
      <c r="G31" s="49"/>
      <c r="H31" s="49"/>
    </row>
    <row r="32" spans="1:8">
      <c r="A32" s="159" t="s">
        <v>208</v>
      </c>
      <c r="B32" s="347" t="e">
        <f>B12+B21+B30</f>
        <v>#VALUE!</v>
      </c>
      <c r="C32" s="348" t="e">
        <f>C12+C21+C30</f>
        <v>#VALUE!</v>
      </c>
      <c r="D32" s="49"/>
      <c r="E32" s="137"/>
      <c r="F32" s="137"/>
      <c r="G32" s="49"/>
      <c r="H32" s="49"/>
    </row>
    <row r="33" spans="1:8">
      <c r="A33" s="162"/>
      <c r="B33" s="70"/>
      <c r="C33" s="163"/>
      <c r="D33" s="49"/>
      <c r="E33" s="137"/>
      <c r="F33" s="137"/>
      <c r="G33" s="49"/>
      <c r="H33" s="49"/>
    </row>
    <row r="34" spans="1:8">
      <c r="A34" s="159" t="s">
        <v>47</v>
      </c>
      <c r="B34" s="164"/>
      <c r="C34" s="161"/>
      <c r="D34" s="49"/>
      <c r="E34" s="137"/>
      <c r="F34" s="137"/>
      <c r="G34" s="49"/>
      <c r="H34" s="49"/>
    </row>
    <row r="35" spans="1:8" ht="39" thickBot="1">
      <c r="A35" s="165" t="s">
        <v>619</v>
      </c>
      <c r="B35" s="166" t="s">
        <v>620</v>
      </c>
      <c r="C35" s="167"/>
      <c r="D35" s="49"/>
      <c r="E35" s="137"/>
      <c r="F35" s="137"/>
      <c r="G35" s="49"/>
      <c r="H35" s="49"/>
    </row>
    <row r="36" spans="1:8">
      <c r="C36" s="49"/>
      <c r="D36" s="49"/>
      <c r="E36" s="137"/>
      <c r="F36" s="137"/>
      <c r="G36" s="49"/>
      <c r="H36" s="49"/>
    </row>
    <row r="37" spans="1:8">
      <c r="A37" s="24" t="s">
        <v>102</v>
      </c>
      <c r="C37" s="49"/>
      <c r="D37" s="49"/>
      <c r="E37" s="137"/>
      <c r="F37" s="137"/>
      <c r="G37" s="49"/>
      <c r="H37" s="49"/>
    </row>
    <row r="38" spans="1:8">
      <c r="A38" s="24" t="s">
        <v>1198</v>
      </c>
      <c r="C38" s="49"/>
      <c r="D38" s="49"/>
      <c r="E38" s="137"/>
      <c r="F38" s="137"/>
      <c r="G38" s="49"/>
      <c r="H38" s="49"/>
    </row>
    <row r="39" spans="1:8">
      <c r="C39" s="49"/>
      <c r="D39" s="49"/>
      <c r="E39" s="137"/>
      <c r="F39" s="137"/>
      <c r="G39" s="49"/>
      <c r="H39" s="49"/>
    </row>
    <row r="40" spans="1:8">
      <c r="C40" s="49"/>
      <c r="D40" s="49"/>
      <c r="E40" s="137"/>
      <c r="F40" s="137"/>
      <c r="G40" s="49"/>
      <c r="H40" s="49"/>
    </row>
    <row r="41" spans="1:8">
      <c r="C41" s="49"/>
      <c r="D41" s="49"/>
      <c r="E41" s="137"/>
      <c r="F41" s="137"/>
      <c r="G41" s="49"/>
      <c r="H41" s="49"/>
    </row>
    <row r="42" spans="1:8">
      <c r="C42" s="49"/>
      <c r="D42" s="49"/>
      <c r="E42" s="137"/>
      <c r="F42" s="137"/>
      <c r="G42" s="49"/>
      <c r="H42" s="49"/>
    </row>
    <row r="43" spans="1:8">
      <c r="C43" s="49"/>
      <c r="D43" s="49"/>
      <c r="E43" s="137"/>
      <c r="F43" s="137"/>
      <c r="G43" s="49"/>
      <c r="H43" s="49"/>
    </row>
    <row r="44" spans="1:8">
      <c r="C44" s="49"/>
      <c r="D44" s="49"/>
      <c r="E44" s="137"/>
      <c r="F44" s="137"/>
      <c r="G44" s="49"/>
      <c r="H44" s="49"/>
    </row>
    <row r="45" spans="1:8">
      <c r="C45" s="49"/>
      <c r="D45" s="49"/>
      <c r="E45" s="137"/>
      <c r="F45" s="137"/>
      <c r="G45" s="49"/>
      <c r="H45" s="49"/>
    </row>
    <row r="46" spans="1:8">
      <c r="C46" s="49"/>
      <c r="D46" s="49"/>
      <c r="E46" s="137"/>
      <c r="F46" s="137"/>
      <c r="G46" s="49"/>
      <c r="H46" s="49"/>
    </row>
    <row r="47" spans="1:8">
      <c r="C47" s="49"/>
      <c r="D47" s="49"/>
      <c r="E47" s="137"/>
      <c r="F47" s="137"/>
      <c r="G47" s="49"/>
      <c r="H47" s="49"/>
    </row>
  </sheetData>
  <mergeCells count="2">
    <mergeCell ref="B1:C1"/>
    <mergeCell ref="A2:C2"/>
  </mergeCells>
  <phoneticPr fontId="0" type="noConversion"/>
  <dataValidations count="2">
    <dataValidation type="textLength" operator="equal" allowBlank="1" showInputMessage="1" showErrorMessage="1" prompt="Если &quot;Да&quot;,  введите Д._x000a_Если &quot;Нет&quot;, введите Н." sqref="B35 IX35 ST35 ACP35 AML35 AWH35 BGD35 BPZ35 BZV35 CJR35 CTN35 DDJ35 DNF35 DXB35 EGX35 EQT35 FAP35 FKL35 FUH35 GED35 GNZ35 GXV35 HHR35 HRN35 IBJ35 ILF35 IVB35 JEX35 JOT35 JYP35 KIL35 KSH35 LCD35 LLZ35 LVV35 MFR35 MPN35 MZJ35 NJF35 NTB35 OCX35 OMT35 OWP35 PGL35 PQH35 QAD35 QJZ35 QTV35 RDR35 RNN35 RXJ35 SHF35 SRB35 TAX35 TKT35 TUP35 UEL35 UOH35 UYD35 VHZ35 VRV35 WBR35 WLN35 WVJ35 B65571 IX65571 ST65571 ACP65571 AML65571 AWH65571 BGD65571 BPZ65571 BZV65571 CJR65571 CTN65571 DDJ65571 DNF65571 DXB65571 EGX65571 EQT65571 FAP65571 FKL65571 FUH65571 GED65571 GNZ65571 GXV65571 HHR65571 HRN65571 IBJ65571 ILF65571 IVB65571 JEX65571 JOT65571 JYP65571 KIL65571 KSH65571 LCD65571 LLZ65571 LVV65571 MFR65571 MPN65571 MZJ65571 NJF65571 NTB65571 OCX65571 OMT65571 OWP65571 PGL65571 PQH65571 QAD65571 QJZ65571 QTV65571 RDR65571 RNN65571 RXJ65571 SHF65571 SRB65571 TAX65571 TKT65571 TUP65571 UEL65571 UOH65571 UYD65571 VHZ65571 VRV65571 WBR65571 WLN65571 WVJ65571 B131107 IX131107 ST131107 ACP131107 AML131107 AWH131107 BGD131107 BPZ131107 BZV131107 CJR131107 CTN131107 DDJ131107 DNF131107 DXB131107 EGX131107 EQT131107 FAP131107 FKL131107 FUH131107 GED131107 GNZ131107 GXV131107 HHR131107 HRN131107 IBJ131107 ILF131107 IVB131107 JEX131107 JOT131107 JYP131107 KIL131107 KSH131107 LCD131107 LLZ131107 LVV131107 MFR131107 MPN131107 MZJ131107 NJF131107 NTB131107 OCX131107 OMT131107 OWP131107 PGL131107 PQH131107 QAD131107 QJZ131107 QTV131107 RDR131107 RNN131107 RXJ131107 SHF131107 SRB131107 TAX131107 TKT131107 TUP131107 UEL131107 UOH131107 UYD131107 VHZ131107 VRV131107 WBR131107 WLN131107 WVJ131107 B196643 IX196643 ST196643 ACP196643 AML196643 AWH196643 BGD196643 BPZ196643 BZV196643 CJR196643 CTN196643 DDJ196643 DNF196643 DXB196643 EGX196643 EQT196643 FAP196643 FKL196643 FUH196643 GED196643 GNZ196643 GXV196643 HHR196643 HRN196643 IBJ196643 ILF196643 IVB196643 JEX196643 JOT196643 JYP196643 KIL196643 KSH196643 LCD196643 LLZ196643 LVV196643 MFR196643 MPN196643 MZJ196643 NJF196643 NTB196643 OCX196643 OMT196643 OWP196643 PGL196643 PQH196643 QAD196643 QJZ196643 QTV196643 RDR196643 RNN196643 RXJ196643 SHF196643 SRB196643 TAX196643 TKT196643 TUP196643 UEL196643 UOH196643 UYD196643 VHZ196643 VRV196643 WBR196643 WLN196643 WVJ196643 B262179 IX262179 ST262179 ACP262179 AML262179 AWH262179 BGD262179 BPZ262179 BZV262179 CJR262179 CTN262179 DDJ262179 DNF262179 DXB262179 EGX262179 EQT262179 FAP262179 FKL262179 FUH262179 GED262179 GNZ262179 GXV262179 HHR262179 HRN262179 IBJ262179 ILF262179 IVB262179 JEX262179 JOT262179 JYP262179 KIL262179 KSH262179 LCD262179 LLZ262179 LVV262179 MFR262179 MPN262179 MZJ262179 NJF262179 NTB262179 OCX262179 OMT262179 OWP262179 PGL262179 PQH262179 QAD262179 QJZ262179 QTV262179 RDR262179 RNN262179 RXJ262179 SHF262179 SRB262179 TAX262179 TKT262179 TUP262179 UEL262179 UOH262179 UYD262179 VHZ262179 VRV262179 WBR262179 WLN262179 WVJ262179 B327715 IX327715 ST327715 ACP327715 AML327715 AWH327715 BGD327715 BPZ327715 BZV327715 CJR327715 CTN327715 DDJ327715 DNF327715 DXB327715 EGX327715 EQT327715 FAP327715 FKL327715 FUH327715 GED327715 GNZ327715 GXV327715 HHR327715 HRN327715 IBJ327715 ILF327715 IVB327715 JEX327715 JOT327715 JYP327715 KIL327715 KSH327715 LCD327715 LLZ327715 LVV327715 MFR327715 MPN327715 MZJ327715 NJF327715 NTB327715 OCX327715 OMT327715 OWP327715 PGL327715 PQH327715 QAD327715 QJZ327715 QTV327715 RDR327715 RNN327715 RXJ327715 SHF327715 SRB327715 TAX327715 TKT327715 TUP327715 UEL327715 UOH327715 UYD327715 VHZ327715 VRV327715 WBR327715 WLN327715 WVJ327715 B393251 IX393251 ST393251 ACP393251 AML393251 AWH393251 BGD393251 BPZ393251 BZV393251 CJR393251 CTN393251 DDJ393251 DNF393251 DXB393251 EGX393251 EQT393251 FAP393251 FKL393251 FUH393251 GED393251 GNZ393251 GXV393251 HHR393251 HRN393251 IBJ393251 ILF393251 IVB393251 JEX393251 JOT393251 JYP393251 KIL393251 KSH393251 LCD393251 LLZ393251 LVV393251 MFR393251 MPN393251 MZJ393251 NJF393251 NTB393251 OCX393251 OMT393251 OWP393251 PGL393251 PQH393251 QAD393251 QJZ393251 QTV393251 RDR393251 RNN393251 RXJ393251 SHF393251 SRB393251 TAX393251 TKT393251 TUP393251 UEL393251 UOH393251 UYD393251 VHZ393251 VRV393251 WBR393251 WLN393251 WVJ393251 B458787 IX458787 ST458787 ACP458787 AML458787 AWH458787 BGD458787 BPZ458787 BZV458787 CJR458787 CTN458787 DDJ458787 DNF458787 DXB458787 EGX458787 EQT458787 FAP458787 FKL458787 FUH458787 GED458787 GNZ458787 GXV458787 HHR458787 HRN458787 IBJ458787 ILF458787 IVB458787 JEX458787 JOT458787 JYP458787 KIL458787 KSH458787 LCD458787 LLZ458787 LVV458787 MFR458787 MPN458787 MZJ458787 NJF458787 NTB458787 OCX458787 OMT458787 OWP458787 PGL458787 PQH458787 QAD458787 QJZ458787 QTV458787 RDR458787 RNN458787 RXJ458787 SHF458787 SRB458787 TAX458787 TKT458787 TUP458787 UEL458787 UOH458787 UYD458787 VHZ458787 VRV458787 WBR458787 WLN458787 WVJ458787 B524323 IX524323 ST524323 ACP524323 AML524323 AWH524323 BGD524323 BPZ524323 BZV524323 CJR524323 CTN524323 DDJ524323 DNF524323 DXB524323 EGX524323 EQT524323 FAP524323 FKL524323 FUH524323 GED524323 GNZ524323 GXV524323 HHR524323 HRN524323 IBJ524323 ILF524323 IVB524323 JEX524323 JOT524323 JYP524323 KIL524323 KSH524323 LCD524323 LLZ524323 LVV524323 MFR524323 MPN524323 MZJ524323 NJF524323 NTB524323 OCX524323 OMT524323 OWP524323 PGL524323 PQH524323 QAD524323 QJZ524323 QTV524323 RDR524323 RNN524323 RXJ524323 SHF524323 SRB524323 TAX524323 TKT524323 TUP524323 UEL524323 UOH524323 UYD524323 VHZ524323 VRV524323 WBR524323 WLN524323 WVJ524323 B589859 IX589859 ST589859 ACP589859 AML589859 AWH589859 BGD589859 BPZ589859 BZV589859 CJR589859 CTN589859 DDJ589859 DNF589859 DXB589859 EGX589859 EQT589859 FAP589859 FKL589859 FUH589859 GED589859 GNZ589859 GXV589859 HHR589859 HRN589859 IBJ589859 ILF589859 IVB589859 JEX589859 JOT589859 JYP589859 KIL589859 KSH589859 LCD589859 LLZ589859 LVV589859 MFR589859 MPN589859 MZJ589859 NJF589859 NTB589859 OCX589859 OMT589859 OWP589859 PGL589859 PQH589859 QAD589859 QJZ589859 QTV589859 RDR589859 RNN589859 RXJ589859 SHF589859 SRB589859 TAX589859 TKT589859 TUP589859 UEL589859 UOH589859 UYD589859 VHZ589859 VRV589859 WBR589859 WLN589859 WVJ589859 B655395 IX655395 ST655395 ACP655395 AML655395 AWH655395 BGD655395 BPZ655395 BZV655395 CJR655395 CTN655395 DDJ655395 DNF655395 DXB655395 EGX655395 EQT655395 FAP655395 FKL655395 FUH655395 GED655395 GNZ655395 GXV655395 HHR655395 HRN655395 IBJ655395 ILF655395 IVB655395 JEX655395 JOT655395 JYP655395 KIL655395 KSH655395 LCD655395 LLZ655395 LVV655395 MFR655395 MPN655395 MZJ655395 NJF655395 NTB655395 OCX655395 OMT655395 OWP655395 PGL655395 PQH655395 QAD655395 QJZ655395 QTV655395 RDR655395 RNN655395 RXJ655395 SHF655395 SRB655395 TAX655395 TKT655395 TUP655395 UEL655395 UOH655395 UYD655395 VHZ655395 VRV655395 WBR655395 WLN655395 WVJ655395 B720931 IX720931 ST720931 ACP720931 AML720931 AWH720931 BGD720931 BPZ720931 BZV720931 CJR720931 CTN720931 DDJ720931 DNF720931 DXB720931 EGX720931 EQT720931 FAP720931 FKL720931 FUH720931 GED720931 GNZ720931 GXV720931 HHR720931 HRN720931 IBJ720931 ILF720931 IVB720931 JEX720931 JOT720931 JYP720931 KIL720931 KSH720931 LCD720931 LLZ720931 LVV720931 MFR720931 MPN720931 MZJ720931 NJF720931 NTB720931 OCX720931 OMT720931 OWP720931 PGL720931 PQH720931 QAD720931 QJZ720931 QTV720931 RDR720931 RNN720931 RXJ720931 SHF720931 SRB720931 TAX720931 TKT720931 TUP720931 UEL720931 UOH720931 UYD720931 VHZ720931 VRV720931 WBR720931 WLN720931 WVJ720931 B786467 IX786467 ST786467 ACP786467 AML786467 AWH786467 BGD786467 BPZ786467 BZV786467 CJR786467 CTN786467 DDJ786467 DNF786467 DXB786467 EGX786467 EQT786467 FAP786467 FKL786467 FUH786467 GED786467 GNZ786467 GXV786467 HHR786467 HRN786467 IBJ786467 ILF786467 IVB786467 JEX786467 JOT786467 JYP786467 KIL786467 KSH786467 LCD786467 LLZ786467 LVV786467 MFR786467 MPN786467 MZJ786467 NJF786467 NTB786467 OCX786467 OMT786467 OWP786467 PGL786467 PQH786467 QAD786467 QJZ786467 QTV786467 RDR786467 RNN786467 RXJ786467 SHF786467 SRB786467 TAX786467 TKT786467 TUP786467 UEL786467 UOH786467 UYD786467 VHZ786467 VRV786467 WBR786467 WLN786467 WVJ786467 B852003 IX852003 ST852003 ACP852003 AML852003 AWH852003 BGD852003 BPZ852003 BZV852003 CJR852003 CTN852003 DDJ852003 DNF852003 DXB852003 EGX852003 EQT852003 FAP852003 FKL852003 FUH852003 GED852003 GNZ852003 GXV852003 HHR852003 HRN852003 IBJ852003 ILF852003 IVB852003 JEX852003 JOT852003 JYP852003 KIL852003 KSH852003 LCD852003 LLZ852003 LVV852003 MFR852003 MPN852003 MZJ852003 NJF852003 NTB852003 OCX852003 OMT852003 OWP852003 PGL852003 PQH852003 QAD852003 QJZ852003 QTV852003 RDR852003 RNN852003 RXJ852003 SHF852003 SRB852003 TAX852003 TKT852003 TUP852003 UEL852003 UOH852003 UYD852003 VHZ852003 VRV852003 WBR852003 WLN852003 WVJ852003 B917539 IX917539 ST917539 ACP917539 AML917539 AWH917539 BGD917539 BPZ917539 BZV917539 CJR917539 CTN917539 DDJ917539 DNF917539 DXB917539 EGX917539 EQT917539 FAP917539 FKL917539 FUH917539 GED917539 GNZ917539 GXV917539 HHR917539 HRN917539 IBJ917539 ILF917539 IVB917539 JEX917539 JOT917539 JYP917539 KIL917539 KSH917539 LCD917539 LLZ917539 LVV917539 MFR917539 MPN917539 MZJ917539 NJF917539 NTB917539 OCX917539 OMT917539 OWP917539 PGL917539 PQH917539 QAD917539 QJZ917539 QTV917539 RDR917539 RNN917539 RXJ917539 SHF917539 SRB917539 TAX917539 TKT917539 TUP917539 UEL917539 UOH917539 UYD917539 VHZ917539 VRV917539 WBR917539 WLN917539 WVJ917539 B983075 IX983075 ST983075 ACP983075 AML983075 AWH983075 BGD983075 BPZ983075 BZV983075 CJR983075 CTN983075 DDJ983075 DNF983075 DXB983075 EGX983075 EQT983075 FAP983075 FKL983075 FUH983075 GED983075 GNZ983075 GXV983075 HHR983075 HRN983075 IBJ983075 ILF983075 IVB983075 JEX983075 JOT983075 JYP983075 KIL983075 KSH983075 LCD983075 LLZ983075 LVV983075 MFR983075 MPN983075 MZJ983075 NJF983075 NTB983075 OCX983075 OMT983075 OWP983075 PGL983075 PQH983075 QAD983075 QJZ983075 QTV983075 RDR983075 RNN983075 RXJ983075 SHF983075 SRB983075 TAX983075 TKT983075 TUP983075 UEL983075 UOH983075 UYD983075 VHZ983075 VRV983075 WBR983075 WLN983075 WVJ983075">
      <formula1>1</formula1>
    </dataValidation>
    <dataValidation allowBlank="1" showInputMessage="1" showErrorMessage="1" prompt="Примечание: Депозиты до востребования должны включать другие депозиты из таблицы &quot;Анализ обязательств банка&quot; " sqref="B12:C12 IX12:IY12 ST12:SU12 ACP12:ACQ12 AML12:AMM12 AWH12:AWI12 BGD12:BGE12 BPZ12:BQA12 BZV12:BZW12 CJR12:CJS12 CTN12:CTO12 DDJ12:DDK12 DNF12:DNG12 DXB12:DXC12 EGX12:EGY12 EQT12:EQU12 FAP12:FAQ12 FKL12:FKM12 FUH12:FUI12 GED12:GEE12 GNZ12:GOA12 GXV12:GXW12 HHR12:HHS12 HRN12:HRO12 IBJ12:IBK12 ILF12:ILG12 IVB12:IVC12 JEX12:JEY12 JOT12:JOU12 JYP12:JYQ12 KIL12:KIM12 KSH12:KSI12 LCD12:LCE12 LLZ12:LMA12 LVV12:LVW12 MFR12:MFS12 MPN12:MPO12 MZJ12:MZK12 NJF12:NJG12 NTB12:NTC12 OCX12:OCY12 OMT12:OMU12 OWP12:OWQ12 PGL12:PGM12 PQH12:PQI12 QAD12:QAE12 QJZ12:QKA12 QTV12:QTW12 RDR12:RDS12 RNN12:RNO12 RXJ12:RXK12 SHF12:SHG12 SRB12:SRC12 TAX12:TAY12 TKT12:TKU12 TUP12:TUQ12 UEL12:UEM12 UOH12:UOI12 UYD12:UYE12 VHZ12:VIA12 VRV12:VRW12 WBR12:WBS12 WLN12:WLO12 WVJ12:WVK12 B65548:C65548 IX65548:IY65548 ST65548:SU65548 ACP65548:ACQ65548 AML65548:AMM65548 AWH65548:AWI65548 BGD65548:BGE65548 BPZ65548:BQA65548 BZV65548:BZW65548 CJR65548:CJS65548 CTN65548:CTO65548 DDJ65548:DDK65548 DNF65548:DNG65548 DXB65548:DXC65548 EGX65548:EGY65548 EQT65548:EQU65548 FAP65548:FAQ65548 FKL65548:FKM65548 FUH65548:FUI65548 GED65548:GEE65548 GNZ65548:GOA65548 GXV65548:GXW65548 HHR65548:HHS65548 HRN65548:HRO65548 IBJ65548:IBK65548 ILF65548:ILG65548 IVB65548:IVC65548 JEX65548:JEY65548 JOT65548:JOU65548 JYP65548:JYQ65548 KIL65548:KIM65548 KSH65548:KSI65548 LCD65548:LCE65548 LLZ65548:LMA65548 LVV65548:LVW65548 MFR65548:MFS65548 MPN65548:MPO65548 MZJ65548:MZK65548 NJF65548:NJG65548 NTB65548:NTC65548 OCX65548:OCY65548 OMT65548:OMU65548 OWP65548:OWQ65548 PGL65548:PGM65548 PQH65548:PQI65548 QAD65548:QAE65548 QJZ65548:QKA65548 QTV65548:QTW65548 RDR65548:RDS65548 RNN65548:RNO65548 RXJ65548:RXK65548 SHF65548:SHG65548 SRB65548:SRC65548 TAX65548:TAY65548 TKT65548:TKU65548 TUP65548:TUQ65548 UEL65548:UEM65548 UOH65548:UOI65548 UYD65548:UYE65548 VHZ65548:VIA65548 VRV65548:VRW65548 WBR65548:WBS65548 WLN65548:WLO65548 WVJ65548:WVK65548 B131084:C131084 IX131084:IY131084 ST131084:SU131084 ACP131084:ACQ131084 AML131084:AMM131084 AWH131084:AWI131084 BGD131084:BGE131084 BPZ131084:BQA131084 BZV131084:BZW131084 CJR131084:CJS131084 CTN131084:CTO131084 DDJ131084:DDK131084 DNF131084:DNG131084 DXB131084:DXC131084 EGX131084:EGY131084 EQT131084:EQU131084 FAP131084:FAQ131084 FKL131084:FKM131084 FUH131084:FUI131084 GED131084:GEE131084 GNZ131084:GOA131084 GXV131084:GXW131084 HHR131084:HHS131084 HRN131084:HRO131084 IBJ131084:IBK131084 ILF131084:ILG131084 IVB131084:IVC131084 JEX131084:JEY131084 JOT131084:JOU131084 JYP131084:JYQ131084 KIL131084:KIM131084 KSH131084:KSI131084 LCD131084:LCE131084 LLZ131084:LMA131084 LVV131084:LVW131084 MFR131084:MFS131084 MPN131084:MPO131084 MZJ131084:MZK131084 NJF131084:NJG131084 NTB131084:NTC131084 OCX131084:OCY131084 OMT131084:OMU131084 OWP131084:OWQ131084 PGL131084:PGM131084 PQH131084:PQI131084 QAD131084:QAE131084 QJZ131084:QKA131084 QTV131084:QTW131084 RDR131084:RDS131084 RNN131084:RNO131084 RXJ131084:RXK131084 SHF131084:SHG131084 SRB131084:SRC131084 TAX131084:TAY131084 TKT131084:TKU131084 TUP131084:TUQ131084 UEL131084:UEM131084 UOH131084:UOI131084 UYD131084:UYE131084 VHZ131084:VIA131084 VRV131084:VRW131084 WBR131084:WBS131084 WLN131084:WLO131084 WVJ131084:WVK131084 B196620:C196620 IX196620:IY196620 ST196620:SU196620 ACP196620:ACQ196620 AML196620:AMM196620 AWH196620:AWI196620 BGD196620:BGE196620 BPZ196620:BQA196620 BZV196620:BZW196620 CJR196620:CJS196620 CTN196620:CTO196620 DDJ196620:DDK196620 DNF196620:DNG196620 DXB196620:DXC196620 EGX196620:EGY196620 EQT196620:EQU196620 FAP196620:FAQ196620 FKL196620:FKM196620 FUH196620:FUI196620 GED196620:GEE196620 GNZ196620:GOA196620 GXV196620:GXW196620 HHR196620:HHS196620 HRN196620:HRO196620 IBJ196620:IBK196620 ILF196620:ILG196620 IVB196620:IVC196620 JEX196620:JEY196620 JOT196620:JOU196620 JYP196620:JYQ196620 KIL196620:KIM196620 KSH196620:KSI196620 LCD196620:LCE196620 LLZ196620:LMA196620 LVV196620:LVW196620 MFR196620:MFS196620 MPN196620:MPO196620 MZJ196620:MZK196620 NJF196620:NJG196620 NTB196620:NTC196620 OCX196620:OCY196620 OMT196620:OMU196620 OWP196620:OWQ196620 PGL196620:PGM196620 PQH196620:PQI196620 QAD196620:QAE196620 QJZ196620:QKA196620 QTV196620:QTW196620 RDR196620:RDS196620 RNN196620:RNO196620 RXJ196620:RXK196620 SHF196620:SHG196620 SRB196620:SRC196620 TAX196620:TAY196620 TKT196620:TKU196620 TUP196620:TUQ196620 UEL196620:UEM196620 UOH196620:UOI196620 UYD196620:UYE196620 VHZ196620:VIA196620 VRV196620:VRW196620 WBR196620:WBS196620 WLN196620:WLO196620 WVJ196620:WVK196620 B262156:C262156 IX262156:IY262156 ST262156:SU262156 ACP262156:ACQ262156 AML262156:AMM262156 AWH262156:AWI262156 BGD262156:BGE262156 BPZ262156:BQA262156 BZV262156:BZW262156 CJR262156:CJS262156 CTN262156:CTO262156 DDJ262156:DDK262156 DNF262156:DNG262156 DXB262156:DXC262156 EGX262156:EGY262156 EQT262156:EQU262156 FAP262156:FAQ262156 FKL262156:FKM262156 FUH262156:FUI262156 GED262156:GEE262156 GNZ262156:GOA262156 GXV262156:GXW262156 HHR262156:HHS262156 HRN262156:HRO262156 IBJ262156:IBK262156 ILF262156:ILG262156 IVB262156:IVC262156 JEX262156:JEY262156 JOT262156:JOU262156 JYP262156:JYQ262156 KIL262156:KIM262156 KSH262156:KSI262156 LCD262156:LCE262156 LLZ262156:LMA262156 LVV262156:LVW262156 MFR262156:MFS262156 MPN262156:MPO262156 MZJ262156:MZK262156 NJF262156:NJG262156 NTB262156:NTC262156 OCX262156:OCY262156 OMT262156:OMU262156 OWP262156:OWQ262156 PGL262156:PGM262156 PQH262156:PQI262156 QAD262156:QAE262156 QJZ262156:QKA262156 QTV262156:QTW262156 RDR262156:RDS262156 RNN262156:RNO262156 RXJ262156:RXK262156 SHF262156:SHG262156 SRB262156:SRC262156 TAX262156:TAY262156 TKT262156:TKU262156 TUP262156:TUQ262156 UEL262156:UEM262156 UOH262156:UOI262156 UYD262156:UYE262156 VHZ262156:VIA262156 VRV262156:VRW262156 WBR262156:WBS262156 WLN262156:WLO262156 WVJ262156:WVK262156 B327692:C327692 IX327692:IY327692 ST327692:SU327692 ACP327692:ACQ327692 AML327692:AMM327692 AWH327692:AWI327692 BGD327692:BGE327692 BPZ327692:BQA327692 BZV327692:BZW327692 CJR327692:CJS327692 CTN327692:CTO327692 DDJ327692:DDK327692 DNF327692:DNG327692 DXB327692:DXC327692 EGX327692:EGY327692 EQT327692:EQU327692 FAP327692:FAQ327692 FKL327692:FKM327692 FUH327692:FUI327692 GED327692:GEE327692 GNZ327692:GOA327692 GXV327692:GXW327692 HHR327692:HHS327692 HRN327692:HRO327692 IBJ327692:IBK327692 ILF327692:ILG327692 IVB327692:IVC327692 JEX327692:JEY327692 JOT327692:JOU327692 JYP327692:JYQ327692 KIL327692:KIM327692 KSH327692:KSI327692 LCD327692:LCE327692 LLZ327692:LMA327692 LVV327692:LVW327692 MFR327692:MFS327692 MPN327692:MPO327692 MZJ327692:MZK327692 NJF327692:NJG327692 NTB327692:NTC327692 OCX327692:OCY327692 OMT327692:OMU327692 OWP327692:OWQ327692 PGL327692:PGM327692 PQH327692:PQI327692 QAD327692:QAE327692 QJZ327692:QKA327692 QTV327692:QTW327692 RDR327692:RDS327692 RNN327692:RNO327692 RXJ327692:RXK327692 SHF327692:SHG327692 SRB327692:SRC327692 TAX327692:TAY327692 TKT327692:TKU327692 TUP327692:TUQ327692 UEL327692:UEM327692 UOH327692:UOI327692 UYD327692:UYE327692 VHZ327692:VIA327692 VRV327692:VRW327692 WBR327692:WBS327692 WLN327692:WLO327692 WVJ327692:WVK327692 B393228:C393228 IX393228:IY393228 ST393228:SU393228 ACP393228:ACQ393228 AML393228:AMM393228 AWH393228:AWI393228 BGD393228:BGE393228 BPZ393228:BQA393228 BZV393228:BZW393228 CJR393228:CJS393228 CTN393228:CTO393228 DDJ393228:DDK393228 DNF393228:DNG393228 DXB393228:DXC393228 EGX393228:EGY393228 EQT393228:EQU393228 FAP393228:FAQ393228 FKL393228:FKM393228 FUH393228:FUI393228 GED393228:GEE393228 GNZ393228:GOA393228 GXV393228:GXW393228 HHR393228:HHS393228 HRN393228:HRO393228 IBJ393228:IBK393228 ILF393228:ILG393228 IVB393228:IVC393228 JEX393228:JEY393228 JOT393228:JOU393228 JYP393228:JYQ393228 KIL393228:KIM393228 KSH393228:KSI393228 LCD393228:LCE393228 LLZ393228:LMA393228 LVV393228:LVW393228 MFR393228:MFS393228 MPN393228:MPO393228 MZJ393228:MZK393228 NJF393228:NJG393228 NTB393228:NTC393228 OCX393228:OCY393228 OMT393228:OMU393228 OWP393228:OWQ393228 PGL393228:PGM393228 PQH393228:PQI393228 QAD393228:QAE393228 QJZ393228:QKA393228 QTV393228:QTW393228 RDR393228:RDS393228 RNN393228:RNO393228 RXJ393228:RXK393228 SHF393228:SHG393228 SRB393228:SRC393228 TAX393228:TAY393228 TKT393228:TKU393228 TUP393228:TUQ393228 UEL393228:UEM393228 UOH393228:UOI393228 UYD393228:UYE393228 VHZ393228:VIA393228 VRV393228:VRW393228 WBR393228:WBS393228 WLN393228:WLO393228 WVJ393228:WVK393228 B458764:C458764 IX458764:IY458764 ST458764:SU458764 ACP458764:ACQ458764 AML458764:AMM458764 AWH458764:AWI458764 BGD458764:BGE458764 BPZ458764:BQA458764 BZV458764:BZW458764 CJR458764:CJS458764 CTN458764:CTO458764 DDJ458764:DDK458764 DNF458764:DNG458764 DXB458764:DXC458764 EGX458764:EGY458764 EQT458764:EQU458764 FAP458764:FAQ458764 FKL458764:FKM458764 FUH458764:FUI458764 GED458764:GEE458764 GNZ458764:GOA458764 GXV458764:GXW458764 HHR458764:HHS458764 HRN458764:HRO458764 IBJ458764:IBK458764 ILF458764:ILG458764 IVB458764:IVC458764 JEX458764:JEY458764 JOT458764:JOU458764 JYP458764:JYQ458764 KIL458764:KIM458764 KSH458764:KSI458764 LCD458764:LCE458764 LLZ458764:LMA458764 LVV458764:LVW458764 MFR458764:MFS458764 MPN458764:MPO458764 MZJ458764:MZK458764 NJF458764:NJG458764 NTB458764:NTC458764 OCX458764:OCY458764 OMT458764:OMU458764 OWP458764:OWQ458764 PGL458764:PGM458764 PQH458764:PQI458764 QAD458764:QAE458764 QJZ458764:QKA458764 QTV458764:QTW458764 RDR458764:RDS458764 RNN458764:RNO458764 RXJ458764:RXK458764 SHF458764:SHG458764 SRB458764:SRC458764 TAX458764:TAY458764 TKT458764:TKU458764 TUP458764:TUQ458764 UEL458764:UEM458764 UOH458764:UOI458764 UYD458764:UYE458764 VHZ458764:VIA458764 VRV458764:VRW458764 WBR458764:WBS458764 WLN458764:WLO458764 WVJ458764:WVK458764 B524300:C524300 IX524300:IY524300 ST524300:SU524300 ACP524300:ACQ524300 AML524300:AMM524300 AWH524300:AWI524300 BGD524300:BGE524300 BPZ524300:BQA524300 BZV524300:BZW524300 CJR524300:CJS524300 CTN524300:CTO524300 DDJ524300:DDK524300 DNF524300:DNG524300 DXB524300:DXC524300 EGX524300:EGY524300 EQT524300:EQU524300 FAP524300:FAQ524300 FKL524300:FKM524300 FUH524300:FUI524300 GED524300:GEE524300 GNZ524300:GOA524300 GXV524300:GXW524300 HHR524300:HHS524300 HRN524300:HRO524300 IBJ524300:IBK524300 ILF524300:ILG524300 IVB524300:IVC524300 JEX524300:JEY524300 JOT524300:JOU524300 JYP524300:JYQ524300 KIL524300:KIM524300 KSH524300:KSI524300 LCD524300:LCE524300 LLZ524300:LMA524300 LVV524300:LVW524300 MFR524300:MFS524300 MPN524300:MPO524300 MZJ524300:MZK524300 NJF524300:NJG524300 NTB524300:NTC524300 OCX524300:OCY524300 OMT524300:OMU524300 OWP524300:OWQ524300 PGL524300:PGM524300 PQH524300:PQI524300 QAD524300:QAE524300 QJZ524300:QKA524300 QTV524300:QTW524300 RDR524300:RDS524300 RNN524300:RNO524300 RXJ524300:RXK524300 SHF524300:SHG524300 SRB524300:SRC524300 TAX524300:TAY524300 TKT524300:TKU524300 TUP524300:TUQ524300 UEL524300:UEM524300 UOH524300:UOI524300 UYD524300:UYE524300 VHZ524300:VIA524300 VRV524300:VRW524300 WBR524300:WBS524300 WLN524300:WLO524300 WVJ524300:WVK524300 B589836:C589836 IX589836:IY589836 ST589836:SU589836 ACP589836:ACQ589836 AML589836:AMM589836 AWH589836:AWI589836 BGD589836:BGE589836 BPZ589836:BQA589836 BZV589836:BZW589836 CJR589836:CJS589836 CTN589836:CTO589836 DDJ589836:DDK589836 DNF589836:DNG589836 DXB589836:DXC589836 EGX589836:EGY589836 EQT589836:EQU589836 FAP589836:FAQ589836 FKL589836:FKM589836 FUH589836:FUI589836 GED589836:GEE589836 GNZ589836:GOA589836 GXV589836:GXW589836 HHR589836:HHS589836 HRN589836:HRO589836 IBJ589836:IBK589836 ILF589836:ILG589836 IVB589836:IVC589836 JEX589836:JEY589836 JOT589836:JOU589836 JYP589836:JYQ589836 KIL589836:KIM589836 KSH589836:KSI589836 LCD589836:LCE589836 LLZ589836:LMA589836 LVV589836:LVW589836 MFR589836:MFS589836 MPN589836:MPO589836 MZJ589836:MZK589836 NJF589836:NJG589836 NTB589836:NTC589836 OCX589836:OCY589836 OMT589836:OMU589836 OWP589836:OWQ589836 PGL589836:PGM589836 PQH589836:PQI589836 QAD589836:QAE589836 QJZ589836:QKA589836 QTV589836:QTW589836 RDR589836:RDS589836 RNN589836:RNO589836 RXJ589836:RXK589836 SHF589836:SHG589836 SRB589836:SRC589836 TAX589836:TAY589836 TKT589836:TKU589836 TUP589836:TUQ589836 UEL589836:UEM589836 UOH589836:UOI589836 UYD589836:UYE589836 VHZ589836:VIA589836 VRV589836:VRW589836 WBR589836:WBS589836 WLN589836:WLO589836 WVJ589836:WVK589836 B655372:C655372 IX655372:IY655372 ST655372:SU655372 ACP655372:ACQ655372 AML655372:AMM655372 AWH655372:AWI655372 BGD655372:BGE655372 BPZ655372:BQA655372 BZV655372:BZW655372 CJR655372:CJS655372 CTN655372:CTO655372 DDJ655372:DDK655372 DNF655372:DNG655372 DXB655372:DXC655372 EGX655372:EGY655372 EQT655372:EQU655372 FAP655372:FAQ655372 FKL655372:FKM655372 FUH655372:FUI655372 GED655372:GEE655372 GNZ655372:GOA655372 GXV655372:GXW655372 HHR655372:HHS655372 HRN655372:HRO655372 IBJ655372:IBK655372 ILF655372:ILG655372 IVB655372:IVC655372 JEX655372:JEY655372 JOT655372:JOU655372 JYP655372:JYQ655372 KIL655372:KIM655372 KSH655372:KSI655372 LCD655372:LCE655372 LLZ655372:LMA655372 LVV655372:LVW655372 MFR655372:MFS655372 MPN655372:MPO655372 MZJ655372:MZK655372 NJF655372:NJG655372 NTB655372:NTC655372 OCX655372:OCY655372 OMT655372:OMU655372 OWP655372:OWQ655372 PGL655372:PGM655372 PQH655372:PQI655372 QAD655372:QAE655372 QJZ655372:QKA655372 QTV655372:QTW655372 RDR655372:RDS655372 RNN655372:RNO655372 RXJ655372:RXK655372 SHF655372:SHG655372 SRB655372:SRC655372 TAX655372:TAY655372 TKT655372:TKU655372 TUP655372:TUQ655372 UEL655372:UEM655372 UOH655372:UOI655372 UYD655372:UYE655372 VHZ655372:VIA655372 VRV655372:VRW655372 WBR655372:WBS655372 WLN655372:WLO655372 WVJ655372:WVK655372 B720908:C720908 IX720908:IY720908 ST720908:SU720908 ACP720908:ACQ720908 AML720908:AMM720908 AWH720908:AWI720908 BGD720908:BGE720908 BPZ720908:BQA720908 BZV720908:BZW720908 CJR720908:CJS720908 CTN720908:CTO720908 DDJ720908:DDK720908 DNF720908:DNG720908 DXB720908:DXC720908 EGX720908:EGY720908 EQT720908:EQU720908 FAP720908:FAQ720908 FKL720908:FKM720908 FUH720908:FUI720908 GED720908:GEE720908 GNZ720908:GOA720908 GXV720908:GXW720908 HHR720908:HHS720908 HRN720908:HRO720908 IBJ720908:IBK720908 ILF720908:ILG720908 IVB720908:IVC720908 JEX720908:JEY720908 JOT720908:JOU720908 JYP720908:JYQ720908 KIL720908:KIM720908 KSH720908:KSI720908 LCD720908:LCE720908 LLZ720908:LMA720908 LVV720908:LVW720908 MFR720908:MFS720908 MPN720908:MPO720908 MZJ720908:MZK720908 NJF720908:NJG720908 NTB720908:NTC720908 OCX720908:OCY720908 OMT720908:OMU720908 OWP720908:OWQ720908 PGL720908:PGM720908 PQH720908:PQI720908 QAD720908:QAE720908 QJZ720908:QKA720908 QTV720908:QTW720908 RDR720908:RDS720908 RNN720908:RNO720908 RXJ720908:RXK720908 SHF720908:SHG720908 SRB720908:SRC720908 TAX720908:TAY720908 TKT720908:TKU720908 TUP720908:TUQ720908 UEL720908:UEM720908 UOH720908:UOI720908 UYD720908:UYE720908 VHZ720908:VIA720908 VRV720908:VRW720908 WBR720908:WBS720908 WLN720908:WLO720908 WVJ720908:WVK720908 B786444:C786444 IX786444:IY786444 ST786444:SU786444 ACP786444:ACQ786444 AML786444:AMM786444 AWH786444:AWI786444 BGD786444:BGE786444 BPZ786444:BQA786444 BZV786444:BZW786444 CJR786444:CJS786444 CTN786444:CTO786444 DDJ786444:DDK786444 DNF786444:DNG786444 DXB786444:DXC786444 EGX786444:EGY786444 EQT786444:EQU786444 FAP786444:FAQ786444 FKL786444:FKM786444 FUH786444:FUI786444 GED786444:GEE786444 GNZ786444:GOA786444 GXV786444:GXW786444 HHR786444:HHS786444 HRN786444:HRO786444 IBJ786444:IBK786444 ILF786444:ILG786444 IVB786444:IVC786444 JEX786444:JEY786444 JOT786444:JOU786444 JYP786444:JYQ786444 KIL786444:KIM786444 KSH786444:KSI786444 LCD786444:LCE786444 LLZ786444:LMA786444 LVV786444:LVW786444 MFR786444:MFS786444 MPN786444:MPO786444 MZJ786444:MZK786444 NJF786444:NJG786444 NTB786444:NTC786444 OCX786444:OCY786444 OMT786444:OMU786444 OWP786444:OWQ786444 PGL786444:PGM786444 PQH786444:PQI786444 QAD786444:QAE786444 QJZ786444:QKA786444 QTV786444:QTW786444 RDR786444:RDS786444 RNN786444:RNO786444 RXJ786444:RXK786444 SHF786444:SHG786444 SRB786444:SRC786444 TAX786444:TAY786444 TKT786444:TKU786444 TUP786444:TUQ786444 UEL786444:UEM786444 UOH786444:UOI786444 UYD786444:UYE786444 VHZ786444:VIA786444 VRV786444:VRW786444 WBR786444:WBS786444 WLN786444:WLO786444 WVJ786444:WVK786444 B851980:C851980 IX851980:IY851980 ST851980:SU851980 ACP851980:ACQ851980 AML851980:AMM851980 AWH851980:AWI851980 BGD851980:BGE851980 BPZ851980:BQA851980 BZV851980:BZW851980 CJR851980:CJS851980 CTN851980:CTO851980 DDJ851980:DDK851980 DNF851980:DNG851980 DXB851980:DXC851980 EGX851980:EGY851980 EQT851980:EQU851980 FAP851980:FAQ851980 FKL851980:FKM851980 FUH851980:FUI851980 GED851980:GEE851980 GNZ851980:GOA851980 GXV851980:GXW851980 HHR851980:HHS851980 HRN851980:HRO851980 IBJ851980:IBK851980 ILF851980:ILG851980 IVB851980:IVC851980 JEX851980:JEY851980 JOT851980:JOU851980 JYP851980:JYQ851980 KIL851980:KIM851980 KSH851980:KSI851980 LCD851980:LCE851980 LLZ851980:LMA851980 LVV851980:LVW851980 MFR851980:MFS851980 MPN851980:MPO851980 MZJ851980:MZK851980 NJF851980:NJG851980 NTB851980:NTC851980 OCX851980:OCY851980 OMT851980:OMU851980 OWP851980:OWQ851980 PGL851980:PGM851980 PQH851980:PQI851980 QAD851980:QAE851980 QJZ851980:QKA851980 QTV851980:QTW851980 RDR851980:RDS851980 RNN851980:RNO851980 RXJ851980:RXK851980 SHF851980:SHG851980 SRB851980:SRC851980 TAX851980:TAY851980 TKT851980:TKU851980 TUP851980:TUQ851980 UEL851980:UEM851980 UOH851980:UOI851980 UYD851980:UYE851980 VHZ851980:VIA851980 VRV851980:VRW851980 WBR851980:WBS851980 WLN851980:WLO851980 WVJ851980:WVK851980 B917516:C917516 IX917516:IY917516 ST917516:SU917516 ACP917516:ACQ917516 AML917516:AMM917516 AWH917516:AWI917516 BGD917516:BGE917516 BPZ917516:BQA917516 BZV917516:BZW917516 CJR917516:CJS917516 CTN917516:CTO917516 DDJ917516:DDK917516 DNF917516:DNG917516 DXB917516:DXC917516 EGX917516:EGY917516 EQT917516:EQU917516 FAP917516:FAQ917516 FKL917516:FKM917516 FUH917516:FUI917516 GED917516:GEE917516 GNZ917516:GOA917516 GXV917516:GXW917516 HHR917516:HHS917516 HRN917516:HRO917516 IBJ917516:IBK917516 ILF917516:ILG917516 IVB917516:IVC917516 JEX917516:JEY917516 JOT917516:JOU917516 JYP917516:JYQ917516 KIL917516:KIM917516 KSH917516:KSI917516 LCD917516:LCE917516 LLZ917516:LMA917516 LVV917516:LVW917516 MFR917516:MFS917516 MPN917516:MPO917516 MZJ917516:MZK917516 NJF917516:NJG917516 NTB917516:NTC917516 OCX917516:OCY917516 OMT917516:OMU917516 OWP917516:OWQ917516 PGL917516:PGM917516 PQH917516:PQI917516 QAD917516:QAE917516 QJZ917516:QKA917516 QTV917516:QTW917516 RDR917516:RDS917516 RNN917516:RNO917516 RXJ917516:RXK917516 SHF917516:SHG917516 SRB917516:SRC917516 TAX917516:TAY917516 TKT917516:TKU917516 TUP917516:TUQ917516 UEL917516:UEM917516 UOH917516:UOI917516 UYD917516:UYE917516 VHZ917516:VIA917516 VRV917516:VRW917516 WBR917516:WBS917516 WLN917516:WLO917516 WVJ917516:WVK917516 B983052:C983052 IX983052:IY983052 ST983052:SU983052 ACP983052:ACQ983052 AML983052:AMM983052 AWH983052:AWI983052 BGD983052:BGE983052 BPZ983052:BQA983052 BZV983052:BZW983052 CJR983052:CJS983052 CTN983052:CTO983052 DDJ983052:DDK983052 DNF983052:DNG983052 DXB983052:DXC983052 EGX983052:EGY983052 EQT983052:EQU983052 FAP983052:FAQ983052 FKL983052:FKM983052 FUH983052:FUI983052 GED983052:GEE983052 GNZ983052:GOA983052 GXV983052:GXW983052 HHR983052:HHS983052 HRN983052:HRO983052 IBJ983052:IBK983052 ILF983052:ILG983052 IVB983052:IVC983052 JEX983052:JEY983052 JOT983052:JOU983052 JYP983052:JYQ983052 KIL983052:KIM983052 KSH983052:KSI983052 LCD983052:LCE983052 LLZ983052:LMA983052 LVV983052:LVW983052 MFR983052:MFS983052 MPN983052:MPO983052 MZJ983052:MZK983052 NJF983052:NJG983052 NTB983052:NTC983052 OCX983052:OCY983052 OMT983052:OMU983052 OWP983052:OWQ983052 PGL983052:PGM983052 PQH983052:PQI983052 QAD983052:QAE983052 QJZ983052:QKA983052 QTV983052:QTW983052 RDR983052:RDS983052 RNN983052:RNO983052 RXJ983052:RXK983052 SHF983052:SHG983052 SRB983052:SRC983052 TAX983052:TAY983052 TKT983052:TKU983052 TUP983052:TUQ983052 UEL983052:UEM983052 UOH983052:UOI983052 UYD983052:UYE983052 VHZ983052:VIA983052 VRV983052:VRW983052 WBR983052:WBS983052 WLN983052:WLO983052 WVJ983052:WVK983052"/>
  </dataValidations>
  <pageMargins left="0.37" right="0.39" top="1" bottom="1" header="0.5" footer="0.5"/>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sheetPr codeName="Лист15"/>
  <dimension ref="A1:H81"/>
  <sheetViews>
    <sheetView topLeftCell="A16" workbookViewId="0">
      <selection activeCell="B13" sqref="B13"/>
    </sheetView>
  </sheetViews>
  <sheetFormatPr defaultRowHeight="15.75"/>
  <cols>
    <col min="1" max="1" width="60.7109375" style="25" customWidth="1"/>
    <col min="2" max="2" width="25.140625" style="25" customWidth="1"/>
    <col min="3" max="3" width="22.42578125" style="25" customWidth="1"/>
    <col min="4" max="4" width="5.42578125" style="25" customWidth="1"/>
    <col min="5" max="5" width="15.85546875" style="25" customWidth="1"/>
    <col min="6" max="6" width="4.7109375" style="25" customWidth="1"/>
    <col min="7" max="9" width="5.42578125" style="25" customWidth="1"/>
    <col min="10" max="16384" width="9.140625" style="25"/>
  </cols>
  <sheetData>
    <row r="1" spans="1:8" ht="60.75" customHeight="1">
      <c r="B1" s="984" t="s">
        <v>2277</v>
      </c>
      <c r="C1" s="1005"/>
    </row>
    <row r="2" spans="1:8" ht="31.5">
      <c r="A2" s="1007" t="s">
        <v>874</v>
      </c>
      <c r="B2" s="1008"/>
      <c r="C2" s="703" t="s">
        <v>2676</v>
      </c>
      <c r="D2" s="38"/>
      <c r="E2" s="39"/>
      <c r="F2" s="38"/>
      <c r="G2" s="38"/>
      <c r="H2" s="38"/>
    </row>
    <row r="3" spans="1:8" ht="23.25" customHeight="1" thickBot="1">
      <c r="A3" s="1008"/>
      <c r="B3" s="1008"/>
      <c r="C3" s="371" t="s">
        <v>379</v>
      </c>
      <c r="D3" s="38"/>
      <c r="E3" s="39"/>
      <c r="F3" s="38"/>
      <c r="G3" s="38"/>
      <c r="H3" s="38"/>
    </row>
    <row r="4" spans="1:8" ht="26.25" customHeight="1">
      <c r="A4" s="172" t="s">
        <v>1476</v>
      </c>
      <c r="B4" s="756" t="s">
        <v>1477</v>
      </c>
      <c r="C4" s="757" t="s">
        <v>1478</v>
      </c>
      <c r="D4" s="38"/>
      <c r="E4" s="39"/>
      <c r="F4" s="38"/>
      <c r="G4" s="38"/>
      <c r="H4" s="38"/>
    </row>
    <row r="5" spans="1:8" ht="12.75" customHeight="1">
      <c r="A5" s="168"/>
      <c r="B5" s="43"/>
      <c r="C5" s="66"/>
      <c r="D5" s="38"/>
      <c r="E5" s="39"/>
      <c r="F5" s="38"/>
      <c r="G5" s="38"/>
      <c r="H5" s="38"/>
    </row>
    <row r="6" spans="1:8" ht="12.75" customHeight="1">
      <c r="A6" s="173" t="s">
        <v>1479</v>
      </c>
      <c r="B6" s="191" t="s">
        <v>827</v>
      </c>
      <c r="C6" s="356" t="s">
        <v>827</v>
      </c>
      <c r="D6" s="41"/>
      <c r="E6" s="42"/>
      <c r="F6" s="41"/>
      <c r="G6" s="41"/>
      <c r="H6" s="38"/>
    </row>
    <row r="7" spans="1:8" ht="12.75" customHeight="1">
      <c r="A7" s="174" t="s">
        <v>1524</v>
      </c>
      <c r="B7" s="191" t="s">
        <v>831</v>
      </c>
      <c r="C7" s="356" t="s">
        <v>831</v>
      </c>
      <c r="D7" s="41"/>
      <c r="E7" s="42"/>
      <c r="F7" s="41"/>
      <c r="G7" s="41"/>
      <c r="H7" s="38"/>
    </row>
    <row r="8" spans="1:8" ht="12.75" customHeight="1">
      <c r="A8" s="174" t="s">
        <v>1196</v>
      </c>
      <c r="B8" s="191" t="s">
        <v>683</v>
      </c>
      <c r="C8" s="356" t="s">
        <v>683</v>
      </c>
      <c r="D8" s="41"/>
      <c r="E8" s="42"/>
      <c r="F8" s="41"/>
      <c r="G8" s="41"/>
      <c r="H8" s="38"/>
    </row>
    <row r="9" spans="1:8" ht="12.75" customHeight="1">
      <c r="A9" s="174" t="s">
        <v>1202</v>
      </c>
      <c r="B9" s="191" t="s">
        <v>832</v>
      </c>
      <c r="C9" s="356" t="s">
        <v>832</v>
      </c>
      <c r="D9" s="41"/>
      <c r="E9" s="42"/>
      <c r="F9" s="41"/>
      <c r="G9" s="41"/>
      <c r="H9" s="38"/>
    </row>
    <row r="10" spans="1:8" ht="12.75" customHeight="1">
      <c r="A10" s="174" t="s">
        <v>2223</v>
      </c>
      <c r="B10" s="475"/>
      <c r="C10" s="475"/>
      <c r="D10" s="41"/>
      <c r="E10" s="42"/>
      <c r="F10" s="41"/>
      <c r="G10" s="41"/>
      <c r="H10" s="38"/>
    </row>
    <row r="11" spans="1:8" ht="14.25" customHeight="1">
      <c r="A11" s="174" t="s">
        <v>2224</v>
      </c>
      <c r="B11" s="462"/>
      <c r="C11" s="462"/>
      <c r="D11" s="41"/>
      <c r="E11" s="42"/>
      <c r="F11" s="41"/>
      <c r="G11" s="41"/>
      <c r="H11" s="38"/>
    </row>
    <row r="12" spans="1:8" ht="14.25" customHeight="1">
      <c r="A12" s="174" t="s">
        <v>2024</v>
      </c>
      <c r="B12" s="356" t="e">
        <f>B13-B11-B10-B9-B8-B7-B6</f>
        <v>#VALUE!</v>
      </c>
      <c r="C12" s="356" t="e">
        <f>C13-C11-C10-C9-C8-C7-C6</f>
        <v>#VALUE!</v>
      </c>
      <c r="D12" s="41"/>
      <c r="E12" s="42"/>
      <c r="F12" s="41"/>
      <c r="G12" s="41"/>
      <c r="H12" s="38"/>
    </row>
    <row r="13" spans="1:8" ht="12.75" customHeight="1">
      <c r="A13" s="175" t="s">
        <v>1377</v>
      </c>
      <c r="B13" s="356" t="s">
        <v>1493</v>
      </c>
      <c r="C13" s="356" t="s">
        <v>1493</v>
      </c>
      <c r="D13" s="41"/>
      <c r="E13" s="42"/>
      <c r="F13" s="41"/>
      <c r="G13" s="41"/>
      <c r="H13" s="38"/>
    </row>
    <row r="14" spans="1:8" ht="14.25" customHeight="1">
      <c r="A14" s="178" t="s">
        <v>1378</v>
      </c>
      <c r="B14" s="356" t="s">
        <v>833</v>
      </c>
      <c r="C14" s="179"/>
      <c r="D14" s="41"/>
      <c r="E14" s="42"/>
      <c r="F14" s="41"/>
      <c r="G14" s="41"/>
      <c r="H14" s="38"/>
    </row>
    <row r="15" spans="1:8" ht="12.75" customHeight="1">
      <c r="A15" s="175" t="s">
        <v>747</v>
      </c>
      <c r="B15" s="176" t="e">
        <f>B13-B14</f>
        <v>#VALUE!</v>
      </c>
      <c r="C15" s="179"/>
      <c r="D15" s="41"/>
      <c r="E15" s="42"/>
      <c r="F15" s="41"/>
      <c r="G15" s="41"/>
      <c r="H15" s="38"/>
    </row>
    <row r="16" spans="1:8" ht="12.75" customHeight="1">
      <c r="A16" s="180"/>
      <c r="B16" s="46"/>
      <c r="C16" s="181"/>
      <c r="D16" s="41"/>
      <c r="E16" s="42"/>
      <c r="F16" s="41"/>
      <c r="G16" s="41"/>
      <c r="H16" s="38"/>
    </row>
    <row r="17" spans="1:8" ht="25.5" customHeight="1">
      <c r="A17" s="182" t="s">
        <v>1366</v>
      </c>
      <c r="B17" s="183" t="s">
        <v>1477</v>
      </c>
      <c r="C17" s="184" t="s">
        <v>1478</v>
      </c>
      <c r="D17" s="38"/>
      <c r="E17" s="39"/>
      <c r="F17" s="38"/>
      <c r="G17" s="38"/>
      <c r="H17" s="38"/>
    </row>
    <row r="18" spans="1:8" ht="12.75" customHeight="1">
      <c r="A18" s="169"/>
      <c r="B18" s="48"/>
      <c r="C18" s="181"/>
      <c r="D18" s="41"/>
      <c r="E18" s="42"/>
      <c r="F18" s="41"/>
      <c r="G18" s="41"/>
      <c r="H18" s="38"/>
    </row>
    <row r="19" spans="1:8" ht="12.75" customHeight="1">
      <c r="A19" s="173" t="s">
        <v>1870</v>
      </c>
      <c r="B19" s="356" t="s">
        <v>1</v>
      </c>
      <c r="C19" s="356" t="s">
        <v>1</v>
      </c>
      <c r="D19" s="41"/>
      <c r="E19" s="42"/>
      <c r="F19" s="41"/>
      <c r="G19" s="41"/>
      <c r="H19" s="38"/>
    </row>
    <row r="20" spans="1:8" ht="12.75" customHeight="1">
      <c r="A20" s="174" t="s">
        <v>1871</v>
      </c>
      <c r="B20" s="356" t="s">
        <v>968</v>
      </c>
      <c r="C20" s="356" t="s">
        <v>968</v>
      </c>
      <c r="D20" s="41"/>
      <c r="E20" s="42"/>
      <c r="F20" s="41"/>
      <c r="G20" s="41"/>
      <c r="H20" s="38"/>
    </row>
    <row r="21" spans="1:8" ht="12.75" customHeight="1">
      <c r="A21" s="174" t="s">
        <v>1872</v>
      </c>
      <c r="B21" s="356" t="s">
        <v>988</v>
      </c>
      <c r="C21" s="356" t="s">
        <v>988</v>
      </c>
      <c r="D21" s="41"/>
      <c r="E21" s="42"/>
      <c r="F21" s="41"/>
      <c r="G21" s="41"/>
      <c r="H21" s="38"/>
    </row>
    <row r="22" spans="1:8" ht="12.75" customHeight="1">
      <c r="A22" s="174" t="s">
        <v>1873</v>
      </c>
      <c r="B22" s="356" t="s">
        <v>267</v>
      </c>
      <c r="C22" s="356" t="s">
        <v>267</v>
      </c>
      <c r="D22" s="41"/>
      <c r="E22" s="459"/>
      <c r="F22" s="41"/>
      <c r="G22" s="41"/>
      <c r="H22" s="38"/>
    </row>
    <row r="23" spans="1:8" ht="12.75" customHeight="1">
      <c r="A23" s="174" t="s">
        <v>1874</v>
      </c>
      <c r="B23" s="356" t="s">
        <v>989</v>
      </c>
      <c r="C23" s="356" t="s">
        <v>989</v>
      </c>
      <c r="D23" s="41"/>
      <c r="E23" s="459"/>
      <c r="F23" s="41"/>
      <c r="G23" s="41"/>
      <c r="H23" s="38"/>
    </row>
    <row r="24" spans="1:8" ht="12.75" customHeight="1">
      <c r="A24" s="174" t="s">
        <v>1875</v>
      </c>
      <c r="B24" s="356" t="s">
        <v>265</v>
      </c>
      <c r="C24" s="356" t="s">
        <v>265</v>
      </c>
      <c r="D24" s="41"/>
      <c r="E24" s="459"/>
      <c r="F24" s="41"/>
      <c r="G24" s="41"/>
      <c r="H24" s="38"/>
    </row>
    <row r="25" spans="1:8" ht="12.75" customHeight="1">
      <c r="A25" s="174" t="s">
        <v>1876</v>
      </c>
      <c r="B25" s="356" t="s">
        <v>266</v>
      </c>
      <c r="C25" s="356" t="s">
        <v>266</v>
      </c>
      <c r="D25" s="41"/>
      <c r="E25" s="42"/>
      <c r="F25" s="41"/>
      <c r="G25" s="41"/>
      <c r="H25" s="38"/>
    </row>
    <row r="26" spans="1:8" ht="12.75" customHeight="1">
      <c r="A26" s="180" t="s">
        <v>217</v>
      </c>
      <c r="B26" s="176">
        <f>SUM(B19:B25)</f>
        <v>0</v>
      </c>
      <c r="C26" s="177">
        <f>SUM(C19:C25)</f>
        <v>0</v>
      </c>
      <c r="D26" s="41"/>
      <c r="E26" s="42"/>
      <c r="F26" s="41"/>
      <c r="G26" s="41"/>
      <c r="H26" s="38"/>
    </row>
    <row r="27" spans="1:8" ht="12.75" customHeight="1">
      <c r="A27" s="178" t="s">
        <v>1378</v>
      </c>
      <c r="B27" s="356" t="s">
        <v>915</v>
      </c>
      <c r="C27" s="179"/>
      <c r="D27" s="41"/>
      <c r="E27" s="42"/>
      <c r="F27" s="41"/>
      <c r="G27" s="41"/>
      <c r="H27" s="38"/>
    </row>
    <row r="28" spans="1:8" ht="14.25" customHeight="1">
      <c r="A28" s="185" t="s">
        <v>192</v>
      </c>
      <c r="B28" s="176" t="e">
        <f>B26-B27</f>
        <v>#VALUE!</v>
      </c>
      <c r="C28" s="179"/>
      <c r="D28" s="41"/>
      <c r="E28" s="42"/>
      <c r="F28" s="41"/>
      <c r="G28" s="41"/>
      <c r="H28" s="38"/>
    </row>
    <row r="29" spans="1:8" ht="12.75" customHeight="1">
      <c r="A29" s="180"/>
      <c r="B29" s="48"/>
      <c r="C29" s="181"/>
      <c r="D29" s="41"/>
      <c r="E29" s="42"/>
      <c r="F29" s="41"/>
      <c r="G29" s="41"/>
      <c r="H29" s="38"/>
    </row>
    <row r="30" spans="1:8" ht="12.75" customHeight="1">
      <c r="A30" s="1009" t="s">
        <v>2052</v>
      </c>
      <c r="B30" s="1010"/>
      <c r="C30" s="66"/>
      <c r="D30" s="38"/>
      <c r="E30" s="39"/>
      <c r="F30" s="38"/>
      <c r="G30" s="38"/>
      <c r="H30" s="38"/>
    </row>
    <row r="31" spans="1:8" ht="12.75" customHeight="1">
      <c r="A31" s="170"/>
      <c r="B31" s="48"/>
      <c r="C31" s="181"/>
      <c r="D31" s="41"/>
      <c r="E31" s="42"/>
      <c r="F31" s="41"/>
      <c r="G31" s="41"/>
      <c r="H31" s="38"/>
    </row>
    <row r="32" spans="1:8" ht="26.25" customHeight="1">
      <c r="A32" s="170"/>
      <c r="B32" s="183" t="s">
        <v>2053</v>
      </c>
      <c r="C32" s="184" t="s">
        <v>1478</v>
      </c>
      <c r="D32" s="41"/>
      <c r="E32" s="42"/>
      <c r="F32" s="41"/>
      <c r="G32" s="41"/>
      <c r="H32" s="38"/>
    </row>
    <row r="33" spans="1:8" ht="12.75" customHeight="1">
      <c r="A33" s="168"/>
      <c r="B33" s="43"/>
      <c r="C33" s="66"/>
      <c r="D33" s="41"/>
      <c r="E33" s="42"/>
      <c r="F33" s="41"/>
      <c r="G33" s="41"/>
      <c r="H33" s="38"/>
    </row>
    <row r="34" spans="1:8" ht="12.75" customHeight="1">
      <c r="A34" s="168" t="s">
        <v>380</v>
      </c>
      <c r="B34" s="356" t="s">
        <v>1426</v>
      </c>
      <c r="C34" s="204" t="s">
        <v>1426</v>
      </c>
      <c r="D34" s="41"/>
      <c r="E34" s="42"/>
      <c r="F34" s="41"/>
      <c r="G34" s="41"/>
      <c r="H34" s="38"/>
    </row>
    <row r="35" spans="1:8" ht="12.75" customHeight="1">
      <c r="A35" s="168" t="s">
        <v>381</v>
      </c>
      <c r="B35" s="356" t="s">
        <v>1427</v>
      </c>
      <c r="C35" s="204" t="s">
        <v>1427</v>
      </c>
      <c r="D35" s="41"/>
      <c r="E35" s="42"/>
      <c r="F35" s="41"/>
      <c r="G35" s="41"/>
      <c r="H35" s="38"/>
    </row>
    <row r="36" spans="1:8" ht="12.75" customHeight="1">
      <c r="A36" s="168" t="s">
        <v>382</v>
      </c>
      <c r="B36" s="356" t="s">
        <v>1428</v>
      </c>
      <c r="C36" s="204" t="s">
        <v>1428</v>
      </c>
      <c r="D36" s="41"/>
      <c r="E36" s="42"/>
      <c r="F36" s="41"/>
      <c r="G36" s="41"/>
      <c r="H36" s="38"/>
    </row>
    <row r="37" spans="1:8" ht="12.75" customHeight="1">
      <c r="A37" s="186" t="s">
        <v>614</v>
      </c>
      <c r="B37" s="46">
        <f>SUM(B34:B36)</f>
        <v>0</v>
      </c>
      <c r="C37" s="67">
        <f>SUM(C34:C36)</f>
        <v>0</v>
      </c>
      <c r="D37" s="41"/>
      <c r="E37" s="42"/>
      <c r="F37" s="41"/>
      <c r="G37" s="41"/>
      <c r="H37" s="38"/>
    </row>
    <row r="38" spans="1:8" ht="12.75" customHeight="1">
      <c r="A38" s="243" t="s">
        <v>615</v>
      </c>
      <c r="B38" s="356" t="s">
        <v>558</v>
      </c>
      <c r="C38" s="179"/>
      <c r="D38" s="41"/>
      <c r="E38" s="42"/>
      <c r="F38" s="41"/>
      <c r="G38" s="41"/>
      <c r="H38" s="38"/>
    </row>
    <row r="39" spans="1:8" ht="12.75" customHeight="1">
      <c r="A39" s="411" t="s">
        <v>1000</v>
      </c>
      <c r="B39" s="176" t="e">
        <f>B37-B38</f>
        <v>#VALUE!</v>
      </c>
      <c r="C39" s="179"/>
      <c r="D39" s="41"/>
      <c r="E39" s="42"/>
      <c r="F39" s="41"/>
      <c r="G39" s="41"/>
      <c r="H39" s="38"/>
    </row>
    <row r="40" spans="1:8" ht="12.75" customHeight="1">
      <c r="A40" s="186"/>
      <c r="B40" s="46"/>
      <c r="C40" s="67"/>
      <c r="D40" s="38"/>
      <c r="E40" s="39"/>
      <c r="F40" s="38"/>
      <c r="G40" s="38"/>
      <c r="H40" s="38"/>
    </row>
    <row r="41" spans="1:8" ht="12.75" customHeight="1">
      <c r="A41" s="186" t="s">
        <v>47</v>
      </c>
      <c r="B41" s="188"/>
      <c r="C41" s="67"/>
      <c r="D41" s="189"/>
      <c r="E41" s="39"/>
      <c r="F41" s="38"/>
      <c r="G41" s="38"/>
      <c r="H41" s="38"/>
    </row>
    <row r="42" spans="1:8" ht="12.75" customHeight="1">
      <c r="A42" s="190" t="s">
        <v>383</v>
      </c>
      <c r="B42" s="191"/>
      <c r="C42" s="67"/>
      <c r="D42" s="41"/>
      <c r="E42" s="39"/>
      <c r="F42" s="38"/>
      <c r="G42" s="38"/>
      <c r="H42" s="38"/>
    </row>
    <row r="43" spans="1:8" ht="12.75" customHeight="1">
      <c r="A43" s="186" t="s">
        <v>384</v>
      </c>
      <c r="B43" s="188"/>
      <c r="C43" s="67"/>
      <c r="D43" s="189"/>
      <c r="E43" s="39"/>
      <c r="F43" s="38"/>
      <c r="G43" s="38"/>
      <c r="H43" s="38"/>
    </row>
    <row r="44" spans="1:8" ht="12.75" customHeight="1">
      <c r="A44" s="168" t="s">
        <v>1806</v>
      </c>
      <c r="B44" s="192" t="e">
        <f>C13-B13</f>
        <v>#VALUE!</v>
      </c>
      <c r="C44" s="67"/>
      <c r="D44" s="41"/>
      <c r="E44" s="39"/>
      <c r="F44" s="38"/>
      <c r="G44" s="38"/>
      <c r="H44" s="38"/>
    </row>
    <row r="45" spans="1:8" ht="12.75" customHeight="1">
      <c r="A45" s="186" t="s">
        <v>1807</v>
      </c>
      <c r="B45" s="188"/>
      <c r="C45" s="67"/>
      <c r="D45" s="189"/>
      <c r="E45" s="39"/>
      <c r="F45" s="38"/>
      <c r="G45" s="38"/>
      <c r="H45" s="38"/>
    </row>
    <row r="46" spans="1:8" ht="12.75" customHeight="1">
      <c r="A46" s="168" t="s">
        <v>1806</v>
      </c>
      <c r="B46" s="192">
        <f>C26-B26</f>
        <v>0</v>
      </c>
      <c r="C46" s="67"/>
      <c r="D46" s="41"/>
      <c r="E46" s="39"/>
      <c r="F46" s="38"/>
      <c r="G46" s="38"/>
      <c r="H46" s="38"/>
    </row>
    <row r="47" spans="1:8" ht="12.75" customHeight="1">
      <c r="A47" s="186" t="s">
        <v>707</v>
      </c>
      <c r="B47" s="188"/>
      <c r="C47" s="67"/>
      <c r="D47" s="189"/>
      <c r="E47" s="39"/>
      <c r="F47" s="38"/>
      <c r="G47" s="38"/>
      <c r="H47" s="38"/>
    </row>
    <row r="48" spans="1:8" ht="12.75" customHeight="1" thickBot="1">
      <c r="A48" s="193" t="s">
        <v>1806</v>
      </c>
      <c r="B48" s="194">
        <f>C37-B37</f>
        <v>0</v>
      </c>
      <c r="C48" s="195"/>
      <c r="D48" s="41"/>
      <c r="E48" s="39"/>
      <c r="F48" s="38"/>
      <c r="G48" s="38"/>
      <c r="H48" s="38"/>
    </row>
    <row r="49" spans="1:8" ht="12.75" customHeight="1">
      <c r="D49" s="38"/>
      <c r="E49" s="39"/>
      <c r="F49" s="38"/>
      <c r="G49" s="38"/>
      <c r="H49" s="38"/>
    </row>
    <row r="50" spans="1:8" ht="12.75" customHeight="1">
      <c r="A50" s="34" t="s">
        <v>102</v>
      </c>
      <c r="B50" s="38"/>
      <c r="C50" s="196" t="e">
        <f>(B15+B28)</f>
        <v>#VALUE!</v>
      </c>
      <c r="D50" s="38"/>
      <c r="E50" s="39"/>
      <c r="F50" s="38"/>
      <c r="G50" s="38"/>
      <c r="H50" s="38"/>
    </row>
    <row r="51" spans="1:8" ht="12.75" customHeight="1">
      <c r="A51" s="34" t="s">
        <v>1198</v>
      </c>
      <c r="B51" s="38"/>
      <c r="C51" s="38"/>
      <c r="D51" s="38"/>
      <c r="E51" s="39"/>
      <c r="F51" s="38"/>
      <c r="G51" s="38"/>
      <c r="H51" s="38"/>
    </row>
    <row r="52" spans="1:8" ht="12.75" customHeight="1">
      <c r="A52" s="38" t="s">
        <v>708</v>
      </c>
      <c r="B52" s="38"/>
      <c r="C52" s="38"/>
      <c r="D52" s="38"/>
      <c r="E52" s="39"/>
      <c r="F52" s="38"/>
      <c r="G52" s="38"/>
      <c r="H52" s="38"/>
    </row>
    <row r="53" spans="1:8" ht="12.75" customHeight="1">
      <c r="A53" s="38"/>
      <c r="B53" s="38"/>
      <c r="C53" s="38"/>
      <c r="D53" s="38"/>
      <c r="E53" s="39"/>
      <c r="F53" s="38"/>
      <c r="G53" s="38"/>
      <c r="H53" s="38"/>
    </row>
    <row r="54" spans="1:8" ht="12.75" customHeight="1">
      <c r="A54" s="38"/>
      <c r="B54" s="38"/>
      <c r="C54" s="38"/>
      <c r="D54" s="38"/>
      <c r="E54" s="39"/>
      <c r="F54" s="38"/>
      <c r="G54" s="38"/>
      <c r="H54" s="38"/>
    </row>
    <row r="55" spans="1:8" ht="12.75" customHeight="1">
      <c r="D55" s="38"/>
      <c r="E55" s="39"/>
      <c r="F55" s="38"/>
      <c r="G55" s="38"/>
      <c r="H55" s="38"/>
    </row>
    <row r="56" spans="1:8" ht="12.75" customHeight="1">
      <c r="D56" s="38"/>
      <c r="E56" s="39"/>
      <c r="F56" s="38"/>
      <c r="G56" s="38"/>
      <c r="H56" s="38"/>
    </row>
    <row r="57" spans="1:8" ht="12.75" customHeight="1">
      <c r="D57" s="38"/>
      <c r="E57" s="39"/>
      <c r="F57" s="38"/>
      <c r="G57" s="38"/>
      <c r="H57" s="38"/>
    </row>
    <row r="58" spans="1:8" ht="12.75" customHeight="1">
      <c r="D58" s="38"/>
      <c r="E58" s="39"/>
      <c r="F58" s="38"/>
      <c r="G58" s="38"/>
      <c r="H58" s="38"/>
    </row>
    <row r="59" spans="1:8" ht="12.75" customHeight="1">
      <c r="D59" s="38"/>
      <c r="E59" s="39"/>
      <c r="F59" s="38"/>
      <c r="G59" s="38"/>
      <c r="H59" s="38"/>
    </row>
    <row r="60" spans="1:8" ht="12.75" customHeight="1">
      <c r="D60" s="38"/>
      <c r="E60" s="39"/>
      <c r="F60" s="38"/>
      <c r="G60" s="38"/>
      <c r="H60" s="38"/>
    </row>
    <row r="61" spans="1:8" ht="12.75" customHeight="1">
      <c r="D61" s="38"/>
      <c r="E61" s="39"/>
      <c r="F61" s="38"/>
      <c r="G61" s="38"/>
      <c r="H61" s="38"/>
    </row>
    <row r="62" spans="1:8" ht="12.75" customHeight="1">
      <c r="D62" s="38"/>
      <c r="E62" s="39"/>
      <c r="F62" s="38"/>
      <c r="G62" s="38"/>
      <c r="H62" s="38"/>
    </row>
    <row r="63" spans="1:8" ht="12.75" customHeight="1">
      <c r="D63" s="38"/>
      <c r="E63" s="39"/>
      <c r="F63" s="38"/>
      <c r="G63" s="38"/>
      <c r="H63" s="38"/>
    </row>
    <row r="64" spans="1:8" ht="12.75" customHeight="1">
      <c r="D64" s="38"/>
      <c r="E64" s="39"/>
      <c r="F64" s="38"/>
      <c r="G64" s="38"/>
      <c r="H64" s="38"/>
    </row>
    <row r="65" spans="4:8" ht="12.75" customHeight="1">
      <c r="D65" s="38"/>
      <c r="E65" s="39"/>
      <c r="F65" s="38"/>
      <c r="G65" s="38"/>
      <c r="H65" s="38"/>
    </row>
    <row r="66" spans="4:8" ht="12.75" customHeight="1">
      <c r="D66" s="38"/>
      <c r="E66" s="39"/>
      <c r="F66" s="38"/>
      <c r="G66" s="38"/>
      <c r="H66" s="38"/>
    </row>
    <row r="67" spans="4:8" ht="12.75" customHeight="1">
      <c r="D67" s="38"/>
      <c r="E67" s="39"/>
      <c r="F67" s="38"/>
      <c r="G67" s="38"/>
      <c r="H67" s="38"/>
    </row>
    <row r="68" spans="4:8" ht="12.75" customHeight="1">
      <c r="D68" s="38"/>
      <c r="E68" s="39"/>
      <c r="F68" s="38"/>
      <c r="G68" s="38"/>
      <c r="H68" s="38"/>
    </row>
    <row r="69" spans="4:8" ht="12.75" customHeight="1">
      <c r="D69" s="38"/>
      <c r="E69" s="39"/>
      <c r="F69" s="38"/>
      <c r="G69" s="38"/>
      <c r="H69" s="38"/>
    </row>
    <row r="70" spans="4:8" ht="12.75" customHeight="1">
      <c r="D70" s="38"/>
      <c r="E70" s="39"/>
      <c r="F70" s="38"/>
      <c r="G70" s="38"/>
      <c r="H70" s="38"/>
    </row>
    <row r="71" spans="4:8" ht="12.75" customHeight="1">
      <c r="D71" s="38"/>
      <c r="E71" s="39"/>
      <c r="F71" s="38"/>
      <c r="G71" s="38"/>
      <c r="H71" s="38"/>
    </row>
    <row r="72" spans="4:8" ht="12.75" customHeight="1">
      <c r="D72" s="38"/>
      <c r="E72" s="39"/>
      <c r="F72" s="38"/>
      <c r="G72" s="38"/>
      <c r="H72" s="38"/>
    </row>
    <row r="73" spans="4:8" ht="12.75" customHeight="1">
      <c r="D73" s="38"/>
      <c r="E73" s="39"/>
      <c r="F73" s="38"/>
      <c r="G73" s="38"/>
      <c r="H73" s="38"/>
    </row>
    <row r="74" spans="4:8" ht="12.75" customHeight="1">
      <c r="D74" s="38"/>
      <c r="E74" s="39"/>
      <c r="F74" s="38"/>
      <c r="G74" s="38"/>
      <c r="H74" s="38"/>
    </row>
    <row r="75" spans="4:8" ht="12.75" customHeight="1">
      <c r="D75" s="38"/>
      <c r="E75" s="39"/>
      <c r="F75" s="38"/>
      <c r="G75" s="38"/>
      <c r="H75" s="38"/>
    </row>
    <row r="76" spans="4:8" ht="12.75" customHeight="1">
      <c r="D76" s="38"/>
      <c r="E76" s="39"/>
      <c r="F76" s="38"/>
      <c r="G76" s="38"/>
      <c r="H76" s="38"/>
    </row>
    <row r="77" spans="4:8" ht="12.75" customHeight="1">
      <c r="D77" s="38"/>
      <c r="E77" s="39"/>
      <c r="F77" s="38"/>
      <c r="G77" s="38"/>
      <c r="H77" s="38"/>
    </row>
    <row r="78" spans="4:8" ht="12.75" customHeight="1">
      <c r="D78" s="38"/>
      <c r="E78" s="39"/>
      <c r="F78" s="38"/>
      <c r="G78" s="38"/>
      <c r="H78" s="38"/>
    </row>
    <row r="79" spans="4:8" ht="12.75" customHeight="1">
      <c r="D79" s="38"/>
      <c r="E79" s="39"/>
      <c r="F79" s="38"/>
      <c r="G79" s="38"/>
      <c r="H79" s="38"/>
    </row>
    <row r="80" spans="4:8" ht="12.75" customHeight="1">
      <c r="D80" s="38"/>
      <c r="E80" s="39"/>
      <c r="F80" s="38"/>
      <c r="G80" s="38"/>
      <c r="H80" s="38"/>
    </row>
    <row r="81" spans="4:8" ht="12.75" customHeight="1">
      <c r="D81" s="38"/>
      <c r="E81" s="39"/>
      <c r="F81" s="38"/>
      <c r="G81" s="38"/>
      <c r="H81" s="38"/>
    </row>
  </sheetData>
  <mergeCells count="3">
    <mergeCell ref="A2:B3"/>
    <mergeCell ref="A30:B30"/>
    <mergeCell ref="B1:C1"/>
  </mergeCells>
  <phoneticPr fontId="0" type="noConversion"/>
  <pageMargins left="0.3" right="0.27" top="1" bottom="1" header="0.5" footer="0.5"/>
  <pageSetup paperSize="9" scale="89" orientation="portrait" r:id="rId1"/>
  <headerFooter alignWithMargins="0"/>
</worksheet>
</file>

<file path=xl/worksheets/sheet17.xml><?xml version="1.0" encoding="utf-8"?>
<worksheet xmlns="http://schemas.openxmlformats.org/spreadsheetml/2006/main" xmlns:r="http://schemas.openxmlformats.org/officeDocument/2006/relationships">
  <sheetPr codeName="Лист16"/>
  <dimension ref="A1:L106"/>
  <sheetViews>
    <sheetView workbookViewId="0">
      <pane xSplit="2" ySplit="6" topLeftCell="C7" activePane="bottomRight" state="frozen"/>
      <selection pane="topRight" activeCell="C1" sqref="C1"/>
      <selection pane="bottomLeft" activeCell="A6" sqref="A6"/>
      <selection pane="bottomRight" activeCell="K40" sqref="K40"/>
    </sheetView>
  </sheetViews>
  <sheetFormatPr defaultRowHeight="15.75"/>
  <cols>
    <col min="1" max="1" width="4.42578125" style="44" customWidth="1"/>
    <col min="2" max="2" width="47" style="44" customWidth="1"/>
    <col min="3" max="3" width="23.7109375" style="44" customWidth="1"/>
    <col min="4" max="4" width="21.85546875" style="44" customWidth="1"/>
    <col min="5" max="5" width="17.28515625" style="44" customWidth="1"/>
    <col min="6" max="6" width="19.7109375" style="44" customWidth="1"/>
    <col min="7" max="7" width="19.85546875" style="44" customWidth="1"/>
    <col min="8" max="8" width="22.7109375" style="44" customWidth="1"/>
    <col min="9" max="9" width="14.140625" style="672" customWidth="1"/>
    <col min="10" max="10" width="13.140625" style="673" customWidth="1"/>
    <col min="11" max="11" width="15.85546875" style="671" customWidth="1"/>
    <col min="12" max="12" width="10.42578125" style="44" bestFit="1" customWidth="1"/>
    <col min="13" max="16384" width="9.140625" style="44"/>
  </cols>
  <sheetData>
    <row r="1" spans="1:12" ht="66" customHeight="1">
      <c r="I1" s="984" t="s">
        <v>2277</v>
      </c>
      <c r="J1" s="984"/>
      <c r="K1" s="984"/>
    </row>
    <row r="2" spans="1:12" s="138" customFormat="1" ht="15.75" customHeight="1">
      <c r="A2" s="72" t="s">
        <v>937</v>
      </c>
      <c r="B2" s="112"/>
      <c r="C2" s="112"/>
      <c r="D2" s="72"/>
      <c r="E2" s="72"/>
      <c r="F2" s="72"/>
      <c r="G2" s="72"/>
      <c r="H2" s="112"/>
      <c r="I2" s="1012" t="s">
        <v>2677</v>
      </c>
      <c r="J2" s="1012"/>
      <c r="K2" s="1012"/>
    </row>
    <row r="3" spans="1:12">
      <c r="A3" s="110" t="s">
        <v>269</v>
      </c>
      <c r="B3" s="111"/>
      <c r="C3" s="1011" t="s">
        <v>379</v>
      </c>
      <c r="D3" s="1011"/>
      <c r="E3" s="111"/>
      <c r="F3" s="111"/>
      <c r="G3" s="371"/>
      <c r="H3" s="111"/>
      <c r="I3" s="669"/>
      <c r="J3" s="670"/>
    </row>
    <row r="4" spans="1:12" ht="16.5" thickBot="1">
      <c r="C4" s="343"/>
    </row>
    <row r="5" spans="1:12">
      <c r="A5" s="211" t="s">
        <v>938</v>
      </c>
      <c r="B5" s="323"/>
      <c r="C5" s="327" t="s">
        <v>365</v>
      </c>
      <c r="D5" s="328"/>
      <c r="E5" s="327"/>
      <c r="F5" s="327"/>
      <c r="G5" s="327"/>
      <c r="H5" s="329"/>
      <c r="I5" s="1013" t="s">
        <v>2648</v>
      </c>
      <c r="J5" s="1015" t="s">
        <v>2649</v>
      </c>
      <c r="K5" s="1017" t="s">
        <v>2650</v>
      </c>
    </row>
    <row r="6" spans="1:12" ht="16.5" thickBot="1">
      <c r="A6" s="118"/>
      <c r="B6" s="324" t="s">
        <v>2044</v>
      </c>
      <c r="C6" s="325" t="s">
        <v>939</v>
      </c>
      <c r="D6" s="325" t="s">
        <v>1355</v>
      </c>
      <c r="E6" s="325" t="s">
        <v>326</v>
      </c>
      <c r="F6" s="325" t="s">
        <v>327</v>
      </c>
      <c r="G6" s="325" t="s">
        <v>328</v>
      </c>
      <c r="H6" s="330" t="s">
        <v>329</v>
      </c>
      <c r="I6" s="1014"/>
      <c r="J6" s="1016"/>
      <c r="K6" s="1018"/>
    </row>
    <row r="7" spans="1:12" ht="16.5" thickBot="1">
      <c r="A7" s="139"/>
      <c r="B7" s="331" t="s">
        <v>366</v>
      </c>
      <c r="C7" s="326" t="s">
        <v>362</v>
      </c>
      <c r="D7" s="326" t="s">
        <v>363</v>
      </c>
      <c r="E7" s="326" t="s">
        <v>364</v>
      </c>
      <c r="F7" s="326" t="s">
        <v>367</v>
      </c>
      <c r="G7" s="326" t="s">
        <v>368</v>
      </c>
      <c r="H7" s="319" t="s">
        <v>369</v>
      </c>
      <c r="I7" s="674" t="s">
        <v>2574</v>
      </c>
      <c r="J7" s="675" t="s">
        <v>2575</v>
      </c>
      <c r="K7" s="676" t="s">
        <v>2651</v>
      </c>
    </row>
    <row r="8" spans="1:12" s="138" customFormat="1">
      <c r="A8" s="212"/>
      <c r="B8" s="332" t="s">
        <v>97</v>
      </c>
      <c r="C8" s="46"/>
      <c r="D8" s="46"/>
      <c r="E8" s="46"/>
      <c r="F8" s="46"/>
      <c r="G8" s="46"/>
      <c r="H8" s="214"/>
      <c r="I8" s="677"/>
      <c r="J8" s="678"/>
      <c r="K8" s="679"/>
    </row>
    <row r="9" spans="1:12" s="138" customFormat="1">
      <c r="A9" s="215" t="s">
        <v>222</v>
      </c>
      <c r="B9" s="333" t="s">
        <v>818</v>
      </c>
      <c r="C9" s="356" t="s">
        <v>356</v>
      </c>
      <c r="D9" s="356"/>
      <c r="E9" s="356"/>
      <c r="F9" s="356"/>
      <c r="G9" s="356"/>
      <c r="H9" s="214">
        <f>SUM(C9:G9)</f>
        <v>0</v>
      </c>
      <c r="I9" s="680">
        <v>1</v>
      </c>
      <c r="J9" s="681" t="str">
        <f>+C9</f>
        <v xml:space="preserve"> #FN1{101}</v>
      </c>
      <c r="K9" s="682" t="e">
        <f>+J9*I9</f>
        <v>#VALUE!</v>
      </c>
      <c r="L9"/>
    </row>
    <row r="10" spans="1:12" s="138" customFormat="1" ht="32.25" customHeight="1">
      <c r="A10" s="668" t="s">
        <v>819</v>
      </c>
      <c r="B10" s="333" t="s">
        <v>2627</v>
      </c>
      <c r="C10" s="191" t="s">
        <v>525</v>
      </c>
      <c r="D10" s="191" t="s">
        <v>103</v>
      </c>
      <c r="E10" s="356"/>
      <c r="F10" s="356"/>
      <c r="G10" s="356"/>
      <c r="H10" s="696">
        <f>SUM(C10:G10)</f>
        <v>0</v>
      </c>
      <c r="I10" s="680">
        <v>1</v>
      </c>
      <c r="J10" s="681" t="str">
        <f>+C10</f>
        <v>#FN1{10301,10305,10307,10311}</v>
      </c>
      <c r="K10" s="682" t="e">
        <f t="shared" ref="K10:K38" si="0">+J10*I10</f>
        <v>#VALUE!</v>
      </c>
      <c r="L10"/>
    </row>
    <row r="11" spans="1:12" s="138" customFormat="1" ht="49.5" customHeight="1">
      <c r="A11" s="668" t="s">
        <v>406</v>
      </c>
      <c r="B11" s="333" t="s">
        <v>2628</v>
      </c>
      <c r="C11" s="191" t="s">
        <v>1356</v>
      </c>
      <c r="D11" s="191"/>
      <c r="E11" s="356"/>
      <c r="F11" s="356"/>
      <c r="G11" s="356"/>
      <c r="H11" s="696">
        <f>SUM(C11:G11)</f>
        <v>0</v>
      </c>
      <c r="I11" s="680">
        <v>0</v>
      </c>
      <c r="J11" s="681" t="str">
        <f>+C11</f>
        <v>#FN1{10309}</v>
      </c>
      <c r="K11" s="683" t="e">
        <f t="shared" si="0"/>
        <v>#VALUE!</v>
      </c>
      <c r="L11"/>
    </row>
    <row r="12" spans="1:12" s="138" customFormat="1">
      <c r="A12" s="668" t="s">
        <v>820</v>
      </c>
      <c r="B12" s="333" t="s">
        <v>821</v>
      </c>
      <c r="C12" s="191">
        <f>SUM(C13:C15)</f>
        <v>0</v>
      </c>
      <c r="D12" s="191">
        <f>SUM(D13:D15)</f>
        <v>0</v>
      </c>
      <c r="E12" s="191">
        <f>SUM(E13:E15)</f>
        <v>0</v>
      </c>
      <c r="F12" s="191">
        <f>SUM(F13:F15)</f>
        <v>0</v>
      </c>
      <c r="G12" s="191" t="e">
        <f>SUM(G13:G15)</f>
        <v>#VALUE!</v>
      </c>
      <c r="H12" s="138" t="s">
        <v>2657</v>
      </c>
      <c r="I12" s="680"/>
      <c r="J12" s="681"/>
      <c r="K12" s="683">
        <f t="shared" si="0"/>
        <v>0</v>
      </c>
      <c r="L12"/>
    </row>
    <row r="13" spans="1:12" s="138" customFormat="1" ht="47.25">
      <c r="A13" s="668" t="s">
        <v>972</v>
      </c>
      <c r="B13" s="333" t="s">
        <v>2629</v>
      </c>
      <c r="C13" s="356" t="s">
        <v>933</v>
      </c>
      <c r="D13" s="356" t="s">
        <v>1001</v>
      </c>
      <c r="E13" s="356" t="s">
        <v>1422</v>
      </c>
      <c r="F13" s="356" t="s">
        <v>1201</v>
      </c>
      <c r="G13" s="356" t="e">
        <f>H12-C12-D12-E12-F12</f>
        <v>#VALUE!</v>
      </c>
      <c r="H13" s="356" t="e">
        <f>SUM(C13:G13)</f>
        <v>#VALUE!</v>
      </c>
      <c r="I13" s="680">
        <v>1</v>
      </c>
      <c r="J13" s="681" t="e">
        <f>+H13</f>
        <v>#VALUE!</v>
      </c>
      <c r="K13" s="682" t="e">
        <f t="shared" si="0"/>
        <v>#VALUE!</v>
      </c>
      <c r="L13"/>
    </row>
    <row r="14" spans="1:12" s="138" customFormat="1" ht="31.5">
      <c r="A14" s="668" t="s">
        <v>758</v>
      </c>
      <c r="B14" s="333" t="s">
        <v>2630</v>
      </c>
      <c r="C14" s="560" t="s">
        <v>2655</v>
      </c>
      <c r="D14" s="356"/>
      <c r="E14" s="356"/>
      <c r="F14" s="356"/>
      <c r="G14" s="356"/>
      <c r="H14" s="356">
        <f>SUM(C14:G14)</f>
        <v>0</v>
      </c>
      <c r="I14" s="680">
        <v>0.5</v>
      </c>
      <c r="J14" s="681">
        <f>+H14</f>
        <v>0</v>
      </c>
      <c r="K14" s="683">
        <f t="shared" si="0"/>
        <v>0</v>
      </c>
      <c r="L14"/>
    </row>
    <row r="15" spans="1:12" s="138" customFormat="1">
      <c r="A15" s="668" t="s">
        <v>2631</v>
      </c>
      <c r="B15" s="333" t="s">
        <v>2632</v>
      </c>
      <c r="C15" s="356" t="s">
        <v>2656</v>
      </c>
      <c r="D15" s="356"/>
      <c r="E15" s="356"/>
      <c r="F15" s="356"/>
      <c r="G15" s="356"/>
      <c r="H15" s="356">
        <f>SUM(C15:G15)</f>
        <v>0</v>
      </c>
      <c r="I15" s="680">
        <v>0</v>
      </c>
      <c r="J15" s="681">
        <f>+H15</f>
        <v>0</v>
      </c>
      <c r="K15" s="683">
        <f t="shared" si="0"/>
        <v>0</v>
      </c>
      <c r="L15"/>
    </row>
    <row r="16" spans="1:12" s="138" customFormat="1">
      <c r="A16" s="668" t="s">
        <v>822</v>
      </c>
      <c r="B16" s="333" t="s">
        <v>823</v>
      </c>
      <c r="C16" s="191" t="s">
        <v>2658</v>
      </c>
      <c r="D16" s="697"/>
      <c r="E16" s="191"/>
      <c r="F16" s="191"/>
      <c r="G16" s="191"/>
      <c r="H16" s="214">
        <f>SUM(C16:F16)</f>
        <v>0</v>
      </c>
      <c r="I16" s="680"/>
      <c r="J16" s="681"/>
      <c r="K16" s="683">
        <f t="shared" si="0"/>
        <v>0</v>
      </c>
      <c r="L16"/>
    </row>
    <row r="17" spans="1:12" s="138" customFormat="1" ht="63">
      <c r="A17" s="668" t="s">
        <v>468</v>
      </c>
      <c r="B17" s="333" t="s">
        <v>2633</v>
      </c>
      <c r="C17" s="191" t="s">
        <v>2659</v>
      </c>
      <c r="D17" s="697"/>
      <c r="E17" s="191"/>
      <c r="F17" s="191"/>
      <c r="G17" s="191"/>
      <c r="H17" s="214">
        <f>SUM(C17:F17)</f>
        <v>0</v>
      </c>
      <c r="I17" s="680">
        <v>1</v>
      </c>
      <c r="J17" s="681" t="e">
        <f>+C17+D17</f>
        <v>#VALUE!</v>
      </c>
      <c r="K17" s="682" t="e">
        <f t="shared" si="0"/>
        <v>#VALUE!</v>
      </c>
      <c r="L17"/>
    </row>
    <row r="18" spans="1:12" s="138" customFormat="1" ht="31.5">
      <c r="A18" s="668" t="s">
        <v>2634</v>
      </c>
      <c r="B18" s="333" t="s">
        <v>2635</v>
      </c>
      <c r="C18" s="191" t="s">
        <v>2660</v>
      </c>
      <c r="D18" s="697"/>
      <c r="E18" s="191"/>
      <c r="F18" s="191"/>
      <c r="G18" s="191"/>
      <c r="H18" s="214">
        <f>SUM(C18:F18)</f>
        <v>0</v>
      </c>
      <c r="I18" s="680">
        <v>1</v>
      </c>
      <c r="J18" s="681" t="e">
        <f t="shared" ref="J18:J24" si="1">+C18+D18</f>
        <v>#VALUE!</v>
      </c>
      <c r="K18" s="682" t="e">
        <f t="shared" si="0"/>
        <v>#VALUE!</v>
      </c>
      <c r="L18"/>
    </row>
    <row r="19" spans="1:12" s="138" customFormat="1" ht="47.25">
      <c r="A19" s="668" t="s">
        <v>2636</v>
      </c>
      <c r="B19" s="333" t="s">
        <v>2637</v>
      </c>
      <c r="C19" s="191"/>
      <c r="D19" s="697"/>
      <c r="E19" s="191"/>
      <c r="F19" s="191"/>
      <c r="G19" s="191"/>
      <c r="H19" s="214">
        <f>SUM(C19:F19)</f>
        <v>0</v>
      </c>
      <c r="I19" s="680">
        <v>1</v>
      </c>
      <c r="J19" s="681">
        <f t="shared" si="1"/>
        <v>0</v>
      </c>
      <c r="K19" s="683">
        <f t="shared" si="0"/>
        <v>0</v>
      </c>
      <c r="L19"/>
    </row>
    <row r="20" spans="1:12" s="138" customFormat="1">
      <c r="A20" s="668" t="s">
        <v>2638</v>
      </c>
      <c r="B20" s="644" t="s">
        <v>2639</v>
      </c>
      <c r="C20" s="191" t="e">
        <f>C16-C17-C18-C19</f>
        <v>#VALUE!</v>
      </c>
      <c r="D20" s="697"/>
      <c r="E20" s="191"/>
      <c r="F20" s="191"/>
      <c r="G20" s="191"/>
      <c r="H20" s="214" t="e">
        <f>SUM(C20:F20)</f>
        <v>#VALUE!</v>
      </c>
      <c r="I20" s="680">
        <v>0</v>
      </c>
      <c r="J20" s="681" t="e">
        <f t="shared" si="1"/>
        <v>#VALUE!</v>
      </c>
      <c r="K20" s="683" t="e">
        <f t="shared" si="0"/>
        <v>#VALUE!</v>
      </c>
      <c r="L20"/>
    </row>
    <row r="21" spans="1:12" s="138" customFormat="1">
      <c r="A21" s="215" t="s">
        <v>824</v>
      </c>
      <c r="B21" s="334" t="s">
        <v>825</v>
      </c>
      <c r="C21" s="369" t="s">
        <v>1737</v>
      </c>
      <c r="D21" s="369"/>
      <c r="E21" s="356"/>
      <c r="F21" s="356"/>
      <c r="G21" s="369"/>
      <c r="H21" s="214">
        <f>SUM(C21:G21)</f>
        <v>0</v>
      </c>
      <c r="I21" s="680">
        <v>0.3</v>
      </c>
      <c r="J21" s="681" t="e">
        <f t="shared" si="1"/>
        <v>#VALUE!</v>
      </c>
      <c r="K21" s="683" t="e">
        <f t="shared" si="0"/>
        <v>#VALUE!</v>
      </c>
      <c r="L21"/>
    </row>
    <row r="22" spans="1:12" s="138" customFormat="1" ht="31.5">
      <c r="A22" s="215" t="s">
        <v>826</v>
      </c>
      <c r="B22" s="334" t="s">
        <v>1117</v>
      </c>
      <c r="C22" s="356" t="s">
        <v>1738</v>
      </c>
      <c r="D22" s="356"/>
      <c r="E22" s="356"/>
      <c r="F22" s="356"/>
      <c r="G22" s="356"/>
      <c r="H22" s="214">
        <f>SUM(C22:G22)</f>
        <v>0</v>
      </c>
      <c r="I22" s="680">
        <v>0.3</v>
      </c>
      <c r="J22" s="681" t="e">
        <f t="shared" si="1"/>
        <v>#VALUE!</v>
      </c>
      <c r="K22" s="683" t="e">
        <f t="shared" si="0"/>
        <v>#VALUE!</v>
      </c>
      <c r="L22"/>
    </row>
    <row r="23" spans="1:12" s="138" customFormat="1" ht="31.5">
      <c r="A23" s="215" t="s">
        <v>1118</v>
      </c>
      <c r="B23" s="334" t="s">
        <v>1119</v>
      </c>
      <c r="C23" s="356" t="s">
        <v>1739</v>
      </c>
      <c r="D23" s="356"/>
      <c r="E23" s="356"/>
      <c r="F23" s="356"/>
      <c r="G23" s="356"/>
      <c r="H23" s="214">
        <f>SUM(C23:G23)</f>
        <v>0</v>
      </c>
      <c r="I23" s="680">
        <v>0.3</v>
      </c>
      <c r="J23" s="681" t="e">
        <f t="shared" si="1"/>
        <v>#VALUE!</v>
      </c>
      <c r="K23" s="683" t="e">
        <f t="shared" si="0"/>
        <v>#VALUE!</v>
      </c>
      <c r="L23"/>
    </row>
    <row r="24" spans="1:12" s="138" customFormat="1" ht="26.25">
      <c r="A24" s="668" t="s">
        <v>1749</v>
      </c>
      <c r="B24" s="644" t="s">
        <v>2640</v>
      </c>
      <c r="C24" s="356" t="s">
        <v>1740</v>
      </c>
      <c r="D24" s="356"/>
      <c r="E24" s="356"/>
      <c r="F24" s="356"/>
      <c r="G24" s="356"/>
      <c r="H24" s="214">
        <f>SUM(C24:G24)</f>
        <v>0</v>
      </c>
      <c r="I24" s="680">
        <v>1</v>
      </c>
      <c r="J24" s="681" t="e">
        <f t="shared" si="1"/>
        <v>#VALUE!</v>
      </c>
      <c r="K24" s="683" t="e">
        <f t="shared" si="0"/>
        <v>#VALUE!</v>
      </c>
      <c r="L24"/>
    </row>
    <row r="25" spans="1:12" s="138" customFormat="1" ht="26.25">
      <c r="A25" s="668" t="s">
        <v>1682</v>
      </c>
      <c r="B25" s="644" t="s">
        <v>2641</v>
      </c>
      <c r="C25" s="356" t="s">
        <v>2698</v>
      </c>
      <c r="D25" s="356" t="s">
        <v>259</v>
      </c>
      <c r="E25" s="356" t="s">
        <v>260</v>
      </c>
      <c r="F25" s="356" t="s">
        <v>261</v>
      </c>
      <c r="G25" s="356" t="e">
        <f>H25-C25-D25-E25-F25</f>
        <v>#VALUE!</v>
      </c>
      <c r="H25" s="9" t="s">
        <v>262</v>
      </c>
      <c r="I25" s="680">
        <v>0.5</v>
      </c>
      <c r="J25" s="681" t="str">
        <f>+D25</f>
        <v>#FN12{;12101,12109,14501,14505, 15601;1-30}</v>
      </c>
      <c r="K25" s="683" t="e">
        <f t="shared" si="0"/>
        <v>#VALUE!</v>
      </c>
      <c r="L25"/>
    </row>
    <row r="26" spans="1:12" s="138" customFormat="1" ht="35.25" customHeight="1">
      <c r="A26" s="668">
        <v>10</v>
      </c>
      <c r="B26" s="644" t="s">
        <v>2642</v>
      </c>
      <c r="C26" s="191" t="s">
        <v>2699</v>
      </c>
      <c r="D26" s="370" t="s">
        <v>1318</v>
      </c>
      <c r="E26" s="370" t="s">
        <v>739</v>
      </c>
      <c r="F26" s="370" t="s">
        <v>741</v>
      </c>
      <c r="G26" s="356" t="e">
        <f>H26-C26-D26-E26-F26</f>
        <v>#VALUE!</v>
      </c>
      <c r="H26" s="9" t="s">
        <v>2907</v>
      </c>
      <c r="I26" s="680">
        <v>0.3</v>
      </c>
      <c r="J26" s="681" t="str">
        <f>+D26</f>
        <v xml:space="preserve">#FN12{;111,12301,12309,12401,12409,12501,12509,12601,12609,12701,12709,12901,12909,13001,13009,13101,13109,13201,13209,13301,13309,1430,1470,1480,1490,1500,1510,1520,1530,1540,1550,15603-15619;1-30} </v>
      </c>
      <c r="K26" s="683" t="e">
        <f t="shared" si="0"/>
        <v>#VALUE!</v>
      </c>
    </row>
    <row r="27" spans="1:12" s="138" customFormat="1" ht="26.25">
      <c r="A27" s="668">
        <v>11</v>
      </c>
      <c r="B27" s="644" t="s">
        <v>2643</v>
      </c>
      <c r="D27" s="356"/>
      <c r="E27" s="356"/>
      <c r="F27" s="356"/>
      <c r="G27" s="204" t="s">
        <v>1526</v>
      </c>
      <c r="H27" s="204">
        <f>SUM(D27:G27)</f>
        <v>0</v>
      </c>
      <c r="I27" s="680">
        <v>0</v>
      </c>
      <c r="J27" s="681">
        <f>+C27+D27</f>
        <v>0</v>
      </c>
      <c r="K27" s="683">
        <f t="shared" si="0"/>
        <v>0</v>
      </c>
    </row>
    <row r="28" spans="1:12" s="138" customFormat="1">
      <c r="A28" s="215" t="s">
        <v>375</v>
      </c>
      <c r="B28" s="333" t="s">
        <v>376</v>
      </c>
      <c r="C28" s="191"/>
      <c r="D28" s="191"/>
      <c r="E28" s="191"/>
      <c r="F28" s="191"/>
      <c r="G28" s="204" t="s">
        <v>2661</v>
      </c>
      <c r="H28" s="214">
        <f t="shared" ref="H28:H38" si="2">SUM(C28:G28)</f>
        <v>0</v>
      </c>
      <c r="I28" s="680">
        <v>0</v>
      </c>
      <c r="J28" s="681">
        <f>+C28+D28</f>
        <v>0</v>
      </c>
      <c r="K28" s="683">
        <f t="shared" si="0"/>
        <v>0</v>
      </c>
    </row>
    <row r="29" spans="1:12" s="138" customFormat="1" ht="26.25">
      <c r="A29" s="668" t="s">
        <v>377</v>
      </c>
      <c r="B29" s="644" t="s">
        <v>161</v>
      </c>
      <c r="C29" s="369"/>
      <c r="D29" s="356"/>
      <c r="E29" s="356"/>
      <c r="F29" s="356"/>
      <c r="G29" s="356" t="s">
        <v>2662</v>
      </c>
      <c r="H29" s="214">
        <f t="shared" si="2"/>
        <v>0</v>
      </c>
      <c r="I29" s="680"/>
      <c r="J29" s="681"/>
      <c r="K29" s="683">
        <f t="shared" si="0"/>
        <v>0</v>
      </c>
    </row>
    <row r="30" spans="1:12" s="138" customFormat="1" ht="26.25">
      <c r="A30" s="668" t="s">
        <v>2644</v>
      </c>
      <c r="B30" s="644" t="s">
        <v>2645</v>
      </c>
      <c r="C30" s="369"/>
      <c r="D30" s="356"/>
      <c r="E30" s="356"/>
      <c r="F30" s="356"/>
      <c r="G30" s="698"/>
      <c r="H30" s="214">
        <f t="shared" si="2"/>
        <v>0</v>
      </c>
      <c r="I30" s="680">
        <v>0.3</v>
      </c>
      <c r="J30" s="681">
        <f t="shared" ref="J30:J38" si="3">+C30+D30</f>
        <v>0</v>
      </c>
      <c r="K30" s="683">
        <f t="shared" si="0"/>
        <v>0</v>
      </c>
    </row>
    <row r="31" spans="1:12" s="138" customFormat="1" ht="26.25">
      <c r="A31" s="668" t="s">
        <v>2646</v>
      </c>
      <c r="B31" s="644" t="s">
        <v>2647</v>
      </c>
      <c r="C31" s="369"/>
      <c r="D31" s="356"/>
      <c r="E31" s="356"/>
      <c r="F31" s="356"/>
      <c r="G31" s="369" t="e">
        <f>G29-G30</f>
        <v>#VALUE!</v>
      </c>
      <c r="H31" s="214" t="e">
        <f t="shared" si="2"/>
        <v>#VALUE!</v>
      </c>
      <c r="I31" s="680">
        <v>0</v>
      </c>
      <c r="J31" s="681">
        <f t="shared" si="3"/>
        <v>0</v>
      </c>
      <c r="K31" s="683">
        <f t="shared" si="0"/>
        <v>0</v>
      </c>
    </row>
    <row r="32" spans="1:12" s="138" customFormat="1" ht="31.5">
      <c r="A32" s="215" t="s">
        <v>674</v>
      </c>
      <c r="B32" s="333" t="s">
        <v>1942</v>
      </c>
      <c r="C32" s="356">
        <v>0</v>
      </c>
      <c r="D32" s="356"/>
      <c r="E32" s="356"/>
      <c r="F32" s="356"/>
      <c r="G32" s="356" t="str">
        <f>Balance!C28</f>
        <v xml:space="preserve"> #FN1{165,166}</v>
      </c>
      <c r="H32" s="214">
        <f t="shared" si="2"/>
        <v>0</v>
      </c>
      <c r="I32" s="680">
        <v>0</v>
      </c>
      <c r="J32" s="681">
        <f t="shared" si="3"/>
        <v>0</v>
      </c>
      <c r="K32" s="683">
        <f t="shared" si="0"/>
        <v>0</v>
      </c>
    </row>
    <row r="33" spans="1:12" s="138" customFormat="1" ht="31.5">
      <c r="A33" s="215" t="s">
        <v>1943</v>
      </c>
      <c r="B33" s="333" t="s">
        <v>1970</v>
      </c>
      <c r="C33" s="356">
        <v>0</v>
      </c>
      <c r="D33" s="356"/>
      <c r="E33" s="356"/>
      <c r="F33" s="356"/>
      <c r="G33" s="356" t="s">
        <v>1734</v>
      </c>
      <c r="H33" s="214">
        <f t="shared" si="2"/>
        <v>0</v>
      </c>
      <c r="I33" s="680">
        <v>0</v>
      </c>
      <c r="J33" s="681">
        <f t="shared" si="3"/>
        <v>0</v>
      </c>
      <c r="K33" s="683">
        <f t="shared" si="0"/>
        <v>0</v>
      </c>
    </row>
    <row r="34" spans="1:12" s="138" customFormat="1" ht="31.5">
      <c r="A34" s="215" t="s">
        <v>1689</v>
      </c>
      <c r="B34" s="334" t="s">
        <v>752</v>
      </c>
      <c r="C34" s="356"/>
      <c r="D34" s="356"/>
      <c r="E34" s="356"/>
      <c r="F34" s="356"/>
      <c r="G34" s="356" t="s">
        <v>2048</v>
      </c>
      <c r="H34" s="214">
        <f t="shared" si="2"/>
        <v>0</v>
      </c>
      <c r="I34" s="680">
        <v>0</v>
      </c>
      <c r="J34" s="681">
        <f t="shared" si="3"/>
        <v>0</v>
      </c>
      <c r="K34" s="683">
        <f t="shared" si="0"/>
        <v>0</v>
      </c>
    </row>
    <row r="35" spans="1:12" s="138" customFormat="1" ht="31.5">
      <c r="A35" s="215" t="s">
        <v>753</v>
      </c>
      <c r="B35" s="333" t="s">
        <v>754</v>
      </c>
      <c r="C35" s="356"/>
      <c r="D35" s="356"/>
      <c r="E35" s="356"/>
      <c r="F35" s="356"/>
      <c r="G35" s="356" t="s">
        <v>2049</v>
      </c>
      <c r="H35" s="214">
        <f t="shared" si="2"/>
        <v>0</v>
      </c>
      <c r="I35" s="680">
        <v>0</v>
      </c>
      <c r="J35" s="681">
        <f t="shared" si="3"/>
        <v>0</v>
      </c>
      <c r="K35" s="683">
        <f t="shared" si="0"/>
        <v>0</v>
      </c>
    </row>
    <row r="36" spans="1:12" s="138" customFormat="1">
      <c r="A36" s="215" t="s">
        <v>755</v>
      </c>
      <c r="B36" s="333" t="s">
        <v>756</v>
      </c>
      <c r="C36" s="356"/>
      <c r="D36" s="356"/>
      <c r="E36" s="356"/>
      <c r="F36" s="356"/>
      <c r="G36" s="356" t="s">
        <v>2050</v>
      </c>
      <c r="H36" s="214">
        <f t="shared" si="2"/>
        <v>0</v>
      </c>
      <c r="I36" s="680">
        <v>0</v>
      </c>
      <c r="J36" s="681">
        <f t="shared" si="3"/>
        <v>0</v>
      </c>
      <c r="K36" s="683">
        <f t="shared" si="0"/>
        <v>0</v>
      </c>
    </row>
    <row r="37" spans="1:12" s="138" customFormat="1">
      <c r="A37" s="216" t="s">
        <v>2178</v>
      </c>
      <c r="B37" s="335" t="s">
        <v>2051</v>
      </c>
      <c r="C37" s="356" t="e">
        <f>H37-D37-E37-F37-G37</f>
        <v>#VALUE!</v>
      </c>
      <c r="D37" s="450" t="e">
        <f>IF(D53&lt;H37,D53,H37)</f>
        <v>#VALUE!</v>
      </c>
      <c r="E37" s="450" t="e">
        <f>IF((D37+E53)&lt;H37,E53,H37-D37)</f>
        <v>#VALUE!</v>
      </c>
      <c r="F37" s="450" t="e">
        <f>IF((D37+E37+F53)&lt;H37,F53,H37-D37-E37)</f>
        <v>#VALUE!</v>
      </c>
      <c r="G37" s="450" t="e">
        <f>IF((D37+E37+F37+G53)&lt;H37,G53,H37-D37-E37-F37)</f>
        <v>#VALUE!</v>
      </c>
      <c r="H37" s="451" t="s">
        <v>1558</v>
      </c>
      <c r="I37" s="680">
        <v>0.3</v>
      </c>
      <c r="J37" s="681" t="e">
        <f>+D37</f>
        <v>#VALUE!</v>
      </c>
      <c r="K37" s="683" t="e">
        <f t="shared" si="0"/>
        <v>#VALUE!</v>
      </c>
    </row>
    <row r="38" spans="1:12" s="138" customFormat="1" ht="16.5" thickBot="1">
      <c r="A38" s="217" t="s">
        <v>2179</v>
      </c>
      <c r="B38" s="336" t="s">
        <v>2180</v>
      </c>
      <c r="C38" s="699"/>
      <c r="D38" s="699"/>
      <c r="E38" s="699"/>
      <c r="F38" s="699"/>
      <c r="G38" s="699" t="e">
        <f>Balance!C35-G34-G35-G36</f>
        <v>#VALUE!</v>
      </c>
      <c r="H38" s="214" t="e">
        <f t="shared" si="2"/>
        <v>#VALUE!</v>
      </c>
      <c r="I38" s="684">
        <v>0</v>
      </c>
      <c r="J38" s="685">
        <f t="shared" si="3"/>
        <v>0</v>
      </c>
      <c r="K38" s="686">
        <f t="shared" si="0"/>
        <v>0</v>
      </c>
    </row>
    <row r="39" spans="1:12" s="138" customFormat="1" ht="16.5" thickBot="1">
      <c r="A39" s="218" t="s">
        <v>2181</v>
      </c>
      <c r="B39" s="337" t="s">
        <v>2182</v>
      </c>
      <c r="C39" s="214" t="e">
        <f t="shared" ref="C39:G39" si="4">C9+C10+C11+C12+C16+C21+C22+C23+C24+C25+C26+C27+C28+C29++C32+C33+C34+C35+C36+C37+C38</f>
        <v>#VALUE!</v>
      </c>
      <c r="D39" s="214" t="e">
        <f t="shared" si="4"/>
        <v>#VALUE!</v>
      </c>
      <c r="E39" s="214" t="e">
        <f t="shared" si="4"/>
        <v>#VALUE!</v>
      </c>
      <c r="F39" s="214" t="e">
        <f t="shared" si="4"/>
        <v>#VALUE!</v>
      </c>
      <c r="G39" s="214" t="e">
        <f t="shared" si="4"/>
        <v>#VALUE!</v>
      </c>
      <c r="H39" s="214" t="e">
        <f>H9+H10+H11+H12+H16+H21+H22+H23+H24+H25+H26+H27+H28+H29++H32+H33+H34+H35+H36+H37+H38</f>
        <v>#VALUE!</v>
      </c>
      <c r="I39" s="687"/>
      <c r="J39" s="687"/>
      <c r="K39" s="688" t="e">
        <f>SUM(K9:K38)</f>
        <v>#VALUE!</v>
      </c>
      <c r="L39" s="44"/>
    </row>
    <row r="40" spans="1:12" s="138" customFormat="1">
      <c r="A40" s="44"/>
      <c r="B40" s="44"/>
      <c r="C40" s="44"/>
      <c r="D40" s="44"/>
      <c r="E40" s="44"/>
      <c r="F40" s="44"/>
      <c r="G40" s="44"/>
      <c r="H40" s="44"/>
      <c r="I40" s="689" t="s">
        <v>2652</v>
      </c>
      <c r="J40" s="690"/>
      <c r="K40" s="691">
        <v>0</v>
      </c>
      <c r="L40" s="44"/>
    </row>
    <row r="41" spans="1:12" s="138" customFormat="1">
      <c r="A41" s="44"/>
      <c r="B41" s="34" t="s">
        <v>243</v>
      </c>
      <c r="C41" s="44"/>
      <c r="D41" s="44"/>
      <c r="E41" s="44"/>
      <c r="F41" s="44"/>
      <c r="G41" s="44"/>
      <c r="H41" s="44"/>
      <c r="I41" s="689" t="s">
        <v>2653</v>
      </c>
      <c r="J41" s="690"/>
      <c r="K41" s="691">
        <v>0</v>
      </c>
      <c r="L41" s="44"/>
    </row>
    <row r="42" spans="1:12" s="138" customFormat="1" ht="16.5" thickBot="1">
      <c r="A42" s="44"/>
      <c r="B42" s="34"/>
      <c r="C42" s="44"/>
      <c r="D42" s="44"/>
      <c r="E42" s="44"/>
      <c r="F42" s="44"/>
      <c r="G42" s="44"/>
      <c r="H42" s="44"/>
      <c r="I42" s="689" t="s">
        <v>2654</v>
      </c>
      <c r="J42" s="690"/>
      <c r="K42" s="691">
        <v>0</v>
      </c>
      <c r="L42" s="44"/>
    </row>
    <row r="43" spans="1:12" s="138" customFormat="1">
      <c r="A43" s="44"/>
      <c r="B43" s="338" t="s">
        <v>244</v>
      </c>
      <c r="C43" s="361" t="s">
        <v>525</v>
      </c>
      <c r="D43" s="339"/>
      <c r="E43" s="339"/>
      <c r="F43" s="339"/>
      <c r="G43" s="339"/>
      <c r="H43" s="340">
        <f>SUM(C43:G43)</f>
        <v>0</v>
      </c>
      <c r="I43" s="689"/>
      <c r="J43" s="690"/>
      <c r="K43" s="692"/>
      <c r="L43" s="44"/>
    </row>
    <row r="44" spans="1:12" s="138" customFormat="1" ht="16.5" thickBot="1">
      <c r="A44" s="44"/>
      <c r="B44" s="244" t="s">
        <v>245</v>
      </c>
      <c r="C44" s="362" t="s">
        <v>1356</v>
      </c>
      <c r="D44" s="341"/>
      <c r="E44" s="341"/>
      <c r="F44" s="341"/>
      <c r="G44" s="341"/>
      <c r="H44" s="342">
        <f>SUM(C44:G44)</f>
        <v>0</v>
      </c>
      <c r="I44" s="693"/>
      <c r="J44" s="693"/>
      <c r="K44" s="693"/>
      <c r="L44" s="44"/>
    </row>
    <row r="45" spans="1:12" s="138" customFormat="1">
      <c r="A45" s="44"/>
      <c r="C45" s="44"/>
      <c r="D45" s="44"/>
      <c r="E45" s="44"/>
      <c r="F45" s="44"/>
      <c r="G45" s="44"/>
      <c r="H45" s="44"/>
      <c r="I45" s="694"/>
      <c r="J45" s="694"/>
      <c r="K45" s="695"/>
      <c r="L45" s="44"/>
    </row>
    <row r="46" spans="1:12" s="138" customFormat="1">
      <c r="A46" s="44"/>
      <c r="C46" s="44"/>
      <c r="D46" s="44"/>
      <c r="E46" s="44"/>
      <c r="F46" s="44"/>
      <c r="G46" s="44"/>
      <c r="H46" s="44"/>
      <c r="I46" s="672"/>
      <c r="J46" s="673"/>
      <c r="K46" s="671"/>
      <c r="L46" s="44"/>
    </row>
    <row r="47" spans="1:12" s="138" customFormat="1">
      <c r="A47" s="44"/>
      <c r="B47" s="34" t="s">
        <v>102</v>
      </c>
      <c r="C47" s="44"/>
      <c r="D47" s="44"/>
      <c r="E47" s="44"/>
      <c r="F47" s="44"/>
      <c r="G47" s="44"/>
      <c r="H47" s="44"/>
      <c r="I47" s="672"/>
      <c r="J47" s="673"/>
      <c r="K47" s="671"/>
      <c r="L47" s="44"/>
    </row>
    <row r="48" spans="1:12">
      <c r="B48" s="34" t="s">
        <v>1198</v>
      </c>
    </row>
    <row r="49" spans="1:11" s="829" customFormat="1">
      <c r="I49" s="830"/>
      <c r="J49" s="831"/>
      <c r="K49" s="832"/>
    </row>
    <row r="50" spans="1:11" s="829" customFormat="1">
      <c r="I50" s="830"/>
      <c r="J50" s="831"/>
      <c r="K50" s="832"/>
    </row>
    <row r="51" spans="1:11" s="837" customFormat="1">
      <c r="A51" s="833" t="s">
        <v>742</v>
      </c>
      <c r="B51" s="834">
        <v>16309</v>
      </c>
      <c r="C51" s="835" t="e">
        <f>H51-D51-E51-F51-G51</f>
        <v>#VALUE!</v>
      </c>
      <c r="D51" s="836" t="s">
        <v>743</v>
      </c>
      <c r="E51" s="836" t="s">
        <v>744</v>
      </c>
      <c r="F51" s="836" t="s">
        <v>745</v>
      </c>
      <c r="G51" s="836" t="s">
        <v>746</v>
      </c>
      <c r="H51" s="835" t="s">
        <v>916</v>
      </c>
      <c r="I51" s="830"/>
      <c r="J51" s="831"/>
      <c r="K51" s="832"/>
    </row>
    <row r="52" spans="1:11" s="837" customFormat="1">
      <c r="A52" s="833"/>
      <c r="B52" s="834">
        <v>16303</v>
      </c>
      <c r="C52" s="835"/>
      <c r="D52" s="836" t="s">
        <v>917</v>
      </c>
      <c r="E52" s="836" t="s">
        <v>918</v>
      </c>
      <c r="F52" s="836" t="s">
        <v>919</v>
      </c>
      <c r="G52" s="836" t="s">
        <v>920</v>
      </c>
      <c r="H52" s="835" t="s">
        <v>921</v>
      </c>
      <c r="I52" s="830"/>
      <c r="J52" s="831"/>
      <c r="K52" s="832"/>
    </row>
    <row r="53" spans="1:11" s="838" customFormat="1" ht="12.75">
      <c r="B53" s="839"/>
      <c r="C53" s="840"/>
      <c r="D53" s="840" t="e">
        <f>D51+D52</f>
        <v>#VALUE!</v>
      </c>
      <c r="E53" s="840" t="e">
        <f>E51+E52</f>
        <v>#VALUE!</v>
      </c>
      <c r="F53" s="840" t="e">
        <f>F51+F52</f>
        <v>#VALUE!</v>
      </c>
      <c r="G53" s="840" t="e">
        <f>G51+G52</f>
        <v>#VALUE!</v>
      </c>
      <c r="H53" s="840" t="e">
        <f>H51+H52</f>
        <v>#VALUE!</v>
      </c>
      <c r="I53" s="830"/>
      <c r="J53" s="831"/>
      <c r="K53" s="832"/>
    </row>
    <row r="54" spans="1:11" s="829" customFormat="1">
      <c r="I54" s="830"/>
      <c r="J54" s="831"/>
      <c r="K54" s="832"/>
    </row>
    <row r="55" spans="1:11" s="829" customFormat="1">
      <c r="I55" s="830"/>
      <c r="J55" s="831"/>
      <c r="K55" s="832"/>
    </row>
    <row r="56" spans="1:11" s="841" customFormat="1">
      <c r="I56" s="842"/>
      <c r="J56" s="843"/>
      <c r="K56" s="695"/>
    </row>
    <row r="57" spans="1:11" s="445" customFormat="1">
      <c r="I57" s="672"/>
      <c r="J57" s="673"/>
      <c r="K57" s="671"/>
    </row>
    <row r="58" spans="1:11" s="445" customFormat="1">
      <c r="I58" s="672"/>
      <c r="J58" s="673"/>
      <c r="K58" s="671"/>
    </row>
    <row r="59" spans="1:11" s="445" customFormat="1">
      <c r="I59" s="672"/>
      <c r="J59" s="673"/>
      <c r="K59" s="671"/>
    </row>
    <row r="60" spans="1:11" s="445" customFormat="1">
      <c r="I60" s="672"/>
      <c r="J60" s="673"/>
      <c r="K60" s="671"/>
    </row>
    <row r="61" spans="1:11" s="445" customFormat="1">
      <c r="I61" s="672"/>
      <c r="J61" s="673"/>
      <c r="K61" s="671"/>
    </row>
    <row r="62" spans="1:11" s="445" customFormat="1">
      <c r="I62" s="672"/>
      <c r="J62" s="673"/>
      <c r="K62" s="671"/>
    </row>
    <row r="63" spans="1:11" s="445" customFormat="1">
      <c r="I63" s="672"/>
      <c r="J63" s="673"/>
      <c r="K63" s="671"/>
    </row>
    <row r="64" spans="1:11" s="445" customFormat="1">
      <c r="I64" s="672"/>
      <c r="J64" s="673"/>
      <c r="K64" s="671"/>
    </row>
    <row r="65" spans="9:11" s="445" customFormat="1">
      <c r="I65" s="672"/>
      <c r="J65" s="673"/>
      <c r="K65" s="671"/>
    </row>
    <row r="66" spans="9:11" s="445" customFormat="1">
      <c r="I66" s="672"/>
      <c r="J66" s="673"/>
      <c r="K66" s="671"/>
    </row>
    <row r="67" spans="9:11" s="445" customFormat="1">
      <c r="I67" s="672"/>
      <c r="J67" s="673"/>
      <c r="K67" s="671"/>
    </row>
    <row r="68" spans="9:11" s="445" customFormat="1">
      <c r="I68" s="672"/>
      <c r="J68" s="673"/>
      <c r="K68" s="671"/>
    </row>
    <row r="69" spans="9:11" s="445" customFormat="1">
      <c r="I69" s="672"/>
      <c r="J69" s="673"/>
      <c r="K69" s="671"/>
    </row>
    <row r="70" spans="9:11" s="445" customFormat="1">
      <c r="I70" s="672"/>
      <c r="J70" s="673"/>
      <c r="K70" s="671"/>
    </row>
    <row r="71" spans="9:11" s="445" customFormat="1">
      <c r="I71" s="672"/>
      <c r="J71" s="673"/>
      <c r="K71" s="671"/>
    </row>
    <row r="72" spans="9:11" s="445" customFormat="1">
      <c r="I72" s="672"/>
      <c r="J72" s="673"/>
      <c r="K72" s="671"/>
    </row>
    <row r="73" spans="9:11" s="445" customFormat="1">
      <c r="I73" s="672"/>
      <c r="J73" s="673"/>
      <c r="K73" s="671"/>
    </row>
    <row r="74" spans="9:11" s="445" customFormat="1">
      <c r="I74" s="672"/>
      <c r="J74" s="673"/>
      <c r="K74" s="671"/>
    </row>
    <row r="75" spans="9:11" s="445" customFormat="1">
      <c r="I75" s="672"/>
      <c r="J75" s="673"/>
      <c r="K75" s="671"/>
    </row>
    <row r="76" spans="9:11" s="445" customFormat="1">
      <c r="I76" s="672"/>
      <c r="J76" s="673"/>
      <c r="K76" s="671"/>
    </row>
    <row r="77" spans="9:11" s="445" customFormat="1">
      <c r="I77" s="672"/>
      <c r="J77" s="673"/>
      <c r="K77" s="671"/>
    </row>
    <row r="78" spans="9:11" s="445" customFormat="1">
      <c r="I78" s="672"/>
      <c r="J78" s="673"/>
      <c r="K78" s="671"/>
    </row>
    <row r="79" spans="9:11" s="445" customFormat="1">
      <c r="I79" s="672"/>
      <c r="J79" s="673"/>
      <c r="K79" s="671"/>
    </row>
    <row r="80" spans="9:11" s="445" customFormat="1">
      <c r="I80" s="672"/>
      <c r="J80" s="673"/>
      <c r="K80" s="671"/>
    </row>
    <row r="81" spans="9:11" s="445" customFormat="1">
      <c r="I81" s="672"/>
      <c r="J81" s="673"/>
      <c r="K81" s="671"/>
    </row>
    <row r="82" spans="9:11" s="445" customFormat="1">
      <c r="I82" s="672"/>
      <c r="J82" s="673"/>
      <c r="K82" s="671"/>
    </row>
    <row r="83" spans="9:11" s="445" customFormat="1">
      <c r="I83" s="672"/>
      <c r="J83" s="673"/>
      <c r="K83" s="671"/>
    </row>
    <row r="84" spans="9:11" s="445" customFormat="1">
      <c r="I84" s="672"/>
      <c r="J84" s="673"/>
      <c r="K84" s="671"/>
    </row>
    <row r="85" spans="9:11" s="445" customFormat="1">
      <c r="I85" s="672"/>
      <c r="J85" s="673"/>
      <c r="K85" s="671"/>
    </row>
    <row r="86" spans="9:11" s="445" customFormat="1">
      <c r="I86" s="672"/>
      <c r="J86" s="673"/>
      <c r="K86" s="671"/>
    </row>
    <row r="87" spans="9:11" s="445" customFormat="1">
      <c r="I87" s="672"/>
      <c r="J87" s="673"/>
      <c r="K87" s="671"/>
    </row>
    <row r="88" spans="9:11" s="445" customFormat="1">
      <c r="I88" s="672"/>
      <c r="J88" s="673"/>
      <c r="K88" s="671"/>
    </row>
    <row r="89" spans="9:11" s="445" customFormat="1">
      <c r="I89" s="672"/>
      <c r="J89" s="673"/>
      <c r="K89" s="671"/>
    </row>
    <row r="90" spans="9:11" s="445" customFormat="1">
      <c r="I90" s="672"/>
      <c r="J90" s="673"/>
      <c r="K90" s="671"/>
    </row>
    <row r="91" spans="9:11" s="445" customFormat="1">
      <c r="I91" s="672"/>
      <c r="J91" s="673"/>
      <c r="K91" s="671"/>
    </row>
    <row r="92" spans="9:11" s="445" customFormat="1">
      <c r="I92" s="672"/>
      <c r="J92" s="673"/>
      <c r="K92" s="671"/>
    </row>
    <row r="93" spans="9:11" s="445" customFormat="1">
      <c r="I93" s="672"/>
      <c r="J93" s="673"/>
      <c r="K93" s="671"/>
    </row>
    <row r="94" spans="9:11" s="445" customFormat="1">
      <c r="I94" s="672"/>
      <c r="J94" s="673"/>
      <c r="K94" s="671"/>
    </row>
    <row r="95" spans="9:11" s="445" customFormat="1">
      <c r="I95" s="672"/>
      <c r="J95" s="673"/>
      <c r="K95" s="671"/>
    </row>
    <row r="96" spans="9:11" s="445" customFormat="1">
      <c r="I96" s="672"/>
      <c r="J96" s="673"/>
      <c r="K96" s="671"/>
    </row>
    <row r="97" spans="9:11" s="445" customFormat="1">
      <c r="I97" s="672"/>
      <c r="J97" s="673"/>
      <c r="K97" s="671"/>
    </row>
    <row r="98" spans="9:11" s="445" customFormat="1">
      <c r="I98" s="672"/>
      <c r="J98" s="673"/>
      <c r="K98" s="671"/>
    </row>
    <row r="99" spans="9:11" s="445" customFormat="1">
      <c r="I99" s="672"/>
      <c r="J99" s="673"/>
      <c r="K99" s="671"/>
    </row>
    <row r="100" spans="9:11" s="445" customFormat="1">
      <c r="I100" s="672"/>
      <c r="J100" s="673"/>
      <c r="K100" s="671"/>
    </row>
    <row r="101" spans="9:11" s="445" customFormat="1">
      <c r="I101" s="672"/>
      <c r="J101" s="673"/>
      <c r="K101" s="671"/>
    </row>
    <row r="102" spans="9:11" s="445" customFormat="1">
      <c r="I102" s="672"/>
      <c r="J102" s="673"/>
      <c r="K102" s="671"/>
    </row>
    <row r="103" spans="9:11" s="445" customFormat="1">
      <c r="I103" s="672"/>
      <c r="J103" s="673"/>
      <c r="K103" s="671"/>
    </row>
    <row r="104" spans="9:11" s="445" customFormat="1">
      <c r="I104" s="672"/>
      <c r="J104" s="673"/>
      <c r="K104" s="671"/>
    </row>
    <row r="105" spans="9:11" s="445" customFormat="1">
      <c r="I105" s="672"/>
      <c r="J105" s="673"/>
      <c r="K105" s="671"/>
    </row>
    <row r="106" spans="9:11" s="445" customFormat="1">
      <c r="I106" s="672"/>
      <c r="J106" s="673"/>
      <c r="K106" s="671"/>
    </row>
  </sheetData>
  <mergeCells count="6">
    <mergeCell ref="C3:D3"/>
    <mergeCell ref="I1:K1"/>
    <mergeCell ref="I2:K2"/>
    <mergeCell ref="I5:I6"/>
    <mergeCell ref="J5:J6"/>
    <mergeCell ref="K5:K6"/>
  </mergeCells>
  <phoneticPr fontId="0" type="noConversion"/>
  <dataValidations disablePrompts="1" count="2">
    <dataValidation type="whole" operator="greaterThanOrEqual" allowBlank="1" showErrorMessage="1" error="Введите как целое положительное число." sqref="D43:G44 IZ43:JC44 SV43:SY44 ACR43:ACU44 AMN43:AMQ44 AWJ43:AWM44 BGF43:BGI44 BQB43:BQE44 BZX43:CAA44 CJT43:CJW44 CTP43:CTS44 DDL43:DDO44 DNH43:DNK44 DXD43:DXG44 EGZ43:EHC44 EQV43:EQY44 FAR43:FAU44 FKN43:FKQ44 FUJ43:FUM44 GEF43:GEI44 GOB43:GOE44 GXX43:GYA44 HHT43:HHW44 HRP43:HRS44 IBL43:IBO44 ILH43:ILK44 IVD43:IVG44 JEZ43:JFC44 JOV43:JOY44 JYR43:JYU44 KIN43:KIQ44 KSJ43:KSM44 LCF43:LCI44 LMB43:LME44 LVX43:LWA44 MFT43:MFW44 MPP43:MPS44 MZL43:MZO44 NJH43:NJK44 NTD43:NTG44 OCZ43:ODC44 OMV43:OMY44 OWR43:OWU44 PGN43:PGQ44 PQJ43:PQM44 QAF43:QAI44 QKB43:QKE44 QTX43:QUA44 RDT43:RDW44 RNP43:RNS44 RXL43:RXO44 SHH43:SHK44 SRD43:SRG44 TAZ43:TBC44 TKV43:TKY44 TUR43:TUU44 UEN43:UEQ44 UOJ43:UOM44 UYF43:UYI44 VIB43:VIE44 VRX43:VSA44 WBT43:WBW44 WLP43:WLS44 WVL43:WVO44 D65579:G65580 IZ65579:JC65580 SV65579:SY65580 ACR65579:ACU65580 AMN65579:AMQ65580 AWJ65579:AWM65580 BGF65579:BGI65580 BQB65579:BQE65580 BZX65579:CAA65580 CJT65579:CJW65580 CTP65579:CTS65580 DDL65579:DDO65580 DNH65579:DNK65580 DXD65579:DXG65580 EGZ65579:EHC65580 EQV65579:EQY65580 FAR65579:FAU65580 FKN65579:FKQ65580 FUJ65579:FUM65580 GEF65579:GEI65580 GOB65579:GOE65580 GXX65579:GYA65580 HHT65579:HHW65580 HRP65579:HRS65580 IBL65579:IBO65580 ILH65579:ILK65580 IVD65579:IVG65580 JEZ65579:JFC65580 JOV65579:JOY65580 JYR65579:JYU65580 KIN65579:KIQ65580 KSJ65579:KSM65580 LCF65579:LCI65580 LMB65579:LME65580 LVX65579:LWA65580 MFT65579:MFW65580 MPP65579:MPS65580 MZL65579:MZO65580 NJH65579:NJK65580 NTD65579:NTG65580 OCZ65579:ODC65580 OMV65579:OMY65580 OWR65579:OWU65580 PGN65579:PGQ65580 PQJ65579:PQM65580 QAF65579:QAI65580 QKB65579:QKE65580 QTX65579:QUA65580 RDT65579:RDW65580 RNP65579:RNS65580 RXL65579:RXO65580 SHH65579:SHK65580 SRD65579:SRG65580 TAZ65579:TBC65580 TKV65579:TKY65580 TUR65579:TUU65580 UEN65579:UEQ65580 UOJ65579:UOM65580 UYF65579:UYI65580 VIB65579:VIE65580 VRX65579:VSA65580 WBT65579:WBW65580 WLP65579:WLS65580 WVL65579:WVO65580 D131115:G131116 IZ131115:JC131116 SV131115:SY131116 ACR131115:ACU131116 AMN131115:AMQ131116 AWJ131115:AWM131116 BGF131115:BGI131116 BQB131115:BQE131116 BZX131115:CAA131116 CJT131115:CJW131116 CTP131115:CTS131116 DDL131115:DDO131116 DNH131115:DNK131116 DXD131115:DXG131116 EGZ131115:EHC131116 EQV131115:EQY131116 FAR131115:FAU131116 FKN131115:FKQ131116 FUJ131115:FUM131116 GEF131115:GEI131116 GOB131115:GOE131116 GXX131115:GYA131116 HHT131115:HHW131116 HRP131115:HRS131116 IBL131115:IBO131116 ILH131115:ILK131116 IVD131115:IVG131116 JEZ131115:JFC131116 JOV131115:JOY131116 JYR131115:JYU131116 KIN131115:KIQ131116 KSJ131115:KSM131116 LCF131115:LCI131116 LMB131115:LME131116 LVX131115:LWA131116 MFT131115:MFW131116 MPP131115:MPS131116 MZL131115:MZO131116 NJH131115:NJK131116 NTD131115:NTG131116 OCZ131115:ODC131116 OMV131115:OMY131116 OWR131115:OWU131116 PGN131115:PGQ131116 PQJ131115:PQM131116 QAF131115:QAI131116 QKB131115:QKE131116 QTX131115:QUA131116 RDT131115:RDW131116 RNP131115:RNS131116 RXL131115:RXO131116 SHH131115:SHK131116 SRD131115:SRG131116 TAZ131115:TBC131116 TKV131115:TKY131116 TUR131115:TUU131116 UEN131115:UEQ131116 UOJ131115:UOM131116 UYF131115:UYI131116 VIB131115:VIE131116 VRX131115:VSA131116 WBT131115:WBW131116 WLP131115:WLS131116 WVL131115:WVO131116 D196651:G196652 IZ196651:JC196652 SV196651:SY196652 ACR196651:ACU196652 AMN196651:AMQ196652 AWJ196651:AWM196652 BGF196651:BGI196652 BQB196651:BQE196652 BZX196651:CAA196652 CJT196651:CJW196652 CTP196651:CTS196652 DDL196651:DDO196652 DNH196651:DNK196652 DXD196651:DXG196652 EGZ196651:EHC196652 EQV196651:EQY196652 FAR196651:FAU196652 FKN196651:FKQ196652 FUJ196651:FUM196652 GEF196651:GEI196652 GOB196651:GOE196652 GXX196651:GYA196652 HHT196651:HHW196652 HRP196651:HRS196652 IBL196651:IBO196652 ILH196651:ILK196652 IVD196651:IVG196652 JEZ196651:JFC196652 JOV196651:JOY196652 JYR196651:JYU196652 KIN196651:KIQ196652 KSJ196651:KSM196652 LCF196651:LCI196652 LMB196651:LME196652 LVX196651:LWA196652 MFT196651:MFW196652 MPP196651:MPS196652 MZL196651:MZO196652 NJH196651:NJK196652 NTD196651:NTG196652 OCZ196651:ODC196652 OMV196651:OMY196652 OWR196651:OWU196652 PGN196651:PGQ196652 PQJ196651:PQM196652 QAF196651:QAI196652 QKB196651:QKE196652 QTX196651:QUA196652 RDT196651:RDW196652 RNP196651:RNS196652 RXL196651:RXO196652 SHH196651:SHK196652 SRD196651:SRG196652 TAZ196651:TBC196652 TKV196651:TKY196652 TUR196651:TUU196652 UEN196651:UEQ196652 UOJ196651:UOM196652 UYF196651:UYI196652 VIB196651:VIE196652 VRX196651:VSA196652 WBT196651:WBW196652 WLP196651:WLS196652 WVL196651:WVO196652 D262187:G262188 IZ262187:JC262188 SV262187:SY262188 ACR262187:ACU262188 AMN262187:AMQ262188 AWJ262187:AWM262188 BGF262187:BGI262188 BQB262187:BQE262188 BZX262187:CAA262188 CJT262187:CJW262188 CTP262187:CTS262188 DDL262187:DDO262188 DNH262187:DNK262188 DXD262187:DXG262188 EGZ262187:EHC262188 EQV262187:EQY262188 FAR262187:FAU262188 FKN262187:FKQ262188 FUJ262187:FUM262188 GEF262187:GEI262188 GOB262187:GOE262188 GXX262187:GYA262188 HHT262187:HHW262188 HRP262187:HRS262188 IBL262187:IBO262188 ILH262187:ILK262188 IVD262187:IVG262188 JEZ262187:JFC262188 JOV262187:JOY262188 JYR262187:JYU262188 KIN262187:KIQ262188 KSJ262187:KSM262188 LCF262187:LCI262188 LMB262187:LME262188 LVX262187:LWA262188 MFT262187:MFW262188 MPP262187:MPS262188 MZL262187:MZO262188 NJH262187:NJK262188 NTD262187:NTG262188 OCZ262187:ODC262188 OMV262187:OMY262188 OWR262187:OWU262188 PGN262187:PGQ262188 PQJ262187:PQM262188 QAF262187:QAI262188 QKB262187:QKE262188 QTX262187:QUA262188 RDT262187:RDW262188 RNP262187:RNS262188 RXL262187:RXO262188 SHH262187:SHK262188 SRD262187:SRG262188 TAZ262187:TBC262188 TKV262187:TKY262188 TUR262187:TUU262188 UEN262187:UEQ262188 UOJ262187:UOM262188 UYF262187:UYI262188 VIB262187:VIE262188 VRX262187:VSA262188 WBT262187:WBW262188 WLP262187:WLS262188 WVL262187:WVO262188 D327723:G327724 IZ327723:JC327724 SV327723:SY327724 ACR327723:ACU327724 AMN327723:AMQ327724 AWJ327723:AWM327724 BGF327723:BGI327724 BQB327723:BQE327724 BZX327723:CAA327724 CJT327723:CJW327724 CTP327723:CTS327724 DDL327723:DDO327724 DNH327723:DNK327724 DXD327723:DXG327724 EGZ327723:EHC327724 EQV327723:EQY327724 FAR327723:FAU327724 FKN327723:FKQ327724 FUJ327723:FUM327724 GEF327723:GEI327724 GOB327723:GOE327724 GXX327723:GYA327724 HHT327723:HHW327724 HRP327723:HRS327724 IBL327723:IBO327724 ILH327723:ILK327724 IVD327723:IVG327724 JEZ327723:JFC327724 JOV327723:JOY327724 JYR327723:JYU327724 KIN327723:KIQ327724 KSJ327723:KSM327724 LCF327723:LCI327724 LMB327723:LME327724 LVX327723:LWA327724 MFT327723:MFW327724 MPP327723:MPS327724 MZL327723:MZO327724 NJH327723:NJK327724 NTD327723:NTG327724 OCZ327723:ODC327724 OMV327723:OMY327724 OWR327723:OWU327724 PGN327723:PGQ327724 PQJ327723:PQM327724 QAF327723:QAI327724 QKB327723:QKE327724 QTX327723:QUA327724 RDT327723:RDW327724 RNP327723:RNS327724 RXL327723:RXO327724 SHH327723:SHK327724 SRD327723:SRG327724 TAZ327723:TBC327724 TKV327723:TKY327724 TUR327723:TUU327724 UEN327723:UEQ327724 UOJ327723:UOM327724 UYF327723:UYI327724 VIB327723:VIE327724 VRX327723:VSA327724 WBT327723:WBW327724 WLP327723:WLS327724 WVL327723:WVO327724 D393259:G393260 IZ393259:JC393260 SV393259:SY393260 ACR393259:ACU393260 AMN393259:AMQ393260 AWJ393259:AWM393260 BGF393259:BGI393260 BQB393259:BQE393260 BZX393259:CAA393260 CJT393259:CJW393260 CTP393259:CTS393260 DDL393259:DDO393260 DNH393259:DNK393260 DXD393259:DXG393260 EGZ393259:EHC393260 EQV393259:EQY393260 FAR393259:FAU393260 FKN393259:FKQ393260 FUJ393259:FUM393260 GEF393259:GEI393260 GOB393259:GOE393260 GXX393259:GYA393260 HHT393259:HHW393260 HRP393259:HRS393260 IBL393259:IBO393260 ILH393259:ILK393260 IVD393259:IVG393260 JEZ393259:JFC393260 JOV393259:JOY393260 JYR393259:JYU393260 KIN393259:KIQ393260 KSJ393259:KSM393260 LCF393259:LCI393260 LMB393259:LME393260 LVX393259:LWA393260 MFT393259:MFW393260 MPP393259:MPS393260 MZL393259:MZO393260 NJH393259:NJK393260 NTD393259:NTG393260 OCZ393259:ODC393260 OMV393259:OMY393260 OWR393259:OWU393260 PGN393259:PGQ393260 PQJ393259:PQM393260 QAF393259:QAI393260 QKB393259:QKE393260 QTX393259:QUA393260 RDT393259:RDW393260 RNP393259:RNS393260 RXL393259:RXO393260 SHH393259:SHK393260 SRD393259:SRG393260 TAZ393259:TBC393260 TKV393259:TKY393260 TUR393259:TUU393260 UEN393259:UEQ393260 UOJ393259:UOM393260 UYF393259:UYI393260 VIB393259:VIE393260 VRX393259:VSA393260 WBT393259:WBW393260 WLP393259:WLS393260 WVL393259:WVO393260 D458795:G458796 IZ458795:JC458796 SV458795:SY458796 ACR458795:ACU458796 AMN458795:AMQ458796 AWJ458795:AWM458796 BGF458795:BGI458796 BQB458795:BQE458796 BZX458795:CAA458796 CJT458795:CJW458796 CTP458795:CTS458796 DDL458795:DDO458796 DNH458795:DNK458796 DXD458795:DXG458796 EGZ458795:EHC458796 EQV458795:EQY458796 FAR458795:FAU458796 FKN458795:FKQ458796 FUJ458795:FUM458796 GEF458795:GEI458796 GOB458795:GOE458796 GXX458795:GYA458796 HHT458795:HHW458796 HRP458795:HRS458796 IBL458795:IBO458796 ILH458795:ILK458796 IVD458795:IVG458796 JEZ458795:JFC458796 JOV458795:JOY458796 JYR458795:JYU458796 KIN458795:KIQ458796 KSJ458795:KSM458796 LCF458795:LCI458796 LMB458795:LME458796 LVX458795:LWA458796 MFT458795:MFW458796 MPP458795:MPS458796 MZL458795:MZO458796 NJH458795:NJK458796 NTD458795:NTG458796 OCZ458795:ODC458796 OMV458795:OMY458796 OWR458795:OWU458796 PGN458795:PGQ458796 PQJ458795:PQM458796 QAF458795:QAI458796 QKB458795:QKE458796 QTX458795:QUA458796 RDT458795:RDW458796 RNP458795:RNS458796 RXL458795:RXO458796 SHH458795:SHK458796 SRD458795:SRG458796 TAZ458795:TBC458796 TKV458795:TKY458796 TUR458795:TUU458796 UEN458795:UEQ458796 UOJ458795:UOM458796 UYF458795:UYI458796 VIB458795:VIE458796 VRX458795:VSA458796 WBT458795:WBW458796 WLP458795:WLS458796 WVL458795:WVO458796 D524331:G524332 IZ524331:JC524332 SV524331:SY524332 ACR524331:ACU524332 AMN524331:AMQ524332 AWJ524331:AWM524332 BGF524331:BGI524332 BQB524331:BQE524332 BZX524331:CAA524332 CJT524331:CJW524332 CTP524331:CTS524332 DDL524331:DDO524332 DNH524331:DNK524332 DXD524331:DXG524332 EGZ524331:EHC524332 EQV524331:EQY524332 FAR524331:FAU524332 FKN524331:FKQ524332 FUJ524331:FUM524332 GEF524331:GEI524332 GOB524331:GOE524332 GXX524331:GYA524332 HHT524331:HHW524332 HRP524331:HRS524332 IBL524331:IBO524332 ILH524331:ILK524332 IVD524331:IVG524332 JEZ524331:JFC524332 JOV524331:JOY524332 JYR524331:JYU524332 KIN524331:KIQ524332 KSJ524331:KSM524332 LCF524331:LCI524332 LMB524331:LME524332 LVX524331:LWA524332 MFT524331:MFW524332 MPP524331:MPS524332 MZL524331:MZO524332 NJH524331:NJK524332 NTD524331:NTG524332 OCZ524331:ODC524332 OMV524331:OMY524332 OWR524331:OWU524332 PGN524331:PGQ524332 PQJ524331:PQM524332 QAF524331:QAI524332 QKB524331:QKE524332 QTX524331:QUA524332 RDT524331:RDW524332 RNP524331:RNS524332 RXL524331:RXO524332 SHH524331:SHK524332 SRD524331:SRG524332 TAZ524331:TBC524332 TKV524331:TKY524332 TUR524331:TUU524332 UEN524331:UEQ524332 UOJ524331:UOM524332 UYF524331:UYI524332 VIB524331:VIE524332 VRX524331:VSA524332 WBT524331:WBW524332 WLP524331:WLS524332 WVL524331:WVO524332 D589867:G589868 IZ589867:JC589868 SV589867:SY589868 ACR589867:ACU589868 AMN589867:AMQ589868 AWJ589867:AWM589868 BGF589867:BGI589868 BQB589867:BQE589868 BZX589867:CAA589868 CJT589867:CJW589868 CTP589867:CTS589868 DDL589867:DDO589868 DNH589867:DNK589868 DXD589867:DXG589868 EGZ589867:EHC589868 EQV589867:EQY589868 FAR589867:FAU589868 FKN589867:FKQ589868 FUJ589867:FUM589868 GEF589867:GEI589868 GOB589867:GOE589868 GXX589867:GYA589868 HHT589867:HHW589868 HRP589867:HRS589868 IBL589867:IBO589868 ILH589867:ILK589868 IVD589867:IVG589868 JEZ589867:JFC589868 JOV589867:JOY589868 JYR589867:JYU589868 KIN589867:KIQ589868 KSJ589867:KSM589868 LCF589867:LCI589868 LMB589867:LME589868 LVX589867:LWA589868 MFT589867:MFW589868 MPP589867:MPS589868 MZL589867:MZO589868 NJH589867:NJK589868 NTD589867:NTG589868 OCZ589867:ODC589868 OMV589867:OMY589868 OWR589867:OWU589868 PGN589867:PGQ589868 PQJ589867:PQM589868 QAF589867:QAI589868 QKB589867:QKE589868 QTX589867:QUA589868 RDT589867:RDW589868 RNP589867:RNS589868 RXL589867:RXO589868 SHH589867:SHK589868 SRD589867:SRG589868 TAZ589867:TBC589868 TKV589867:TKY589868 TUR589867:TUU589868 UEN589867:UEQ589868 UOJ589867:UOM589868 UYF589867:UYI589868 VIB589867:VIE589868 VRX589867:VSA589868 WBT589867:WBW589868 WLP589867:WLS589868 WVL589867:WVO589868 D655403:G655404 IZ655403:JC655404 SV655403:SY655404 ACR655403:ACU655404 AMN655403:AMQ655404 AWJ655403:AWM655404 BGF655403:BGI655404 BQB655403:BQE655404 BZX655403:CAA655404 CJT655403:CJW655404 CTP655403:CTS655404 DDL655403:DDO655404 DNH655403:DNK655404 DXD655403:DXG655404 EGZ655403:EHC655404 EQV655403:EQY655404 FAR655403:FAU655404 FKN655403:FKQ655404 FUJ655403:FUM655404 GEF655403:GEI655404 GOB655403:GOE655404 GXX655403:GYA655404 HHT655403:HHW655404 HRP655403:HRS655404 IBL655403:IBO655404 ILH655403:ILK655404 IVD655403:IVG655404 JEZ655403:JFC655404 JOV655403:JOY655404 JYR655403:JYU655404 KIN655403:KIQ655404 KSJ655403:KSM655404 LCF655403:LCI655404 LMB655403:LME655404 LVX655403:LWA655404 MFT655403:MFW655404 MPP655403:MPS655404 MZL655403:MZO655404 NJH655403:NJK655404 NTD655403:NTG655404 OCZ655403:ODC655404 OMV655403:OMY655404 OWR655403:OWU655404 PGN655403:PGQ655404 PQJ655403:PQM655404 QAF655403:QAI655404 QKB655403:QKE655404 QTX655403:QUA655404 RDT655403:RDW655404 RNP655403:RNS655404 RXL655403:RXO655404 SHH655403:SHK655404 SRD655403:SRG655404 TAZ655403:TBC655404 TKV655403:TKY655404 TUR655403:TUU655404 UEN655403:UEQ655404 UOJ655403:UOM655404 UYF655403:UYI655404 VIB655403:VIE655404 VRX655403:VSA655404 WBT655403:WBW655404 WLP655403:WLS655404 WVL655403:WVO655404 D720939:G720940 IZ720939:JC720940 SV720939:SY720940 ACR720939:ACU720940 AMN720939:AMQ720940 AWJ720939:AWM720940 BGF720939:BGI720940 BQB720939:BQE720940 BZX720939:CAA720940 CJT720939:CJW720940 CTP720939:CTS720940 DDL720939:DDO720940 DNH720939:DNK720940 DXD720939:DXG720940 EGZ720939:EHC720940 EQV720939:EQY720940 FAR720939:FAU720940 FKN720939:FKQ720940 FUJ720939:FUM720940 GEF720939:GEI720940 GOB720939:GOE720940 GXX720939:GYA720940 HHT720939:HHW720940 HRP720939:HRS720940 IBL720939:IBO720940 ILH720939:ILK720940 IVD720939:IVG720940 JEZ720939:JFC720940 JOV720939:JOY720940 JYR720939:JYU720940 KIN720939:KIQ720940 KSJ720939:KSM720940 LCF720939:LCI720940 LMB720939:LME720940 LVX720939:LWA720940 MFT720939:MFW720940 MPP720939:MPS720940 MZL720939:MZO720940 NJH720939:NJK720940 NTD720939:NTG720940 OCZ720939:ODC720940 OMV720939:OMY720940 OWR720939:OWU720940 PGN720939:PGQ720940 PQJ720939:PQM720940 QAF720939:QAI720940 QKB720939:QKE720940 QTX720939:QUA720940 RDT720939:RDW720940 RNP720939:RNS720940 RXL720939:RXO720940 SHH720939:SHK720940 SRD720939:SRG720940 TAZ720939:TBC720940 TKV720939:TKY720940 TUR720939:TUU720940 UEN720939:UEQ720940 UOJ720939:UOM720940 UYF720939:UYI720940 VIB720939:VIE720940 VRX720939:VSA720940 WBT720939:WBW720940 WLP720939:WLS720940 WVL720939:WVO720940 D786475:G786476 IZ786475:JC786476 SV786475:SY786476 ACR786475:ACU786476 AMN786475:AMQ786476 AWJ786475:AWM786476 BGF786475:BGI786476 BQB786475:BQE786476 BZX786475:CAA786476 CJT786475:CJW786476 CTP786475:CTS786476 DDL786475:DDO786476 DNH786475:DNK786476 DXD786475:DXG786476 EGZ786475:EHC786476 EQV786475:EQY786476 FAR786475:FAU786476 FKN786475:FKQ786476 FUJ786475:FUM786476 GEF786475:GEI786476 GOB786475:GOE786476 GXX786475:GYA786476 HHT786475:HHW786476 HRP786475:HRS786476 IBL786475:IBO786476 ILH786475:ILK786476 IVD786475:IVG786476 JEZ786475:JFC786476 JOV786475:JOY786476 JYR786475:JYU786476 KIN786475:KIQ786476 KSJ786475:KSM786476 LCF786475:LCI786476 LMB786475:LME786476 LVX786475:LWA786476 MFT786475:MFW786476 MPP786475:MPS786476 MZL786475:MZO786476 NJH786475:NJK786476 NTD786475:NTG786476 OCZ786475:ODC786476 OMV786475:OMY786476 OWR786475:OWU786476 PGN786475:PGQ786476 PQJ786475:PQM786476 QAF786475:QAI786476 QKB786475:QKE786476 QTX786475:QUA786476 RDT786475:RDW786476 RNP786475:RNS786476 RXL786475:RXO786476 SHH786475:SHK786476 SRD786475:SRG786476 TAZ786475:TBC786476 TKV786475:TKY786476 TUR786475:TUU786476 UEN786475:UEQ786476 UOJ786475:UOM786476 UYF786475:UYI786476 VIB786475:VIE786476 VRX786475:VSA786476 WBT786475:WBW786476 WLP786475:WLS786476 WVL786475:WVO786476 D852011:G852012 IZ852011:JC852012 SV852011:SY852012 ACR852011:ACU852012 AMN852011:AMQ852012 AWJ852011:AWM852012 BGF852011:BGI852012 BQB852011:BQE852012 BZX852011:CAA852012 CJT852011:CJW852012 CTP852011:CTS852012 DDL852011:DDO852012 DNH852011:DNK852012 DXD852011:DXG852012 EGZ852011:EHC852012 EQV852011:EQY852012 FAR852011:FAU852012 FKN852011:FKQ852012 FUJ852011:FUM852012 GEF852011:GEI852012 GOB852011:GOE852012 GXX852011:GYA852012 HHT852011:HHW852012 HRP852011:HRS852012 IBL852011:IBO852012 ILH852011:ILK852012 IVD852011:IVG852012 JEZ852011:JFC852012 JOV852011:JOY852012 JYR852011:JYU852012 KIN852011:KIQ852012 KSJ852011:KSM852012 LCF852011:LCI852012 LMB852011:LME852012 LVX852011:LWA852012 MFT852011:MFW852012 MPP852011:MPS852012 MZL852011:MZO852012 NJH852011:NJK852012 NTD852011:NTG852012 OCZ852011:ODC852012 OMV852011:OMY852012 OWR852011:OWU852012 PGN852011:PGQ852012 PQJ852011:PQM852012 QAF852011:QAI852012 QKB852011:QKE852012 QTX852011:QUA852012 RDT852011:RDW852012 RNP852011:RNS852012 RXL852011:RXO852012 SHH852011:SHK852012 SRD852011:SRG852012 TAZ852011:TBC852012 TKV852011:TKY852012 TUR852011:TUU852012 UEN852011:UEQ852012 UOJ852011:UOM852012 UYF852011:UYI852012 VIB852011:VIE852012 VRX852011:VSA852012 WBT852011:WBW852012 WLP852011:WLS852012 WVL852011:WVO852012 D917547:G917548 IZ917547:JC917548 SV917547:SY917548 ACR917547:ACU917548 AMN917547:AMQ917548 AWJ917547:AWM917548 BGF917547:BGI917548 BQB917547:BQE917548 BZX917547:CAA917548 CJT917547:CJW917548 CTP917547:CTS917548 DDL917547:DDO917548 DNH917547:DNK917548 DXD917547:DXG917548 EGZ917547:EHC917548 EQV917547:EQY917548 FAR917547:FAU917548 FKN917547:FKQ917548 FUJ917547:FUM917548 GEF917547:GEI917548 GOB917547:GOE917548 GXX917547:GYA917548 HHT917547:HHW917548 HRP917547:HRS917548 IBL917547:IBO917548 ILH917547:ILK917548 IVD917547:IVG917548 JEZ917547:JFC917548 JOV917547:JOY917548 JYR917547:JYU917548 KIN917547:KIQ917548 KSJ917547:KSM917548 LCF917547:LCI917548 LMB917547:LME917548 LVX917547:LWA917548 MFT917547:MFW917548 MPP917547:MPS917548 MZL917547:MZO917548 NJH917547:NJK917548 NTD917547:NTG917548 OCZ917547:ODC917548 OMV917547:OMY917548 OWR917547:OWU917548 PGN917547:PGQ917548 PQJ917547:PQM917548 QAF917547:QAI917548 QKB917547:QKE917548 QTX917547:QUA917548 RDT917547:RDW917548 RNP917547:RNS917548 RXL917547:RXO917548 SHH917547:SHK917548 SRD917547:SRG917548 TAZ917547:TBC917548 TKV917547:TKY917548 TUR917547:TUU917548 UEN917547:UEQ917548 UOJ917547:UOM917548 UYF917547:UYI917548 VIB917547:VIE917548 VRX917547:VSA917548 WBT917547:WBW917548 WLP917547:WLS917548 WVL917547:WVO917548 D983083:G983084 IZ983083:JC983084 SV983083:SY983084 ACR983083:ACU983084 AMN983083:AMQ983084 AWJ983083:AWM983084 BGF983083:BGI983084 BQB983083:BQE983084 BZX983083:CAA983084 CJT983083:CJW983084 CTP983083:CTS983084 DDL983083:DDO983084 DNH983083:DNK983084 DXD983083:DXG983084 EGZ983083:EHC983084 EQV983083:EQY983084 FAR983083:FAU983084 FKN983083:FKQ983084 FUJ983083:FUM983084 GEF983083:GEI983084 GOB983083:GOE983084 GXX983083:GYA983084 HHT983083:HHW983084 HRP983083:HRS983084 IBL983083:IBO983084 ILH983083:ILK983084 IVD983083:IVG983084 JEZ983083:JFC983084 JOV983083:JOY983084 JYR983083:JYU983084 KIN983083:KIQ983084 KSJ983083:KSM983084 LCF983083:LCI983084 LMB983083:LME983084 LVX983083:LWA983084 MFT983083:MFW983084 MPP983083:MPS983084 MZL983083:MZO983084 NJH983083:NJK983084 NTD983083:NTG983084 OCZ983083:ODC983084 OMV983083:OMY983084 OWR983083:OWU983084 PGN983083:PGQ983084 PQJ983083:PQM983084 QAF983083:QAI983084 QKB983083:QKE983084 QTX983083:QUA983084 RDT983083:RDW983084 RNP983083:RNS983084 RXL983083:RXO983084 SHH983083:SHK983084 SRD983083:SRG983084 TAZ983083:TBC983084 TKV983083:TKY983084 TUR983083:TUU983084 UEN983083:UEQ983084 UOJ983083:UOM983084 UYF983083:UYI983084 VIB983083:VIE983084 VRX983083:VSA983084 WBT983083:WBW983084 WLP983083:WLS983084 WVL983083:WVO983084">
      <formula1>0</formula1>
    </dataValidation>
    <dataValidation type="whole" operator="notEqual" allowBlank="1" showErrorMessage="1" error="Введите как целое число." sqref="C8:G8 IY8:JC8 SU8:SY8 ACQ8:ACU8 AMM8:AMQ8 AWI8:AWM8 BGE8:BGI8 BQA8:BQE8 BZW8:CAA8 CJS8:CJW8 CTO8:CTS8 DDK8:DDO8 DNG8:DNK8 DXC8:DXG8 EGY8:EHC8 EQU8:EQY8 FAQ8:FAU8 FKM8:FKQ8 FUI8:FUM8 GEE8:GEI8 GOA8:GOE8 GXW8:GYA8 HHS8:HHW8 HRO8:HRS8 IBK8:IBO8 ILG8:ILK8 IVC8:IVG8 JEY8:JFC8 JOU8:JOY8 JYQ8:JYU8 KIM8:KIQ8 KSI8:KSM8 LCE8:LCI8 LMA8:LME8 LVW8:LWA8 MFS8:MFW8 MPO8:MPS8 MZK8:MZO8 NJG8:NJK8 NTC8:NTG8 OCY8:ODC8 OMU8:OMY8 OWQ8:OWU8 PGM8:PGQ8 PQI8:PQM8 QAE8:QAI8 QKA8:QKE8 QTW8:QUA8 RDS8:RDW8 RNO8:RNS8 RXK8:RXO8 SHG8:SHK8 SRC8:SRG8 TAY8:TBC8 TKU8:TKY8 TUQ8:TUU8 UEM8:UEQ8 UOI8:UOM8 UYE8:UYI8 VIA8:VIE8 VRW8:VSA8 WBS8:WBW8 WLO8:WLS8 WVK8:WVO8 C65544:G65544 IY65544:JC65544 SU65544:SY65544 ACQ65544:ACU65544 AMM65544:AMQ65544 AWI65544:AWM65544 BGE65544:BGI65544 BQA65544:BQE65544 BZW65544:CAA65544 CJS65544:CJW65544 CTO65544:CTS65544 DDK65544:DDO65544 DNG65544:DNK65544 DXC65544:DXG65544 EGY65544:EHC65544 EQU65544:EQY65544 FAQ65544:FAU65544 FKM65544:FKQ65544 FUI65544:FUM65544 GEE65544:GEI65544 GOA65544:GOE65544 GXW65544:GYA65544 HHS65544:HHW65544 HRO65544:HRS65544 IBK65544:IBO65544 ILG65544:ILK65544 IVC65544:IVG65544 JEY65544:JFC65544 JOU65544:JOY65544 JYQ65544:JYU65544 KIM65544:KIQ65544 KSI65544:KSM65544 LCE65544:LCI65544 LMA65544:LME65544 LVW65544:LWA65544 MFS65544:MFW65544 MPO65544:MPS65544 MZK65544:MZO65544 NJG65544:NJK65544 NTC65544:NTG65544 OCY65544:ODC65544 OMU65544:OMY65544 OWQ65544:OWU65544 PGM65544:PGQ65544 PQI65544:PQM65544 QAE65544:QAI65544 QKA65544:QKE65544 QTW65544:QUA65544 RDS65544:RDW65544 RNO65544:RNS65544 RXK65544:RXO65544 SHG65544:SHK65544 SRC65544:SRG65544 TAY65544:TBC65544 TKU65544:TKY65544 TUQ65544:TUU65544 UEM65544:UEQ65544 UOI65544:UOM65544 UYE65544:UYI65544 VIA65544:VIE65544 VRW65544:VSA65544 WBS65544:WBW65544 WLO65544:WLS65544 WVK65544:WVO65544 C131080:G131080 IY131080:JC131080 SU131080:SY131080 ACQ131080:ACU131080 AMM131080:AMQ131080 AWI131080:AWM131080 BGE131080:BGI131080 BQA131080:BQE131080 BZW131080:CAA131080 CJS131080:CJW131080 CTO131080:CTS131080 DDK131080:DDO131080 DNG131080:DNK131080 DXC131080:DXG131080 EGY131080:EHC131080 EQU131080:EQY131080 FAQ131080:FAU131080 FKM131080:FKQ131080 FUI131080:FUM131080 GEE131080:GEI131080 GOA131080:GOE131080 GXW131080:GYA131080 HHS131080:HHW131080 HRO131080:HRS131080 IBK131080:IBO131080 ILG131080:ILK131080 IVC131080:IVG131080 JEY131080:JFC131080 JOU131080:JOY131080 JYQ131080:JYU131080 KIM131080:KIQ131080 KSI131080:KSM131080 LCE131080:LCI131080 LMA131080:LME131080 LVW131080:LWA131080 MFS131080:MFW131080 MPO131080:MPS131080 MZK131080:MZO131080 NJG131080:NJK131080 NTC131080:NTG131080 OCY131080:ODC131080 OMU131080:OMY131080 OWQ131080:OWU131080 PGM131080:PGQ131080 PQI131080:PQM131080 QAE131080:QAI131080 QKA131080:QKE131080 QTW131080:QUA131080 RDS131080:RDW131080 RNO131080:RNS131080 RXK131080:RXO131080 SHG131080:SHK131080 SRC131080:SRG131080 TAY131080:TBC131080 TKU131080:TKY131080 TUQ131080:TUU131080 UEM131080:UEQ131080 UOI131080:UOM131080 UYE131080:UYI131080 VIA131080:VIE131080 VRW131080:VSA131080 WBS131080:WBW131080 WLO131080:WLS131080 WVK131080:WVO131080 C196616:G196616 IY196616:JC196616 SU196616:SY196616 ACQ196616:ACU196616 AMM196616:AMQ196616 AWI196616:AWM196616 BGE196616:BGI196616 BQA196616:BQE196616 BZW196616:CAA196616 CJS196616:CJW196616 CTO196616:CTS196616 DDK196616:DDO196616 DNG196616:DNK196616 DXC196616:DXG196616 EGY196616:EHC196616 EQU196616:EQY196616 FAQ196616:FAU196616 FKM196616:FKQ196616 FUI196616:FUM196616 GEE196616:GEI196616 GOA196616:GOE196616 GXW196616:GYA196616 HHS196616:HHW196616 HRO196616:HRS196616 IBK196616:IBO196616 ILG196616:ILK196616 IVC196616:IVG196616 JEY196616:JFC196616 JOU196616:JOY196616 JYQ196616:JYU196616 KIM196616:KIQ196616 KSI196616:KSM196616 LCE196616:LCI196616 LMA196616:LME196616 LVW196616:LWA196616 MFS196616:MFW196616 MPO196616:MPS196616 MZK196616:MZO196616 NJG196616:NJK196616 NTC196616:NTG196616 OCY196616:ODC196616 OMU196616:OMY196616 OWQ196616:OWU196616 PGM196616:PGQ196616 PQI196616:PQM196616 QAE196616:QAI196616 QKA196616:QKE196616 QTW196616:QUA196616 RDS196616:RDW196616 RNO196616:RNS196616 RXK196616:RXO196616 SHG196616:SHK196616 SRC196616:SRG196616 TAY196616:TBC196616 TKU196616:TKY196616 TUQ196616:TUU196616 UEM196616:UEQ196616 UOI196616:UOM196616 UYE196616:UYI196616 VIA196616:VIE196616 VRW196616:VSA196616 WBS196616:WBW196616 WLO196616:WLS196616 WVK196616:WVO196616 C262152:G262152 IY262152:JC262152 SU262152:SY262152 ACQ262152:ACU262152 AMM262152:AMQ262152 AWI262152:AWM262152 BGE262152:BGI262152 BQA262152:BQE262152 BZW262152:CAA262152 CJS262152:CJW262152 CTO262152:CTS262152 DDK262152:DDO262152 DNG262152:DNK262152 DXC262152:DXG262152 EGY262152:EHC262152 EQU262152:EQY262152 FAQ262152:FAU262152 FKM262152:FKQ262152 FUI262152:FUM262152 GEE262152:GEI262152 GOA262152:GOE262152 GXW262152:GYA262152 HHS262152:HHW262152 HRO262152:HRS262152 IBK262152:IBO262152 ILG262152:ILK262152 IVC262152:IVG262152 JEY262152:JFC262152 JOU262152:JOY262152 JYQ262152:JYU262152 KIM262152:KIQ262152 KSI262152:KSM262152 LCE262152:LCI262152 LMA262152:LME262152 LVW262152:LWA262152 MFS262152:MFW262152 MPO262152:MPS262152 MZK262152:MZO262152 NJG262152:NJK262152 NTC262152:NTG262152 OCY262152:ODC262152 OMU262152:OMY262152 OWQ262152:OWU262152 PGM262152:PGQ262152 PQI262152:PQM262152 QAE262152:QAI262152 QKA262152:QKE262152 QTW262152:QUA262152 RDS262152:RDW262152 RNO262152:RNS262152 RXK262152:RXO262152 SHG262152:SHK262152 SRC262152:SRG262152 TAY262152:TBC262152 TKU262152:TKY262152 TUQ262152:TUU262152 UEM262152:UEQ262152 UOI262152:UOM262152 UYE262152:UYI262152 VIA262152:VIE262152 VRW262152:VSA262152 WBS262152:WBW262152 WLO262152:WLS262152 WVK262152:WVO262152 C327688:G327688 IY327688:JC327688 SU327688:SY327688 ACQ327688:ACU327688 AMM327688:AMQ327688 AWI327688:AWM327688 BGE327688:BGI327688 BQA327688:BQE327688 BZW327688:CAA327688 CJS327688:CJW327688 CTO327688:CTS327688 DDK327688:DDO327688 DNG327688:DNK327688 DXC327688:DXG327688 EGY327688:EHC327688 EQU327688:EQY327688 FAQ327688:FAU327688 FKM327688:FKQ327688 FUI327688:FUM327688 GEE327688:GEI327688 GOA327688:GOE327688 GXW327688:GYA327688 HHS327688:HHW327688 HRO327688:HRS327688 IBK327688:IBO327688 ILG327688:ILK327688 IVC327688:IVG327688 JEY327688:JFC327688 JOU327688:JOY327688 JYQ327688:JYU327688 KIM327688:KIQ327688 KSI327688:KSM327688 LCE327688:LCI327688 LMA327688:LME327688 LVW327688:LWA327688 MFS327688:MFW327688 MPO327688:MPS327688 MZK327688:MZO327688 NJG327688:NJK327688 NTC327688:NTG327688 OCY327688:ODC327688 OMU327688:OMY327688 OWQ327688:OWU327688 PGM327688:PGQ327688 PQI327688:PQM327688 QAE327688:QAI327688 QKA327688:QKE327688 QTW327688:QUA327688 RDS327688:RDW327688 RNO327688:RNS327688 RXK327688:RXO327688 SHG327688:SHK327688 SRC327688:SRG327688 TAY327688:TBC327688 TKU327688:TKY327688 TUQ327688:TUU327688 UEM327688:UEQ327688 UOI327688:UOM327688 UYE327688:UYI327688 VIA327688:VIE327688 VRW327688:VSA327688 WBS327688:WBW327688 WLO327688:WLS327688 WVK327688:WVO327688 C393224:G393224 IY393224:JC393224 SU393224:SY393224 ACQ393224:ACU393224 AMM393224:AMQ393224 AWI393224:AWM393224 BGE393224:BGI393224 BQA393224:BQE393224 BZW393224:CAA393224 CJS393224:CJW393224 CTO393224:CTS393224 DDK393224:DDO393224 DNG393224:DNK393224 DXC393224:DXG393224 EGY393224:EHC393224 EQU393224:EQY393224 FAQ393224:FAU393224 FKM393224:FKQ393224 FUI393224:FUM393224 GEE393224:GEI393224 GOA393224:GOE393224 GXW393224:GYA393224 HHS393224:HHW393224 HRO393224:HRS393224 IBK393224:IBO393224 ILG393224:ILK393224 IVC393224:IVG393224 JEY393224:JFC393224 JOU393224:JOY393224 JYQ393224:JYU393224 KIM393224:KIQ393224 KSI393224:KSM393224 LCE393224:LCI393224 LMA393224:LME393224 LVW393224:LWA393224 MFS393224:MFW393224 MPO393224:MPS393224 MZK393224:MZO393224 NJG393224:NJK393224 NTC393224:NTG393224 OCY393224:ODC393224 OMU393224:OMY393224 OWQ393224:OWU393224 PGM393224:PGQ393224 PQI393224:PQM393224 QAE393224:QAI393224 QKA393224:QKE393224 QTW393224:QUA393224 RDS393224:RDW393224 RNO393224:RNS393224 RXK393224:RXO393224 SHG393224:SHK393224 SRC393224:SRG393224 TAY393224:TBC393224 TKU393224:TKY393224 TUQ393224:TUU393224 UEM393224:UEQ393224 UOI393224:UOM393224 UYE393224:UYI393224 VIA393224:VIE393224 VRW393224:VSA393224 WBS393224:WBW393224 WLO393224:WLS393224 WVK393224:WVO393224 C458760:G458760 IY458760:JC458760 SU458760:SY458760 ACQ458760:ACU458760 AMM458760:AMQ458760 AWI458760:AWM458760 BGE458760:BGI458760 BQA458760:BQE458760 BZW458760:CAA458760 CJS458760:CJW458760 CTO458760:CTS458760 DDK458760:DDO458760 DNG458760:DNK458760 DXC458760:DXG458760 EGY458760:EHC458760 EQU458760:EQY458760 FAQ458760:FAU458760 FKM458760:FKQ458760 FUI458760:FUM458760 GEE458760:GEI458760 GOA458760:GOE458760 GXW458760:GYA458760 HHS458760:HHW458760 HRO458760:HRS458760 IBK458760:IBO458760 ILG458760:ILK458760 IVC458760:IVG458760 JEY458760:JFC458760 JOU458760:JOY458760 JYQ458760:JYU458760 KIM458760:KIQ458760 KSI458760:KSM458760 LCE458760:LCI458760 LMA458760:LME458760 LVW458760:LWA458760 MFS458760:MFW458760 MPO458760:MPS458760 MZK458760:MZO458760 NJG458760:NJK458760 NTC458760:NTG458760 OCY458760:ODC458760 OMU458760:OMY458760 OWQ458760:OWU458760 PGM458760:PGQ458760 PQI458760:PQM458760 QAE458760:QAI458760 QKA458760:QKE458760 QTW458760:QUA458760 RDS458760:RDW458760 RNO458760:RNS458760 RXK458760:RXO458760 SHG458760:SHK458760 SRC458760:SRG458760 TAY458760:TBC458760 TKU458760:TKY458760 TUQ458760:TUU458760 UEM458760:UEQ458760 UOI458760:UOM458760 UYE458760:UYI458760 VIA458760:VIE458760 VRW458760:VSA458760 WBS458760:WBW458760 WLO458760:WLS458760 WVK458760:WVO458760 C524296:G524296 IY524296:JC524296 SU524296:SY524296 ACQ524296:ACU524296 AMM524296:AMQ524296 AWI524296:AWM524296 BGE524296:BGI524296 BQA524296:BQE524296 BZW524296:CAA524296 CJS524296:CJW524296 CTO524296:CTS524296 DDK524296:DDO524296 DNG524296:DNK524296 DXC524296:DXG524296 EGY524296:EHC524296 EQU524296:EQY524296 FAQ524296:FAU524296 FKM524296:FKQ524296 FUI524296:FUM524296 GEE524296:GEI524296 GOA524296:GOE524296 GXW524296:GYA524296 HHS524296:HHW524296 HRO524296:HRS524296 IBK524296:IBO524296 ILG524296:ILK524296 IVC524296:IVG524296 JEY524296:JFC524296 JOU524296:JOY524296 JYQ524296:JYU524296 KIM524296:KIQ524296 KSI524296:KSM524296 LCE524296:LCI524296 LMA524296:LME524296 LVW524296:LWA524296 MFS524296:MFW524296 MPO524296:MPS524296 MZK524296:MZO524296 NJG524296:NJK524296 NTC524296:NTG524296 OCY524296:ODC524296 OMU524296:OMY524296 OWQ524296:OWU524296 PGM524296:PGQ524296 PQI524296:PQM524296 QAE524296:QAI524296 QKA524296:QKE524296 QTW524296:QUA524296 RDS524296:RDW524296 RNO524296:RNS524296 RXK524296:RXO524296 SHG524296:SHK524296 SRC524296:SRG524296 TAY524296:TBC524296 TKU524296:TKY524296 TUQ524296:TUU524296 UEM524296:UEQ524296 UOI524296:UOM524296 UYE524296:UYI524296 VIA524296:VIE524296 VRW524296:VSA524296 WBS524296:WBW524296 WLO524296:WLS524296 WVK524296:WVO524296 C589832:G589832 IY589832:JC589832 SU589832:SY589832 ACQ589832:ACU589832 AMM589832:AMQ589832 AWI589832:AWM589832 BGE589832:BGI589832 BQA589832:BQE589832 BZW589832:CAA589832 CJS589832:CJW589832 CTO589832:CTS589832 DDK589832:DDO589832 DNG589832:DNK589832 DXC589832:DXG589832 EGY589832:EHC589832 EQU589832:EQY589832 FAQ589832:FAU589832 FKM589832:FKQ589832 FUI589832:FUM589832 GEE589832:GEI589832 GOA589832:GOE589832 GXW589832:GYA589832 HHS589832:HHW589832 HRO589832:HRS589832 IBK589832:IBO589832 ILG589832:ILK589832 IVC589832:IVG589832 JEY589832:JFC589832 JOU589832:JOY589832 JYQ589832:JYU589832 KIM589832:KIQ589832 KSI589832:KSM589832 LCE589832:LCI589832 LMA589832:LME589832 LVW589832:LWA589832 MFS589832:MFW589832 MPO589832:MPS589832 MZK589832:MZO589832 NJG589832:NJK589832 NTC589832:NTG589832 OCY589832:ODC589832 OMU589832:OMY589832 OWQ589832:OWU589832 PGM589832:PGQ589832 PQI589832:PQM589832 QAE589832:QAI589832 QKA589832:QKE589832 QTW589832:QUA589832 RDS589832:RDW589832 RNO589832:RNS589832 RXK589832:RXO589832 SHG589832:SHK589832 SRC589832:SRG589832 TAY589832:TBC589832 TKU589832:TKY589832 TUQ589832:TUU589832 UEM589832:UEQ589832 UOI589832:UOM589832 UYE589832:UYI589832 VIA589832:VIE589832 VRW589832:VSA589832 WBS589832:WBW589832 WLO589832:WLS589832 WVK589832:WVO589832 C655368:G655368 IY655368:JC655368 SU655368:SY655368 ACQ655368:ACU655368 AMM655368:AMQ655368 AWI655368:AWM655368 BGE655368:BGI655368 BQA655368:BQE655368 BZW655368:CAA655368 CJS655368:CJW655368 CTO655368:CTS655368 DDK655368:DDO655368 DNG655368:DNK655368 DXC655368:DXG655368 EGY655368:EHC655368 EQU655368:EQY655368 FAQ655368:FAU655368 FKM655368:FKQ655368 FUI655368:FUM655368 GEE655368:GEI655368 GOA655368:GOE655368 GXW655368:GYA655368 HHS655368:HHW655368 HRO655368:HRS655368 IBK655368:IBO655368 ILG655368:ILK655368 IVC655368:IVG655368 JEY655368:JFC655368 JOU655368:JOY655368 JYQ655368:JYU655368 KIM655368:KIQ655368 KSI655368:KSM655368 LCE655368:LCI655368 LMA655368:LME655368 LVW655368:LWA655368 MFS655368:MFW655368 MPO655368:MPS655368 MZK655368:MZO655368 NJG655368:NJK655368 NTC655368:NTG655368 OCY655368:ODC655368 OMU655368:OMY655368 OWQ655368:OWU655368 PGM655368:PGQ655368 PQI655368:PQM655368 QAE655368:QAI655368 QKA655368:QKE655368 QTW655368:QUA655368 RDS655368:RDW655368 RNO655368:RNS655368 RXK655368:RXO655368 SHG655368:SHK655368 SRC655368:SRG655368 TAY655368:TBC655368 TKU655368:TKY655368 TUQ655368:TUU655368 UEM655368:UEQ655368 UOI655368:UOM655368 UYE655368:UYI655368 VIA655368:VIE655368 VRW655368:VSA655368 WBS655368:WBW655368 WLO655368:WLS655368 WVK655368:WVO655368 C720904:G720904 IY720904:JC720904 SU720904:SY720904 ACQ720904:ACU720904 AMM720904:AMQ720904 AWI720904:AWM720904 BGE720904:BGI720904 BQA720904:BQE720904 BZW720904:CAA720904 CJS720904:CJW720904 CTO720904:CTS720904 DDK720904:DDO720904 DNG720904:DNK720904 DXC720904:DXG720904 EGY720904:EHC720904 EQU720904:EQY720904 FAQ720904:FAU720904 FKM720904:FKQ720904 FUI720904:FUM720904 GEE720904:GEI720904 GOA720904:GOE720904 GXW720904:GYA720904 HHS720904:HHW720904 HRO720904:HRS720904 IBK720904:IBO720904 ILG720904:ILK720904 IVC720904:IVG720904 JEY720904:JFC720904 JOU720904:JOY720904 JYQ720904:JYU720904 KIM720904:KIQ720904 KSI720904:KSM720904 LCE720904:LCI720904 LMA720904:LME720904 LVW720904:LWA720904 MFS720904:MFW720904 MPO720904:MPS720904 MZK720904:MZO720904 NJG720904:NJK720904 NTC720904:NTG720904 OCY720904:ODC720904 OMU720904:OMY720904 OWQ720904:OWU720904 PGM720904:PGQ720904 PQI720904:PQM720904 QAE720904:QAI720904 QKA720904:QKE720904 QTW720904:QUA720904 RDS720904:RDW720904 RNO720904:RNS720904 RXK720904:RXO720904 SHG720904:SHK720904 SRC720904:SRG720904 TAY720904:TBC720904 TKU720904:TKY720904 TUQ720904:TUU720904 UEM720904:UEQ720904 UOI720904:UOM720904 UYE720904:UYI720904 VIA720904:VIE720904 VRW720904:VSA720904 WBS720904:WBW720904 WLO720904:WLS720904 WVK720904:WVO720904 C786440:G786440 IY786440:JC786440 SU786440:SY786440 ACQ786440:ACU786440 AMM786440:AMQ786440 AWI786440:AWM786440 BGE786440:BGI786440 BQA786440:BQE786440 BZW786440:CAA786440 CJS786440:CJW786440 CTO786440:CTS786440 DDK786440:DDO786440 DNG786440:DNK786440 DXC786440:DXG786440 EGY786440:EHC786440 EQU786440:EQY786440 FAQ786440:FAU786440 FKM786440:FKQ786440 FUI786440:FUM786440 GEE786440:GEI786440 GOA786440:GOE786440 GXW786440:GYA786440 HHS786440:HHW786440 HRO786440:HRS786440 IBK786440:IBO786440 ILG786440:ILK786440 IVC786440:IVG786440 JEY786440:JFC786440 JOU786440:JOY786440 JYQ786440:JYU786440 KIM786440:KIQ786440 KSI786440:KSM786440 LCE786440:LCI786440 LMA786440:LME786440 LVW786440:LWA786440 MFS786440:MFW786440 MPO786440:MPS786440 MZK786440:MZO786440 NJG786440:NJK786440 NTC786440:NTG786440 OCY786440:ODC786440 OMU786440:OMY786440 OWQ786440:OWU786440 PGM786440:PGQ786440 PQI786440:PQM786440 QAE786440:QAI786440 QKA786440:QKE786440 QTW786440:QUA786440 RDS786440:RDW786440 RNO786440:RNS786440 RXK786440:RXO786440 SHG786440:SHK786440 SRC786440:SRG786440 TAY786440:TBC786440 TKU786440:TKY786440 TUQ786440:TUU786440 UEM786440:UEQ786440 UOI786440:UOM786440 UYE786440:UYI786440 VIA786440:VIE786440 VRW786440:VSA786440 WBS786440:WBW786440 WLO786440:WLS786440 WVK786440:WVO786440 C851976:G851976 IY851976:JC851976 SU851976:SY851976 ACQ851976:ACU851976 AMM851976:AMQ851976 AWI851976:AWM851976 BGE851976:BGI851976 BQA851976:BQE851976 BZW851976:CAA851976 CJS851976:CJW851976 CTO851976:CTS851976 DDK851976:DDO851976 DNG851976:DNK851976 DXC851976:DXG851976 EGY851976:EHC851976 EQU851976:EQY851976 FAQ851976:FAU851976 FKM851976:FKQ851976 FUI851976:FUM851976 GEE851976:GEI851976 GOA851976:GOE851976 GXW851976:GYA851976 HHS851976:HHW851976 HRO851976:HRS851976 IBK851976:IBO851976 ILG851976:ILK851976 IVC851976:IVG851976 JEY851976:JFC851976 JOU851976:JOY851976 JYQ851976:JYU851976 KIM851976:KIQ851976 KSI851976:KSM851976 LCE851976:LCI851976 LMA851976:LME851976 LVW851976:LWA851976 MFS851976:MFW851976 MPO851976:MPS851976 MZK851976:MZO851976 NJG851976:NJK851976 NTC851976:NTG851976 OCY851976:ODC851976 OMU851976:OMY851976 OWQ851976:OWU851976 PGM851976:PGQ851976 PQI851976:PQM851976 QAE851976:QAI851976 QKA851976:QKE851976 QTW851976:QUA851976 RDS851976:RDW851976 RNO851976:RNS851976 RXK851976:RXO851976 SHG851976:SHK851976 SRC851976:SRG851976 TAY851976:TBC851976 TKU851976:TKY851976 TUQ851976:TUU851976 UEM851976:UEQ851976 UOI851976:UOM851976 UYE851976:UYI851976 VIA851976:VIE851976 VRW851976:VSA851976 WBS851976:WBW851976 WLO851976:WLS851976 WVK851976:WVO851976 C917512:G917512 IY917512:JC917512 SU917512:SY917512 ACQ917512:ACU917512 AMM917512:AMQ917512 AWI917512:AWM917512 BGE917512:BGI917512 BQA917512:BQE917512 BZW917512:CAA917512 CJS917512:CJW917512 CTO917512:CTS917512 DDK917512:DDO917512 DNG917512:DNK917512 DXC917512:DXG917512 EGY917512:EHC917512 EQU917512:EQY917512 FAQ917512:FAU917512 FKM917512:FKQ917512 FUI917512:FUM917512 GEE917512:GEI917512 GOA917512:GOE917512 GXW917512:GYA917512 HHS917512:HHW917512 HRO917512:HRS917512 IBK917512:IBO917512 ILG917512:ILK917512 IVC917512:IVG917512 JEY917512:JFC917512 JOU917512:JOY917512 JYQ917512:JYU917512 KIM917512:KIQ917512 KSI917512:KSM917512 LCE917512:LCI917512 LMA917512:LME917512 LVW917512:LWA917512 MFS917512:MFW917512 MPO917512:MPS917512 MZK917512:MZO917512 NJG917512:NJK917512 NTC917512:NTG917512 OCY917512:ODC917512 OMU917512:OMY917512 OWQ917512:OWU917512 PGM917512:PGQ917512 PQI917512:PQM917512 QAE917512:QAI917512 QKA917512:QKE917512 QTW917512:QUA917512 RDS917512:RDW917512 RNO917512:RNS917512 RXK917512:RXO917512 SHG917512:SHK917512 SRC917512:SRG917512 TAY917512:TBC917512 TKU917512:TKY917512 TUQ917512:TUU917512 UEM917512:UEQ917512 UOI917512:UOM917512 UYE917512:UYI917512 VIA917512:VIE917512 VRW917512:VSA917512 WBS917512:WBW917512 WLO917512:WLS917512 WVK917512:WVO917512 C983048:G983048 IY983048:JC983048 SU983048:SY983048 ACQ983048:ACU983048 AMM983048:AMQ983048 AWI983048:AWM983048 BGE983048:BGI983048 BQA983048:BQE983048 BZW983048:CAA983048 CJS983048:CJW983048 CTO983048:CTS983048 DDK983048:DDO983048 DNG983048:DNK983048 DXC983048:DXG983048 EGY983048:EHC983048 EQU983048:EQY983048 FAQ983048:FAU983048 FKM983048:FKQ983048 FUI983048:FUM983048 GEE983048:GEI983048 GOA983048:GOE983048 GXW983048:GYA983048 HHS983048:HHW983048 HRO983048:HRS983048 IBK983048:IBO983048 ILG983048:ILK983048 IVC983048:IVG983048 JEY983048:JFC983048 JOU983048:JOY983048 JYQ983048:JYU983048 KIM983048:KIQ983048 KSI983048:KSM983048 LCE983048:LCI983048 LMA983048:LME983048 LVW983048:LWA983048 MFS983048:MFW983048 MPO983048:MPS983048 MZK983048:MZO983048 NJG983048:NJK983048 NTC983048:NTG983048 OCY983048:ODC983048 OMU983048:OMY983048 OWQ983048:OWU983048 PGM983048:PGQ983048 PQI983048:PQM983048 QAE983048:QAI983048 QKA983048:QKE983048 QTW983048:QUA983048 RDS983048:RDW983048 RNO983048:RNS983048 RXK983048:RXO983048 SHG983048:SHK983048 SRC983048:SRG983048 TAY983048:TBC983048 TKU983048:TKY983048 TUQ983048:TUU983048 UEM983048:UEQ983048 UOI983048:UOM983048 UYE983048:UYI983048 VIA983048:VIE983048 VRW983048:VSA983048 WBS983048:WBW983048 WLO983048:WLS983048 WVK983048:WVO983048">
      <formula1>-1E+28</formula1>
    </dataValidation>
  </dataValidations>
  <pageMargins left="0.18" right="0.18" top="0.35" bottom="0.4" header="0.28000000000000003" footer="0.28999999999999998"/>
  <pageSetup paperSize="9" scale="90" orientation="landscape" r:id="rId1"/>
  <headerFooter alignWithMargins="0"/>
</worksheet>
</file>

<file path=xl/worksheets/sheet18.xml><?xml version="1.0" encoding="utf-8"?>
<worksheet xmlns="http://schemas.openxmlformats.org/spreadsheetml/2006/main" xmlns:r="http://schemas.openxmlformats.org/officeDocument/2006/relationships">
  <sheetPr codeName="Лист17"/>
  <dimension ref="A1:N91"/>
  <sheetViews>
    <sheetView topLeftCell="A16" zoomScale="85" zoomScaleNormal="85" workbookViewId="0">
      <selection activeCell="I1" sqref="I1:K1"/>
    </sheetView>
  </sheetViews>
  <sheetFormatPr defaultRowHeight="15.75"/>
  <cols>
    <col min="1" max="1" width="4.85546875" style="25" customWidth="1"/>
    <col min="2" max="2" width="61.7109375" style="27" customWidth="1"/>
    <col min="3" max="3" width="13.85546875" style="25" customWidth="1"/>
    <col min="4" max="4" width="20.42578125" style="25" customWidth="1"/>
    <col min="5" max="5" width="19.42578125" style="25" customWidth="1"/>
    <col min="6" max="6" width="17.7109375" style="25" customWidth="1"/>
    <col min="7" max="7" width="17.85546875" style="25" customWidth="1"/>
    <col min="8" max="8" width="24.28515625" style="25" customWidth="1"/>
    <col min="9" max="9" width="11.42578125" style="672" customWidth="1"/>
    <col min="10" max="10" width="11.85546875" style="673" bestFit="1" customWidth="1"/>
    <col min="11" max="11" width="15.28515625" style="639" customWidth="1"/>
    <col min="12" max="16384" width="9.140625" style="25"/>
  </cols>
  <sheetData>
    <row r="1" spans="1:14" ht="65.25" customHeight="1">
      <c r="D1" s="846"/>
      <c r="E1" s="845"/>
      <c r="G1" s="739"/>
      <c r="H1" s="739"/>
      <c r="I1" s="984" t="s">
        <v>2277</v>
      </c>
      <c r="J1" s="984"/>
      <c r="K1" s="984"/>
    </row>
    <row r="2" spans="1:14" ht="15.75" customHeight="1">
      <c r="A2" s="133" t="s">
        <v>1379</v>
      </c>
      <c r="B2" s="219"/>
      <c r="C2" s="110"/>
      <c r="D2" s="846"/>
      <c r="E2" s="950" t="s">
        <v>3044</v>
      </c>
      <c r="F2" s="951" t="s">
        <v>3043</v>
      </c>
      <c r="G2" s="740"/>
      <c r="H2" s="740"/>
      <c r="I2" s="1021" t="s">
        <v>2678</v>
      </c>
      <c r="J2" s="1021"/>
      <c r="K2" s="1021"/>
    </row>
    <row r="3" spans="1:14">
      <c r="A3" s="110" t="s">
        <v>269</v>
      </c>
      <c r="B3" s="371" t="s">
        <v>379</v>
      </c>
      <c r="C3" s="111"/>
      <c r="D3" s="111"/>
      <c r="E3" s="111"/>
      <c r="F3" s="111"/>
      <c r="G3" s="371"/>
      <c r="H3" s="26"/>
      <c r="I3" s="669"/>
      <c r="J3" s="724"/>
    </row>
    <row r="4" spans="1:14" ht="16.5" thickBot="1">
      <c r="A4" s="44"/>
      <c r="B4" s="30"/>
      <c r="C4" s="44"/>
      <c r="D4" s="44"/>
      <c r="E4" s="44"/>
      <c r="F4" s="44"/>
      <c r="G4" s="44"/>
      <c r="K4" s="725"/>
    </row>
    <row r="5" spans="1:14" ht="16.5" thickBot="1">
      <c r="A5" s="139" t="s">
        <v>938</v>
      </c>
      <c r="B5" s="308"/>
      <c r="C5" s="302"/>
      <c r="D5" s="302" t="s">
        <v>1380</v>
      </c>
      <c r="E5" s="302"/>
      <c r="F5" s="302"/>
      <c r="G5" s="302"/>
      <c r="H5" s="303"/>
      <c r="I5" s="1019" t="s">
        <v>2648</v>
      </c>
      <c r="J5" s="1019" t="s">
        <v>2689</v>
      </c>
      <c r="K5" s="1019" t="s">
        <v>2690</v>
      </c>
    </row>
    <row r="6" spans="1:14" ht="24.75" customHeight="1" thickBot="1">
      <c r="A6" s="313"/>
      <c r="B6" s="309" t="s">
        <v>2044</v>
      </c>
      <c r="C6" s="304" t="s">
        <v>939</v>
      </c>
      <c r="D6" s="304" t="s">
        <v>1355</v>
      </c>
      <c r="E6" s="304" t="s">
        <v>326</v>
      </c>
      <c r="F6" s="304" t="s">
        <v>327</v>
      </c>
      <c r="G6" s="304" t="s">
        <v>1381</v>
      </c>
      <c r="H6" s="305" t="s">
        <v>329</v>
      </c>
      <c r="I6" s="1020"/>
      <c r="J6" s="1020"/>
      <c r="K6" s="1020"/>
    </row>
    <row r="7" spans="1:14" ht="16.5" thickBot="1">
      <c r="A7" s="139"/>
      <c r="B7" s="309" t="s">
        <v>330</v>
      </c>
      <c r="C7" s="126" t="s">
        <v>2186</v>
      </c>
      <c r="D7" s="126" t="s">
        <v>2187</v>
      </c>
      <c r="E7" s="126" t="s">
        <v>2188</v>
      </c>
      <c r="F7" s="126" t="s">
        <v>2189</v>
      </c>
      <c r="G7" s="126" t="s">
        <v>459</v>
      </c>
      <c r="H7" s="306" t="s">
        <v>460</v>
      </c>
      <c r="I7" s="726" t="s">
        <v>2574</v>
      </c>
      <c r="J7" s="727" t="s">
        <v>2575</v>
      </c>
      <c r="K7" s="728" t="s">
        <v>2651</v>
      </c>
    </row>
    <row r="8" spans="1:14">
      <c r="A8" s="212"/>
      <c r="B8" s="310" t="s">
        <v>1671</v>
      </c>
      <c r="C8" s="213"/>
      <c r="D8" s="213"/>
      <c r="E8" s="213"/>
      <c r="F8" s="213"/>
      <c r="G8" s="213"/>
      <c r="H8" s="221"/>
      <c r="I8" s="729"/>
      <c r="J8" s="730"/>
      <c r="K8" s="731"/>
    </row>
    <row r="9" spans="1:14">
      <c r="A9" s="314" t="s">
        <v>222</v>
      </c>
      <c r="B9" s="847" t="s">
        <v>901</v>
      </c>
      <c r="C9" s="32"/>
      <c r="D9" s="32"/>
      <c r="E9" s="32"/>
      <c r="F9" s="32"/>
      <c r="G9" s="32"/>
      <c r="H9" s="214"/>
      <c r="I9" s="732"/>
      <c r="J9" s="681"/>
      <c r="K9" s="733"/>
    </row>
    <row r="10" spans="1:14" ht="15" customHeight="1">
      <c r="A10" s="314" t="s">
        <v>1952</v>
      </c>
      <c r="B10" s="453" t="s">
        <v>1953</v>
      </c>
      <c r="C10" s="356" t="s">
        <v>1406</v>
      </c>
      <c r="D10" s="356"/>
      <c r="E10" s="356"/>
      <c r="F10" s="356"/>
      <c r="G10" s="356"/>
      <c r="H10" s="345">
        <f>SUM(C10:G10)</f>
        <v>0</v>
      </c>
      <c r="I10" s="732"/>
      <c r="J10" s="681"/>
      <c r="K10" s="733"/>
    </row>
    <row r="11" spans="1:14" s="629" customFormat="1" hidden="1">
      <c r="A11" s="741"/>
      <c r="B11" s="453" t="s">
        <v>2692</v>
      </c>
      <c r="C11" s="623" t="s">
        <v>2694</v>
      </c>
      <c r="D11" s="623"/>
      <c r="E11" s="623"/>
      <c r="F11" s="623"/>
      <c r="G11" s="623"/>
      <c r="H11" s="623"/>
      <c r="I11" s="742"/>
      <c r="J11" s="743"/>
      <c r="K11" s="744"/>
    </row>
    <row r="12" spans="1:14" s="629" customFormat="1" hidden="1">
      <c r="A12" s="741"/>
      <c r="B12" s="453" t="s">
        <v>2693</v>
      </c>
      <c r="C12" s="630" t="e">
        <f>C10-C11</f>
        <v>#VALUE!</v>
      </c>
      <c r="D12" s="623"/>
      <c r="E12" s="623"/>
      <c r="F12" s="623"/>
      <c r="G12" s="623"/>
      <c r="H12" s="623"/>
      <c r="I12" s="742"/>
      <c r="J12" s="743"/>
      <c r="K12" s="744"/>
    </row>
    <row r="13" spans="1:14" s="717" customFormat="1" ht="27.75" customHeight="1">
      <c r="A13" s="713" t="s">
        <v>2305</v>
      </c>
      <c r="B13" s="714" t="s">
        <v>2682</v>
      </c>
      <c r="C13" s="356" t="e">
        <f>C11-C14-C15</f>
        <v>#VALUE!</v>
      </c>
      <c r="D13" s="715"/>
      <c r="E13" s="715"/>
      <c r="F13" s="715"/>
      <c r="G13" s="715"/>
      <c r="H13" s="345" t="e">
        <f t="shared" ref="H13:H21" si="0">SUM(C13:G13)</f>
        <v>#VALUE!</v>
      </c>
      <c r="I13" s="680">
        <v>0.1</v>
      </c>
      <c r="J13" s="716" t="e">
        <f>+C13+D13</f>
        <v>#VALUE!</v>
      </c>
      <c r="K13" s="683" t="e">
        <f>+J13*I13</f>
        <v>#VALUE!</v>
      </c>
      <c r="M13" s="752"/>
      <c r="N13" s="752"/>
    </row>
    <row r="14" spans="1:14" s="717" customFormat="1" ht="23.25" customHeight="1">
      <c r="A14" s="713" t="s">
        <v>2306</v>
      </c>
      <c r="B14" s="718" t="s">
        <v>2683</v>
      </c>
      <c r="C14" s="356"/>
      <c r="D14" s="715"/>
      <c r="E14" s="715"/>
      <c r="F14" s="715"/>
      <c r="G14" s="715"/>
      <c r="H14" s="345">
        <f t="shared" si="0"/>
        <v>0</v>
      </c>
      <c r="I14" s="680">
        <v>0.15</v>
      </c>
      <c r="J14" s="716">
        <f>+C14+D14</f>
        <v>0</v>
      </c>
      <c r="K14" s="683">
        <f t="shared" ref="K14:K34" si="1">+J14*I14</f>
        <v>0</v>
      </c>
      <c r="M14" s="752"/>
      <c r="N14" s="752"/>
    </row>
    <row r="15" spans="1:14" s="717" customFormat="1" ht="26.25" customHeight="1">
      <c r="A15" s="713" t="s">
        <v>2308</v>
      </c>
      <c r="B15" s="714" t="s">
        <v>2684</v>
      </c>
      <c r="C15" s="952" t="s">
        <v>3043</v>
      </c>
      <c r="D15" s="715"/>
      <c r="E15" s="715"/>
      <c r="F15" s="715"/>
      <c r="G15" s="715"/>
      <c r="H15" s="345">
        <f t="shared" si="0"/>
        <v>0</v>
      </c>
      <c r="I15" s="680">
        <v>0</v>
      </c>
      <c r="J15" s="716" t="e">
        <f t="shared" ref="J15:J27" si="2">+C15+D15</f>
        <v>#VALUE!</v>
      </c>
      <c r="K15" s="683" t="e">
        <f t="shared" si="1"/>
        <v>#VALUE!</v>
      </c>
      <c r="M15" s="752"/>
      <c r="N15" s="752"/>
    </row>
    <row r="16" spans="1:14" s="717" customFormat="1" ht="24.75" customHeight="1">
      <c r="A16" s="713" t="s">
        <v>2310</v>
      </c>
      <c r="B16" s="714" t="s">
        <v>2685</v>
      </c>
      <c r="C16" s="356" t="e">
        <f>E2-C15</f>
        <v>#VALUE!</v>
      </c>
      <c r="D16" s="715"/>
      <c r="E16" s="715"/>
      <c r="F16" s="715"/>
      <c r="G16" s="715"/>
      <c r="H16" s="345" t="e">
        <f t="shared" si="0"/>
        <v>#VALUE!</v>
      </c>
      <c r="I16" s="680">
        <v>0</v>
      </c>
      <c r="J16" s="716" t="e">
        <f t="shared" si="2"/>
        <v>#VALUE!</v>
      </c>
      <c r="K16" s="683" t="e">
        <f t="shared" si="1"/>
        <v>#VALUE!</v>
      </c>
    </row>
    <row r="17" spans="1:11" s="717" customFormat="1" ht="20.25" customHeight="1">
      <c r="A17" s="713" t="s">
        <v>2312</v>
      </c>
      <c r="B17" s="714" t="s">
        <v>2686</v>
      </c>
      <c r="C17" s="344" t="e">
        <f>C10-C11-C16</f>
        <v>#VALUE!</v>
      </c>
      <c r="D17" s="715"/>
      <c r="E17" s="715"/>
      <c r="F17" s="715"/>
      <c r="G17" s="715"/>
      <c r="H17" s="345" t="e">
        <f t="shared" si="0"/>
        <v>#VALUE!</v>
      </c>
      <c r="I17" s="680">
        <v>0.3</v>
      </c>
      <c r="J17" s="716" t="e">
        <f t="shared" si="2"/>
        <v>#VALUE!</v>
      </c>
      <c r="K17" s="683" t="e">
        <f t="shared" si="1"/>
        <v>#VALUE!</v>
      </c>
    </row>
    <row r="18" spans="1:11">
      <c r="A18" s="314" t="s">
        <v>1954</v>
      </c>
      <c r="B18" s="453" t="s">
        <v>1674</v>
      </c>
      <c r="C18" s="344" t="e">
        <f>C43+C44+C45</f>
        <v>#VALUE!</v>
      </c>
      <c r="D18" s="344" t="e">
        <f>D43+D44+D45</f>
        <v>#VALUE!</v>
      </c>
      <c r="E18" s="344" t="e">
        <f>E43+E44+E45</f>
        <v>#VALUE!</v>
      </c>
      <c r="F18" s="344" t="e">
        <f>F43+F44+F45</f>
        <v>#VALUE!</v>
      </c>
      <c r="G18" s="344" t="e">
        <f>G43+G44+G45</f>
        <v>#VALUE!</v>
      </c>
      <c r="H18" s="345" t="e">
        <f t="shared" si="0"/>
        <v>#VALUE!</v>
      </c>
      <c r="I18" s="680">
        <v>1</v>
      </c>
      <c r="J18" s="716" t="e">
        <f t="shared" si="2"/>
        <v>#VALUE!</v>
      </c>
      <c r="K18" s="683" t="e">
        <f t="shared" si="1"/>
        <v>#VALUE!</v>
      </c>
    </row>
    <row r="19" spans="1:11">
      <c r="A19" s="314" t="s">
        <v>1675</v>
      </c>
      <c r="B19" s="453" t="s">
        <v>1397</v>
      </c>
      <c r="C19" s="344" t="e">
        <f>C46+C47+C48</f>
        <v>#VALUE!</v>
      </c>
      <c r="D19" s="344" t="e">
        <f>D46+D47+D48</f>
        <v>#VALUE!</v>
      </c>
      <c r="E19" s="344" t="e">
        <f>E46+E47+E48</f>
        <v>#VALUE!</v>
      </c>
      <c r="F19" s="344" t="e">
        <f>F46+F47+F48</f>
        <v>#VALUE!</v>
      </c>
      <c r="G19" s="344" t="e">
        <f>G46+G47+G48</f>
        <v>#VALUE!</v>
      </c>
      <c r="H19" s="345" t="e">
        <f t="shared" si="0"/>
        <v>#VALUE!</v>
      </c>
      <c r="I19" s="680">
        <v>1</v>
      </c>
      <c r="J19" s="716" t="e">
        <f t="shared" si="2"/>
        <v>#VALUE!</v>
      </c>
      <c r="K19" s="683" t="e">
        <f t="shared" si="1"/>
        <v>#VALUE!</v>
      </c>
    </row>
    <row r="20" spans="1:11">
      <c r="A20" s="314" t="s">
        <v>1398</v>
      </c>
      <c r="B20" s="847" t="s">
        <v>1399</v>
      </c>
      <c r="C20" s="32" t="e">
        <f>C10+C18+C19</f>
        <v>#VALUE!</v>
      </c>
      <c r="D20" s="32" t="e">
        <f>D10+D18+D19</f>
        <v>#VALUE!</v>
      </c>
      <c r="E20" s="32" t="e">
        <f>E10+E18+E19</f>
        <v>#VALUE!</v>
      </c>
      <c r="F20" s="32" t="e">
        <f>F10+F18+F19</f>
        <v>#VALUE!</v>
      </c>
      <c r="G20" s="32" t="e">
        <f>G10+G18+G19</f>
        <v>#VALUE!</v>
      </c>
      <c r="H20" s="345" t="e">
        <f t="shared" si="0"/>
        <v>#VALUE!</v>
      </c>
      <c r="I20" s="680"/>
      <c r="J20" s="716"/>
      <c r="K20" s="683">
        <f t="shared" si="1"/>
        <v>0</v>
      </c>
    </row>
    <row r="21" spans="1:11">
      <c r="A21" s="314" t="s">
        <v>819</v>
      </c>
      <c r="B21" s="453" t="s">
        <v>1400</v>
      </c>
      <c r="C21" s="356" t="str">
        <f>Balance!C44</f>
        <v>#FN1{208}</v>
      </c>
      <c r="D21" s="356"/>
      <c r="E21" s="356"/>
      <c r="F21" s="356"/>
      <c r="G21" s="356"/>
      <c r="H21" s="67">
        <f t="shared" si="0"/>
        <v>0</v>
      </c>
      <c r="I21" s="680">
        <v>1</v>
      </c>
      <c r="J21" s="716" t="e">
        <f t="shared" si="2"/>
        <v>#VALUE!</v>
      </c>
      <c r="K21" s="683" t="e">
        <f t="shared" si="1"/>
        <v>#VALUE!</v>
      </c>
    </row>
    <row r="22" spans="1:11">
      <c r="A22" s="314" t="s">
        <v>820</v>
      </c>
      <c r="B22" s="453" t="s">
        <v>1401</v>
      </c>
      <c r="C22" s="356" t="s">
        <v>526</v>
      </c>
      <c r="D22" s="356" t="s">
        <v>1491</v>
      </c>
      <c r="E22" s="356" t="s">
        <v>1429</v>
      </c>
      <c r="F22" s="356" t="s">
        <v>1578</v>
      </c>
      <c r="G22" s="46" t="e">
        <f>H22-C22-D22-E22-F22</f>
        <v>#VALUE!</v>
      </c>
      <c r="H22" s="356" t="s">
        <v>1579</v>
      </c>
      <c r="I22" s="680">
        <v>1</v>
      </c>
      <c r="J22" s="716" t="e">
        <f t="shared" si="2"/>
        <v>#VALUE!</v>
      </c>
      <c r="K22" s="683" t="e">
        <f t="shared" si="1"/>
        <v>#VALUE!</v>
      </c>
    </row>
    <row r="23" spans="1:11">
      <c r="A23" s="314" t="s">
        <v>822</v>
      </c>
      <c r="B23" s="453" t="s">
        <v>1402</v>
      </c>
      <c r="C23" s="356" t="s">
        <v>1580</v>
      </c>
      <c r="D23" s="356"/>
      <c r="E23" s="356"/>
      <c r="F23" s="356"/>
      <c r="G23" s="46"/>
      <c r="H23" s="67">
        <f>SUM(C23:G23)</f>
        <v>0</v>
      </c>
      <c r="I23" s="680">
        <v>1</v>
      </c>
      <c r="J23" s="716" t="e">
        <f t="shared" si="2"/>
        <v>#VALUE!</v>
      </c>
      <c r="K23" s="683" t="e">
        <f t="shared" si="1"/>
        <v>#VALUE!</v>
      </c>
    </row>
    <row r="24" spans="1:11" ht="31.5">
      <c r="A24" s="315" t="s">
        <v>824</v>
      </c>
      <c r="B24" s="453" t="s">
        <v>1811</v>
      </c>
      <c r="C24" s="356" t="s">
        <v>1581</v>
      </c>
      <c r="D24" s="356"/>
      <c r="E24" s="356"/>
      <c r="F24" s="356"/>
      <c r="G24" s="46"/>
      <c r="H24" s="67">
        <f>SUM(C24:G24)</f>
        <v>0</v>
      </c>
      <c r="I24" s="680">
        <v>1</v>
      </c>
      <c r="J24" s="716" t="e">
        <f t="shared" si="2"/>
        <v>#VALUE!</v>
      </c>
      <c r="K24" s="683" t="e">
        <f t="shared" si="1"/>
        <v>#VALUE!</v>
      </c>
    </row>
    <row r="25" spans="1:11">
      <c r="A25" s="314" t="s">
        <v>826</v>
      </c>
      <c r="B25" s="453" t="s">
        <v>2687</v>
      </c>
      <c r="C25" s="356" t="s">
        <v>1742</v>
      </c>
      <c r="D25" s="356" t="s">
        <v>1435</v>
      </c>
      <c r="E25" s="356" t="s">
        <v>1436</v>
      </c>
      <c r="F25" s="356" t="s">
        <v>1407</v>
      </c>
      <c r="G25" s="46" t="e">
        <f>H25-C25-D25-E25-F25</f>
        <v>#VALUE!</v>
      </c>
      <c r="H25" s="356" t="s">
        <v>1566</v>
      </c>
      <c r="I25" s="680">
        <v>1</v>
      </c>
      <c r="J25" s="716" t="e">
        <f t="shared" si="2"/>
        <v>#VALUE!</v>
      </c>
      <c r="K25" s="683" t="e">
        <f t="shared" si="1"/>
        <v>#VALUE!</v>
      </c>
    </row>
    <row r="26" spans="1:11" ht="34.5" customHeight="1">
      <c r="A26" s="314" t="s">
        <v>1118</v>
      </c>
      <c r="B26" s="848" t="s">
        <v>1810</v>
      </c>
      <c r="C26" s="356" t="str">
        <f>Balance!C46</f>
        <v>#FN1{223}</v>
      </c>
      <c r="D26" s="356"/>
      <c r="E26" s="356"/>
      <c r="F26" s="356"/>
      <c r="G26" s="46"/>
      <c r="H26" s="67">
        <f>SUM(C26:G26)</f>
        <v>0</v>
      </c>
      <c r="I26" s="680">
        <v>1</v>
      </c>
      <c r="J26" s="716" t="e">
        <f t="shared" si="2"/>
        <v>#VALUE!</v>
      </c>
      <c r="K26" s="683" t="e">
        <f t="shared" si="1"/>
        <v>#VALUE!</v>
      </c>
    </row>
    <row r="27" spans="1:11">
      <c r="A27" s="315" t="s">
        <v>1749</v>
      </c>
      <c r="B27" s="453" t="s">
        <v>2184</v>
      </c>
      <c r="C27" s="356" t="s">
        <v>1408</v>
      </c>
      <c r="D27" s="356"/>
      <c r="E27" s="356"/>
      <c r="F27" s="356"/>
      <c r="G27" s="46"/>
      <c r="H27" s="67">
        <f>SUM(C27:G27)</f>
        <v>0</v>
      </c>
      <c r="I27" s="680"/>
      <c r="J27" s="716" t="e">
        <f t="shared" si="2"/>
        <v>#VALUE!</v>
      </c>
      <c r="K27" s="683" t="e">
        <f t="shared" si="1"/>
        <v>#VALUE!</v>
      </c>
    </row>
    <row r="28" spans="1:11">
      <c r="A28" s="311" t="s">
        <v>2695</v>
      </c>
      <c r="B28" s="453" t="s">
        <v>2696</v>
      </c>
      <c r="C28" s="356" t="s">
        <v>2929</v>
      </c>
      <c r="D28" s="356"/>
      <c r="E28" s="356"/>
      <c r="F28" s="356"/>
      <c r="G28" s="46"/>
      <c r="H28" s="67"/>
      <c r="I28" s="680">
        <v>0.1</v>
      </c>
      <c r="J28" s="716" t="e">
        <f t="shared" ref="J28:J34" si="3">+C30+D30</f>
        <v>#VALUE!</v>
      </c>
      <c r="K28" s="683" t="e">
        <f t="shared" si="1"/>
        <v>#VALUE!</v>
      </c>
    </row>
    <row r="29" spans="1:11">
      <c r="A29" s="311" t="s">
        <v>2697</v>
      </c>
      <c r="B29" s="453" t="s">
        <v>2639</v>
      </c>
      <c r="C29" s="356" t="e">
        <f>C27-C28-C33</f>
        <v>#VALUE!</v>
      </c>
      <c r="D29" s="356"/>
      <c r="E29" s="356"/>
      <c r="F29" s="356"/>
      <c r="G29" s="46"/>
      <c r="H29" s="67"/>
      <c r="I29" s="680">
        <v>0.3</v>
      </c>
      <c r="J29" s="716" t="e">
        <f t="shared" si="3"/>
        <v>#VALUE!</v>
      </c>
      <c r="K29" s="683" t="e">
        <f t="shared" si="1"/>
        <v>#VALUE!</v>
      </c>
    </row>
    <row r="30" spans="1:11" s="444" customFormat="1" ht="31.5">
      <c r="A30" s="315" t="s">
        <v>1682</v>
      </c>
      <c r="B30" s="453" t="s">
        <v>239</v>
      </c>
      <c r="C30" s="356" t="s">
        <v>1409</v>
      </c>
      <c r="D30" s="356"/>
      <c r="E30" s="356"/>
      <c r="F30" s="356"/>
      <c r="G30" s="46"/>
      <c r="H30" s="67">
        <f>SUM(C30:G30)</f>
        <v>0</v>
      </c>
      <c r="I30" s="680">
        <v>1</v>
      </c>
      <c r="J30" s="716" t="e">
        <f t="shared" si="3"/>
        <v>#VALUE!</v>
      </c>
      <c r="K30" s="683" t="e">
        <f t="shared" si="1"/>
        <v>#VALUE!</v>
      </c>
    </row>
    <row r="31" spans="1:11" s="444" customFormat="1">
      <c r="A31" s="314" t="s">
        <v>240</v>
      </c>
      <c r="B31" s="453" t="s">
        <v>241</v>
      </c>
      <c r="C31" s="356" t="s">
        <v>1410</v>
      </c>
      <c r="D31" s="356"/>
      <c r="E31" s="356"/>
      <c r="F31" s="356"/>
      <c r="G31" s="46"/>
      <c r="H31" s="67">
        <f>SUM(C31:G31)</f>
        <v>0</v>
      </c>
      <c r="I31" s="680">
        <v>1</v>
      </c>
      <c r="J31" s="716" t="e">
        <f t="shared" si="3"/>
        <v>#VALUE!</v>
      </c>
      <c r="K31" s="683" t="e">
        <f t="shared" si="1"/>
        <v>#VALUE!</v>
      </c>
    </row>
    <row r="32" spans="1:11">
      <c r="A32" s="452" t="s">
        <v>2103</v>
      </c>
      <c r="B32" s="453" t="s">
        <v>2051</v>
      </c>
      <c r="C32" s="454" t="e">
        <f>H32-D32-E32-F32-G32</f>
        <v>#VALUE!</v>
      </c>
      <c r="D32" s="454">
        <f>SUM(D51:D56)</f>
        <v>0</v>
      </c>
      <c r="E32" s="454">
        <f>SUM(E51:E56)</f>
        <v>0</v>
      </c>
      <c r="F32" s="454">
        <f>SUM(F51:F56)</f>
        <v>0</v>
      </c>
      <c r="G32" s="454">
        <f>SUM(G51:G56)</f>
        <v>0</v>
      </c>
      <c r="H32" s="454" t="str">
        <f>Balance!C49</f>
        <v>#FN1{224}</v>
      </c>
      <c r="I32" s="680">
        <v>1</v>
      </c>
      <c r="J32" s="716" t="e">
        <f t="shared" si="3"/>
        <v>#VALUE!</v>
      </c>
      <c r="K32" s="683" t="e">
        <f t="shared" si="1"/>
        <v>#VALUE!</v>
      </c>
    </row>
    <row r="33" spans="1:11">
      <c r="A33" s="719" t="s">
        <v>375</v>
      </c>
      <c r="B33" s="720" t="s">
        <v>2688</v>
      </c>
      <c r="C33" s="356" t="s">
        <v>2930</v>
      </c>
      <c r="D33" s="721"/>
      <c r="E33" s="721"/>
      <c r="F33" s="721"/>
      <c r="G33" s="721"/>
      <c r="H33" s="67">
        <f>SUM(C33:G33)</f>
        <v>0</v>
      </c>
      <c r="I33" s="680">
        <v>0.1</v>
      </c>
      <c r="J33" s="716" t="e">
        <f t="shared" si="3"/>
        <v>#VALUE!</v>
      </c>
      <c r="K33" s="683" t="e">
        <f t="shared" si="1"/>
        <v>#VALUE!</v>
      </c>
    </row>
    <row r="34" spans="1:11" ht="16.5" thickBot="1">
      <c r="A34" s="723" t="s">
        <v>377</v>
      </c>
      <c r="B34" s="312" t="s">
        <v>252</v>
      </c>
      <c r="C34" s="764" t="e">
        <f>Balance!C50-C23-C24-C30-C31-C33</f>
        <v>#VALUE!</v>
      </c>
      <c r="D34" s="753"/>
      <c r="E34" s="753"/>
      <c r="F34" s="753"/>
      <c r="G34" s="754"/>
      <c r="H34" s="220" t="e">
        <f>SUM(C34:G34)</f>
        <v>#VALUE!</v>
      </c>
      <c r="I34" s="684">
        <v>0.3</v>
      </c>
      <c r="J34" s="734">
        <f t="shared" si="3"/>
        <v>0</v>
      </c>
      <c r="K34" s="686">
        <f t="shared" si="1"/>
        <v>0</v>
      </c>
    </row>
    <row r="35" spans="1:11" ht="16.5" thickBot="1">
      <c r="A35" s="722" t="s">
        <v>674</v>
      </c>
      <c r="B35" s="308" t="s">
        <v>253</v>
      </c>
      <c r="C35" s="307" t="e">
        <f>SUM(C20:C27)+C30+C31+C32+C33+C34</f>
        <v>#VALUE!</v>
      </c>
      <c r="D35" s="307" t="e">
        <f t="shared" ref="D35:H35" si="4">SUM(D20:D27)+D30+D31+D32+D33+D34</f>
        <v>#VALUE!</v>
      </c>
      <c r="E35" s="307" t="e">
        <f t="shared" si="4"/>
        <v>#VALUE!</v>
      </c>
      <c r="F35" s="307" t="e">
        <f t="shared" si="4"/>
        <v>#VALUE!</v>
      </c>
      <c r="G35" s="307" t="e">
        <f t="shared" si="4"/>
        <v>#VALUE!</v>
      </c>
      <c r="H35" s="307" t="e">
        <f t="shared" si="4"/>
        <v>#VALUE!</v>
      </c>
      <c r="I35" s="735" t="s">
        <v>2691</v>
      </c>
      <c r="J35" s="736"/>
      <c r="K35" s="307" t="e">
        <f>K13+K14+K15+K16+K17+K18+K19+SUM(K21:K26)+K28+K29+K30+K31+K32+K33+K34</f>
        <v>#VALUE!</v>
      </c>
    </row>
    <row r="36" spans="1:11">
      <c r="I36" s="737"/>
      <c r="J36" s="738"/>
      <c r="K36" s="717"/>
    </row>
    <row r="37" spans="1:11">
      <c r="B37" s="34" t="s">
        <v>102</v>
      </c>
      <c r="I37" s="737"/>
      <c r="J37" s="738"/>
      <c r="K37" s="717"/>
    </row>
    <row r="38" spans="1:11">
      <c r="B38" s="34" t="s">
        <v>1198</v>
      </c>
      <c r="I38" s="737"/>
      <c r="J38" s="738"/>
      <c r="K38" s="717"/>
    </row>
    <row r="39" spans="1:11" s="854" customFormat="1">
      <c r="B39" s="917"/>
      <c r="I39" s="918"/>
      <c r="J39" s="919"/>
      <c r="K39" s="920"/>
    </row>
    <row r="40" spans="1:11" s="854" customFormat="1">
      <c r="B40" s="917"/>
      <c r="I40" s="921"/>
      <c r="J40" s="922"/>
      <c r="K40" s="923"/>
    </row>
    <row r="41" spans="1:11" s="929" customFormat="1">
      <c r="A41" s="924" t="s">
        <v>1952</v>
      </c>
      <c r="B41" s="925" t="s">
        <v>2692</v>
      </c>
      <c r="C41" s="769" t="s">
        <v>2694</v>
      </c>
      <c r="D41" s="769"/>
      <c r="E41" s="769"/>
      <c r="F41" s="769"/>
      <c r="G41" s="769"/>
      <c r="H41" s="771">
        <f>SUM(C41:G41)</f>
        <v>0</v>
      </c>
      <c r="I41" s="926"/>
      <c r="J41" s="927"/>
      <c r="K41" s="928"/>
    </row>
    <row r="42" spans="1:11" s="929" customFormat="1">
      <c r="A42" s="854"/>
      <c r="B42" s="925" t="s">
        <v>2693</v>
      </c>
      <c r="C42" s="771" t="e">
        <f>C10-C41</f>
        <v>#VALUE!</v>
      </c>
      <c r="D42" s="854"/>
      <c r="E42" s="854"/>
      <c r="F42" s="854"/>
      <c r="G42" s="854"/>
      <c r="H42" s="854"/>
      <c r="I42" s="926"/>
      <c r="J42" s="927"/>
      <c r="K42" s="928"/>
    </row>
    <row r="43" spans="1:11" s="929" customFormat="1">
      <c r="A43" s="924" t="s">
        <v>1954</v>
      </c>
      <c r="B43" s="925" t="s">
        <v>2054</v>
      </c>
      <c r="C43" s="930" t="e">
        <f t="shared" ref="C43:C48" si="5">H43-D43-E43-F43-G43</f>
        <v>#VALUE!</v>
      </c>
      <c r="D43" s="931" t="s">
        <v>1411</v>
      </c>
      <c r="E43" s="931" t="s">
        <v>1412</v>
      </c>
      <c r="F43" s="931" t="s">
        <v>1413</v>
      </c>
      <c r="G43" s="931" t="s">
        <v>191</v>
      </c>
      <c r="H43" s="931" t="s">
        <v>1147</v>
      </c>
      <c r="I43" s="926"/>
      <c r="J43" s="927"/>
      <c r="K43" s="928"/>
    </row>
    <row r="44" spans="1:11" s="929" customFormat="1">
      <c r="A44" s="924"/>
      <c r="B44" s="925" t="s">
        <v>1656</v>
      </c>
      <c r="C44" s="930" t="e">
        <f t="shared" si="5"/>
        <v>#VALUE!</v>
      </c>
      <c r="D44" s="931" t="s">
        <v>419</v>
      </c>
      <c r="E44" s="931" t="s">
        <v>420</v>
      </c>
      <c r="F44" s="931" t="s">
        <v>421</v>
      </c>
      <c r="G44" s="931" t="s">
        <v>422</v>
      </c>
      <c r="H44" s="931" t="s">
        <v>2222</v>
      </c>
      <c r="I44" s="926"/>
      <c r="J44" s="927"/>
      <c r="K44" s="928"/>
    </row>
    <row r="45" spans="1:11" s="929" customFormat="1">
      <c r="A45" s="924"/>
      <c r="B45" s="925" t="s">
        <v>922</v>
      </c>
      <c r="C45" s="930" t="e">
        <f t="shared" si="5"/>
        <v>#VALUE!</v>
      </c>
      <c r="D45" s="931" t="s">
        <v>1124</v>
      </c>
      <c r="E45" s="931" t="s">
        <v>1125</v>
      </c>
      <c r="F45" s="931" t="s">
        <v>1056</v>
      </c>
      <c r="G45" s="931" t="s">
        <v>1057</v>
      </c>
      <c r="H45" s="931" t="s">
        <v>2021</v>
      </c>
      <c r="I45" s="926"/>
      <c r="J45" s="927"/>
      <c r="K45" s="928"/>
    </row>
    <row r="46" spans="1:11" s="929" customFormat="1">
      <c r="A46" s="924" t="s">
        <v>1675</v>
      </c>
      <c r="B46" s="925" t="s">
        <v>1657</v>
      </c>
      <c r="C46" s="930" t="e">
        <f t="shared" si="5"/>
        <v>#VALUE!</v>
      </c>
      <c r="D46" s="931" t="s">
        <v>976</v>
      </c>
      <c r="E46" s="931" t="s">
        <v>977</v>
      </c>
      <c r="F46" s="931" t="s">
        <v>978</v>
      </c>
      <c r="G46" s="931" t="s">
        <v>1812</v>
      </c>
      <c r="H46" s="931" t="s">
        <v>1148</v>
      </c>
      <c r="I46" s="926"/>
      <c r="J46" s="927"/>
      <c r="K46" s="928"/>
    </row>
    <row r="47" spans="1:11" s="929" customFormat="1">
      <c r="A47" s="854"/>
      <c r="B47" s="925" t="s">
        <v>2221</v>
      </c>
      <c r="C47" s="930" t="e">
        <f t="shared" si="5"/>
        <v>#VALUE!</v>
      </c>
      <c r="D47" s="931" t="s">
        <v>423</v>
      </c>
      <c r="E47" s="931" t="s">
        <v>424</v>
      </c>
      <c r="F47" s="931" t="s">
        <v>425</v>
      </c>
      <c r="G47" s="931" t="s">
        <v>426</v>
      </c>
      <c r="H47" s="931" t="s">
        <v>2114</v>
      </c>
      <c r="I47" s="926"/>
      <c r="J47" s="927"/>
      <c r="K47" s="928"/>
    </row>
    <row r="48" spans="1:11" s="854" customFormat="1">
      <c r="B48" s="925" t="s">
        <v>1966</v>
      </c>
      <c r="C48" s="930" t="e">
        <f t="shared" si="5"/>
        <v>#VALUE!</v>
      </c>
      <c r="D48" s="931" t="s">
        <v>1058</v>
      </c>
      <c r="E48" s="931" t="s">
        <v>1059</v>
      </c>
      <c r="F48" s="931" t="s">
        <v>1060</v>
      </c>
      <c r="G48" s="931" t="s">
        <v>1061</v>
      </c>
      <c r="H48" s="931" t="s">
        <v>1414</v>
      </c>
      <c r="I48" s="926"/>
      <c r="J48" s="927"/>
      <c r="K48" s="928"/>
    </row>
    <row r="49" spans="1:11" s="929" customFormat="1">
      <c r="A49" s="854"/>
      <c r="B49" s="925"/>
      <c r="C49" s="930"/>
      <c r="D49" s="931"/>
      <c r="E49" s="931"/>
      <c r="F49" s="931"/>
      <c r="G49" s="931"/>
      <c r="H49" s="931"/>
      <c r="I49" s="926"/>
      <c r="J49" s="927"/>
      <c r="K49" s="928"/>
    </row>
    <row r="50" spans="1:11" s="929" customFormat="1">
      <c r="A50" s="854"/>
      <c r="B50" s="1022" t="s">
        <v>40</v>
      </c>
      <c r="C50" s="1022"/>
      <c r="D50" s="854"/>
      <c r="E50" s="854"/>
      <c r="F50" s="854"/>
      <c r="G50" s="854"/>
      <c r="H50" s="854"/>
      <c r="I50" s="926"/>
      <c r="J50" s="927"/>
      <c r="K50" s="928"/>
    </row>
    <row r="51" spans="1:11" s="929" customFormat="1" ht="31.5">
      <c r="B51" s="925" t="s">
        <v>1867</v>
      </c>
      <c r="C51" s="932" t="s">
        <v>39</v>
      </c>
      <c r="D51" s="932" t="s">
        <v>39</v>
      </c>
      <c r="E51" s="932" t="s">
        <v>39</v>
      </c>
      <c r="F51" s="932" t="s">
        <v>39</v>
      </c>
      <c r="G51" s="932" t="s">
        <v>39</v>
      </c>
      <c r="H51" s="932"/>
      <c r="I51" s="926"/>
      <c r="J51" s="927"/>
      <c r="K51" s="928"/>
    </row>
    <row r="52" spans="1:11" s="929" customFormat="1">
      <c r="B52" s="925" t="s">
        <v>1868</v>
      </c>
      <c r="C52" s="931" t="s">
        <v>1869</v>
      </c>
      <c r="D52" s="931" t="s">
        <v>2118</v>
      </c>
      <c r="E52" s="931" t="s">
        <v>2119</v>
      </c>
      <c r="F52" s="931" t="s">
        <v>2120</v>
      </c>
      <c r="G52" s="931" t="s">
        <v>2121</v>
      </c>
      <c r="H52" s="932"/>
      <c r="I52" s="926"/>
      <c r="J52" s="927"/>
      <c r="K52" s="928"/>
    </row>
    <row r="53" spans="1:11" s="929" customFormat="1" ht="31.5">
      <c r="B53" s="925" t="s">
        <v>16</v>
      </c>
      <c r="C53" s="932"/>
      <c r="D53" s="931" t="s">
        <v>17</v>
      </c>
      <c r="E53" s="931" t="s">
        <v>18</v>
      </c>
      <c r="F53" s="931" t="s">
        <v>19</v>
      </c>
      <c r="G53" s="931" t="s">
        <v>20</v>
      </c>
      <c r="H53" s="932"/>
      <c r="I53" s="926"/>
      <c r="J53" s="927"/>
      <c r="K53" s="928"/>
    </row>
    <row r="54" spans="1:11" s="929" customFormat="1">
      <c r="B54" s="925" t="s">
        <v>21</v>
      </c>
      <c r="C54" s="931" t="s">
        <v>22</v>
      </c>
      <c r="D54" s="931" t="s">
        <v>23</v>
      </c>
      <c r="E54" s="931" t="s">
        <v>24</v>
      </c>
      <c r="F54" s="931" t="s">
        <v>32</v>
      </c>
      <c r="G54" s="931" t="s">
        <v>33</v>
      </c>
      <c r="H54" s="932"/>
      <c r="I54" s="926"/>
      <c r="J54" s="927"/>
      <c r="K54" s="928"/>
    </row>
    <row r="55" spans="1:11" s="854" customFormat="1">
      <c r="A55" s="929"/>
      <c r="B55" s="925" t="s">
        <v>34</v>
      </c>
      <c r="C55" s="932"/>
      <c r="D55" s="931" t="s">
        <v>35</v>
      </c>
      <c r="E55" s="931" t="s">
        <v>36</v>
      </c>
      <c r="F55" s="931" t="s">
        <v>37</v>
      </c>
      <c r="G55" s="931" t="s">
        <v>38</v>
      </c>
      <c r="H55" s="932"/>
      <c r="I55" s="926"/>
      <c r="J55" s="927"/>
      <c r="K55" s="928"/>
    </row>
    <row r="56" spans="1:11" s="854" customFormat="1">
      <c r="A56" s="924"/>
      <c r="B56" s="925" t="s">
        <v>41</v>
      </c>
      <c r="C56" s="930"/>
      <c r="D56" s="931" t="s">
        <v>1120</v>
      </c>
      <c r="E56" s="931" t="s">
        <v>1121</v>
      </c>
      <c r="F56" s="931" t="s">
        <v>1122</v>
      </c>
      <c r="G56" s="931" t="s">
        <v>1123</v>
      </c>
      <c r="H56" s="931"/>
      <c r="I56" s="926"/>
      <c r="J56" s="927"/>
      <c r="K56" s="928"/>
    </row>
    <row r="57" spans="1:11" s="854" customFormat="1">
      <c r="B57" s="933"/>
      <c r="I57" s="926"/>
      <c r="J57" s="927"/>
      <c r="K57" s="928"/>
    </row>
    <row r="58" spans="1:11" s="854" customFormat="1">
      <c r="B58" s="933"/>
      <c r="I58" s="926"/>
      <c r="J58" s="927"/>
      <c r="K58" s="928"/>
    </row>
    <row r="62" spans="1:11">
      <c r="B62" s="447"/>
    </row>
    <row r="63" spans="1:11">
      <c r="B63" s="25"/>
    </row>
    <row r="64" spans="1:11">
      <c r="B64" s="25"/>
    </row>
    <row r="65" spans="2:2">
      <c r="B65" s="25"/>
    </row>
    <row r="66" spans="2:2">
      <c r="B66" s="25"/>
    </row>
    <row r="67" spans="2:2">
      <c r="B67" s="25"/>
    </row>
    <row r="68" spans="2:2">
      <c r="B68" s="25"/>
    </row>
    <row r="69" spans="2:2">
      <c r="B69" s="25"/>
    </row>
    <row r="70" spans="2:2">
      <c r="B70" s="25"/>
    </row>
    <row r="71" spans="2:2">
      <c r="B71" s="25"/>
    </row>
    <row r="72" spans="2:2">
      <c r="B72" s="25"/>
    </row>
    <row r="73" spans="2:2">
      <c r="B73" s="25"/>
    </row>
    <row r="74" spans="2:2">
      <c r="B74" s="25"/>
    </row>
    <row r="75" spans="2:2">
      <c r="B75" s="25"/>
    </row>
    <row r="76" spans="2:2">
      <c r="B76" s="25"/>
    </row>
    <row r="77" spans="2:2">
      <c r="B77" s="25"/>
    </row>
    <row r="78" spans="2:2">
      <c r="B78" s="25"/>
    </row>
    <row r="79" spans="2:2">
      <c r="B79" s="25"/>
    </row>
    <row r="80" spans="2:2">
      <c r="B80" s="25"/>
    </row>
    <row r="81" spans="2:2">
      <c r="B81" s="25"/>
    </row>
    <row r="82" spans="2:2">
      <c r="B82" s="25"/>
    </row>
    <row r="83" spans="2:2">
      <c r="B83" s="25"/>
    </row>
    <row r="84" spans="2:2">
      <c r="B84" s="25"/>
    </row>
    <row r="85" spans="2:2">
      <c r="B85" s="25"/>
    </row>
    <row r="86" spans="2:2">
      <c r="B86" s="25"/>
    </row>
    <row r="87" spans="2:2">
      <c r="B87" s="25"/>
    </row>
    <row r="91" spans="2:2">
      <c r="B91" s="447"/>
    </row>
  </sheetData>
  <mergeCells count="6">
    <mergeCell ref="K5:K6"/>
    <mergeCell ref="I1:K1"/>
    <mergeCell ref="I2:K2"/>
    <mergeCell ref="B50:C50"/>
    <mergeCell ref="I5:I6"/>
    <mergeCell ref="J5:J6"/>
  </mergeCells>
  <phoneticPr fontId="0" type="noConversion"/>
  <dataValidations count="1">
    <dataValidation type="whole" operator="greaterThanOrEqual" allowBlank="1" showErrorMessage="1" error="Введите как целое положительное число." sqref="D13:G17 IZ13:JC17 SV13:SY17 ACR13:ACU17 AMN13:AMQ17 AWJ13:AWM17 BGF13:BGI17 BQB13:BQE17 BZX13:CAA17 CJT13:CJW17 CTP13:CTS17 DDL13:DDO17 DNH13:DNK17 DXD13:DXG17 EGZ13:EHC17 EQV13:EQY17 FAR13:FAU17 FKN13:FKQ17 FUJ13:FUM17 GEF13:GEI17 GOB13:GOE17 GXX13:GYA17 HHT13:HHW17 HRP13:HRS17 IBL13:IBO17 ILH13:ILK17 IVD13:IVG17 JEZ13:JFC17 JOV13:JOY17 JYR13:JYU17 KIN13:KIQ17 KSJ13:KSM17 LCF13:LCI17 LMB13:LME17 LVX13:LWA17 MFT13:MFW17 MPP13:MPS17 MZL13:MZO17 NJH13:NJK17 NTD13:NTG17 OCZ13:ODC17 OMV13:OMY17 OWR13:OWU17 PGN13:PGQ17 PQJ13:PQM17 QAF13:QAI17 QKB13:QKE17 QTX13:QUA17 RDT13:RDW17 RNP13:RNS17 RXL13:RXO17 SHH13:SHK17 SRD13:SRG17 TAZ13:TBC17 TKV13:TKY17 TUR13:TUU17 UEN13:UEQ17 UOJ13:UOM17 UYF13:UYI17 VIB13:VIE17 VRX13:VSA17 WBT13:WBW17 WLP13:WLS17 WVL13:WVO17 D65549:G65553 IZ65549:JC65553 SV65549:SY65553 ACR65549:ACU65553 AMN65549:AMQ65553 AWJ65549:AWM65553 BGF65549:BGI65553 BQB65549:BQE65553 BZX65549:CAA65553 CJT65549:CJW65553 CTP65549:CTS65553 DDL65549:DDO65553 DNH65549:DNK65553 DXD65549:DXG65553 EGZ65549:EHC65553 EQV65549:EQY65553 FAR65549:FAU65553 FKN65549:FKQ65553 FUJ65549:FUM65553 GEF65549:GEI65553 GOB65549:GOE65553 GXX65549:GYA65553 HHT65549:HHW65553 HRP65549:HRS65553 IBL65549:IBO65553 ILH65549:ILK65553 IVD65549:IVG65553 JEZ65549:JFC65553 JOV65549:JOY65553 JYR65549:JYU65553 KIN65549:KIQ65553 KSJ65549:KSM65553 LCF65549:LCI65553 LMB65549:LME65553 LVX65549:LWA65553 MFT65549:MFW65553 MPP65549:MPS65553 MZL65549:MZO65553 NJH65549:NJK65553 NTD65549:NTG65553 OCZ65549:ODC65553 OMV65549:OMY65553 OWR65549:OWU65553 PGN65549:PGQ65553 PQJ65549:PQM65553 QAF65549:QAI65553 QKB65549:QKE65553 QTX65549:QUA65553 RDT65549:RDW65553 RNP65549:RNS65553 RXL65549:RXO65553 SHH65549:SHK65553 SRD65549:SRG65553 TAZ65549:TBC65553 TKV65549:TKY65553 TUR65549:TUU65553 UEN65549:UEQ65553 UOJ65549:UOM65553 UYF65549:UYI65553 VIB65549:VIE65553 VRX65549:VSA65553 WBT65549:WBW65553 WLP65549:WLS65553 WVL65549:WVO65553 D131085:G131089 IZ131085:JC131089 SV131085:SY131089 ACR131085:ACU131089 AMN131085:AMQ131089 AWJ131085:AWM131089 BGF131085:BGI131089 BQB131085:BQE131089 BZX131085:CAA131089 CJT131085:CJW131089 CTP131085:CTS131089 DDL131085:DDO131089 DNH131085:DNK131089 DXD131085:DXG131089 EGZ131085:EHC131089 EQV131085:EQY131089 FAR131085:FAU131089 FKN131085:FKQ131089 FUJ131085:FUM131089 GEF131085:GEI131089 GOB131085:GOE131089 GXX131085:GYA131089 HHT131085:HHW131089 HRP131085:HRS131089 IBL131085:IBO131089 ILH131085:ILK131089 IVD131085:IVG131089 JEZ131085:JFC131089 JOV131085:JOY131089 JYR131085:JYU131089 KIN131085:KIQ131089 KSJ131085:KSM131089 LCF131085:LCI131089 LMB131085:LME131089 LVX131085:LWA131089 MFT131085:MFW131089 MPP131085:MPS131089 MZL131085:MZO131089 NJH131085:NJK131089 NTD131085:NTG131089 OCZ131085:ODC131089 OMV131085:OMY131089 OWR131085:OWU131089 PGN131085:PGQ131089 PQJ131085:PQM131089 QAF131085:QAI131089 QKB131085:QKE131089 QTX131085:QUA131089 RDT131085:RDW131089 RNP131085:RNS131089 RXL131085:RXO131089 SHH131085:SHK131089 SRD131085:SRG131089 TAZ131085:TBC131089 TKV131085:TKY131089 TUR131085:TUU131089 UEN131085:UEQ131089 UOJ131085:UOM131089 UYF131085:UYI131089 VIB131085:VIE131089 VRX131085:VSA131089 WBT131085:WBW131089 WLP131085:WLS131089 WVL131085:WVO131089 D196621:G196625 IZ196621:JC196625 SV196621:SY196625 ACR196621:ACU196625 AMN196621:AMQ196625 AWJ196621:AWM196625 BGF196621:BGI196625 BQB196621:BQE196625 BZX196621:CAA196625 CJT196621:CJW196625 CTP196621:CTS196625 DDL196621:DDO196625 DNH196621:DNK196625 DXD196621:DXG196625 EGZ196621:EHC196625 EQV196621:EQY196625 FAR196621:FAU196625 FKN196621:FKQ196625 FUJ196621:FUM196625 GEF196621:GEI196625 GOB196621:GOE196625 GXX196621:GYA196625 HHT196621:HHW196625 HRP196621:HRS196625 IBL196621:IBO196625 ILH196621:ILK196625 IVD196621:IVG196625 JEZ196621:JFC196625 JOV196621:JOY196625 JYR196621:JYU196625 KIN196621:KIQ196625 KSJ196621:KSM196625 LCF196621:LCI196625 LMB196621:LME196625 LVX196621:LWA196625 MFT196621:MFW196625 MPP196621:MPS196625 MZL196621:MZO196625 NJH196621:NJK196625 NTD196621:NTG196625 OCZ196621:ODC196625 OMV196621:OMY196625 OWR196621:OWU196625 PGN196621:PGQ196625 PQJ196621:PQM196625 QAF196621:QAI196625 QKB196621:QKE196625 QTX196621:QUA196625 RDT196621:RDW196625 RNP196621:RNS196625 RXL196621:RXO196625 SHH196621:SHK196625 SRD196621:SRG196625 TAZ196621:TBC196625 TKV196621:TKY196625 TUR196621:TUU196625 UEN196621:UEQ196625 UOJ196621:UOM196625 UYF196621:UYI196625 VIB196621:VIE196625 VRX196621:VSA196625 WBT196621:WBW196625 WLP196621:WLS196625 WVL196621:WVO196625 D262157:G262161 IZ262157:JC262161 SV262157:SY262161 ACR262157:ACU262161 AMN262157:AMQ262161 AWJ262157:AWM262161 BGF262157:BGI262161 BQB262157:BQE262161 BZX262157:CAA262161 CJT262157:CJW262161 CTP262157:CTS262161 DDL262157:DDO262161 DNH262157:DNK262161 DXD262157:DXG262161 EGZ262157:EHC262161 EQV262157:EQY262161 FAR262157:FAU262161 FKN262157:FKQ262161 FUJ262157:FUM262161 GEF262157:GEI262161 GOB262157:GOE262161 GXX262157:GYA262161 HHT262157:HHW262161 HRP262157:HRS262161 IBL262157:IBO262161 ILH262157:ILK262161 IVD262157:IVG262161 JEZ262157:JFC262161 JOV262157:JOY262161 JYR262157:JYU262161 KIN262157:KIQ262161 KSJ262157:KSM262161 LCF262157:LCI262161 LMB262157:LME262161 LVX262157:LWA262161 MFT262157:MFW262161 MPP262157:MPS262161 MZL262157:MZO262161 NJH262157:NJK262161 NTD262157:NTG262161 OCZ262157:ODC262161 OMV262157:OMY262161 OWR262157:OWU262161 PGN262157:PGQ262161 PQJ262157:PQM262161 QAF262157:QAI262161 QKB262157:QKE262161 QTX262157:QUA262161 RDT262157:RDW262161 RNP262157:RNS262161 RXL262157:RXO262161 SHH262157:SHK262161 SRD262157:SRG262161 TAZ262157:TBC262161 TKV262157:TKY262161 TUR262157:TUU262161 UEN262157:UEQ262161 UOJ262157:UOM262161 UYF262157:UYI262161 VIB262157:VIE262161 VRX262157:VSA262161 WBT262157:WBW262161 WLP262157:WLS262161 WVL262157:WVO262161 D327693:G327697 IZ327693:JC327697 SV327693:SY327697 ACR327693:ACU327697 AMN327693:AMQ327697 AWJ327693:AWM327697 BGF327693:BGI327697 BQB327693:BQE327697 BZX327693:CAA327697 CJT327693:CJW327697 CTP327693:CTS327697 DDL327693:DDO327697 DNH327693:DNK327697 DXD327693:DXG327697 EGZ327693:EHC327697 EQV327693:EQY327697 FAR327693:FAU327697 FKN327693:FKQ327697 FUJ327693:FUM327697 GEF327693:GEI327697 GOB327693:GOE327697 GXX327693:GYA327697 HHT327693:HHW327697 HRP327693:HRS327697 IBL327693:IBO327697 ILH327693:ILK327697 IVD327693:IVG327697 JEZ327693:JFC327697 JOV327693:JOY327697 JYR327693:JYU327697 KIN327693:KIQ327697 KSJ327693:KSM327697 LCF327693:LCI327697 LMB327693:LME327697 LVX327693:LWA327697 MFT327693:MFW327697 MPP327693:MPS327697 MZL327693:MZO327697 NJH327693:NJK327697 NTD327693:NTG327697 OCZ327693:ODC327697 OMV327693:OMY327697 OWR327693:OWU327697 PGN327693:PGQ327697 PQJ327693:PQM327697 QAF327693:QAI327697 QKB327693:QKE327697 QTX327693:QUA327697 RDT327693:RDW327697 RNP327693:RNS327697 RXL327693:RXO327697 SHH327693:SHK327697 SRD327693:SRG327697 TAZ327693:TBC327697 TKV327693:TKY327697 TUR327693:TUU327697 UEN327693:UEQ327697 UOJ327693:UOM327697 UYF327693:UYI327697 VIB327693:VIE327697 VRX327693:VSA327697 WBT327693:WBW327697 WLP327693:WLS327697 WVL327693:WVO327697 D393229:G393233 IZ393229:JC393233 SV393229:SY393233 ACR393229:ACU393233 AMN393229:AMQ393233 AWJ393229:AWM393233 BGF393229:BGI393233 BQB393229:BQE393233 BZX393229:CAA393233 CJT393229:CJW393233 CTP393229:CTS393233 DDL393229:DDO393233 DNH393229:DNK393233 DXD393229:DXG393233 EGZ393229:EHC393233 EQV393229:EQY393233 FAR393229:FAU393233 FKN393229:FKQ393233 FUJ393229:FUM393233 GEF393229:GEI393233 GOB393229:GOE393233 GXX393229:GYA393233 HHT393229:HHW393233 HRP393229:HRS393233 IBL393229:IBO393233 ILH393229:ILK393233 IVD393229:IVG393233 JEZ393229:JFC393233 JOV393229:JOY393233 JYR393229:JYU393233 KIN393229:KIQ393233 KSJ393229:KSM393233 LCF393229:LCI393233 LMB393229:LME393233 LVX393229:LWA393233 MFT393229:MFW393233 MPP393229:MPS393233 MZL393229:MZO393233 NJH393229:NJK393233 NTD393229:NTG393233 OCZ393229:ODC393233 OMV393229:OMY393233 OWR393229:OWU393233 PGN393229:PGQ393233 PQJ393229:PQM393233 QAF393229:QAI393233 QKB393229:QKE393233 QTX393229:QUA393233 RDT393229:RDW393233 RNP393229:RNS393233 RXL393229:RXO393233 SHH393229:SHK393233 SRD393229:SRG393233 TAZ393229:TBC393233 TKV393229:TKY393233 TUR393229:TUU393233 UEN393229:UEQ393233 UOJ393229:UOM393233 UYF393229:UYI393233 VIB393229:VIE393233 VRX393229:VSA393233 WBT393229:WBW393233 WLP393229:WLS393233 WVL393229:WVO393233 D458765:G458769 IZ458765:JC458769 SV458765:SY458769 ACR458765:ACU458769 AMN458765:AMQ458769 AWJ458765:AWM458769 BGF458765:BGI458769 BQB458765:BQE458769 BZX458765:CAA458769 CJT458765:CJW458769 CTP458765:CTS458769 DDL458765:DDO458769 DNH458765:DNK458769 DXD458765:DXG458769 EGZ458765:EHC458769 EQV458765:EQY458769 FAR458765:FAU458769 FKN458765:FKQ458769 FUJ458765:FUM458769 GEF458765:GEI458769 GOB458765:GOE458769 GXX458765:GYA458769 HHT458765:HHW458769 HRP458765:HRS458769 IBL458765:IBO458769 ILH458765:ILK458769 IVD458765:IVG458769 JEZ458765:JFC458769 JOV458765:JOY458769 JYR458765:JYU458769 KIN458765:KIQ458769 KSJ458765:KSM458769 LCF458765:LCI458769 LMB458765:LME458769 LVX458765:LWA458769 MFT458765:MFW458769 MPP458765:MPS458769 MZL458765:MZO458769 NJH458765:NJK458769 NTD458765:NTG458769 OCZ458765:ODC458769 OMV458765:OMY458769 OWR458765:OWU458769 PGN458765:PGQ458769 PQJ458765:PQM458769 QAF458765:QAI458769 QKB458765:QKE458769 QTX458765:QUA458769 RDT458765:RDW458769 RNP458765:RNS458769 RXL458765:RXO458769 SHH458765:SHK458769 SRD458765:SRG458769 TAZ458765:TBC458769 TKV458765:TKY458769 TUR458765:TUU458769 UEN458765:UEQ458769 UOJ458765:UOM458769 UYF458765:UYI458769 VIB458765:VIE458769 VRX458765:VSA458769 WBT458765:WBW458769 WLP458765:WLS458769 WVL458765:WVO458769 D524301:G524305 IZ524301:JC524305 SV524301:SY524305 ACR524301:ACU524305 AMN524301:AMQ524305 AWJ524301:AWM524305 BGF524301:BGI524305 BQB524301:BQE524305 BZX524301:CAA524305 CJT524301:CJW524305 CTP524301:CTS524305 DDL524301:DDO524305 DNH524301:DNK524305 DXD524301:DXG524305 EGZ524301:EHC524305 EQV524301:EQY524305 FAR524301:FAU524305 FKN524301:FKQ524305 FUJ524301:FUM524305 GEF524301:GEI524305 GOB524301:GOE524305 GXX524301:GYA524305 HHT524301:HHW524305 HRP524301:HRS524305 IBL524301:IBO524305 ILH524301:ILK524305 IVD524301:IVG524305 JEZ524301:JFC524305 JOV524301:JOY524305 JYR524301:JYU524305 KIN524301:KIQ524305 KSJ524301:KSM524305 LCF524301:LCI524305 LMB524301:LME524305 LVX524301:LWA524305 MFT524301:MFW524305 MPP524301:MPS524305 MZL524301:MZO524305 NJH524301:NJK524305 NTD524301:NTG524305 OCZ524301:ODC524305 OMV524301:OMY524305 OWR524301:OWU524305 PGN524301:PGQ524305 PQJ524301:PQM524305 QAF524301:QAI524305 QKB524301:QKE524305 QTX524301:QUA524305 RDT524301:RDW524305 RNP524301:RNS524305 RXL524301:RXO524305 SHH524301:SHK524305 SRD524301:SRG524305 TAZ524301:TBC524305 TKV524301:TKY524305 TUR524301:TUU524305 UEN524301:UEQ524305 UOJ524301:UOM524305 UYF524301:UYI524305 VIB524301:VIE524305 VRX524301:VSA524305 WBT524301:WBW524305 WLP524301:WLS524305 WVL524301:WVO524305 D589837:G589841 IZ589837:JC589841 SV589837:SY589841 ACR589837:ACU589841 AMN589837:AMQ589841 AWJ589837:AWM589841 BGF589837:BGI589841 BQB589837:BQE589841 BZX589837:CAA589841 CJT589837:CJW589841 CTP589837:CTS589841 DDL589837:DDO589841 DNH589837:DNK589841 DXD589837:DXG589841 EGZ589837:EHC589841 EQV589837:EQY589841 FAR589837:FAU589841 FKN589837:FKQ589841 FUJ589837:FUM589841 GEF589837:GEI589841 GOB589837:GOE589841 GXX589837:GYA589841 HHT589837:HHW589841 HRP589837:HRS589841 IBL589837:IBO589841 ILH589837:ILK589841 IVD589837:IVG589841 JEZ589837:JFC589841 JOV589837:JOY589841 JYR589837:JYU589841 KIN589837:KIQ589841 KSJ589837:KSM589841 LCF589837:LCI589841 LMB589837:LME589841 LVX589837:LWA589841 MFT589837:MFW589841 MPP589837:MPS589841 MZL589837:MZO589841 NJH589837:NJK589841 NTD589837:NTG589841 OCZ589837:ODC589841 OMV589837:OMY589841 OWR589837:OWU589841 PGN589837:PGQ589841 PQJ589837:PQM589841 QAF589837:QAI589841 QKB589837:QKE589841 QTX589837:QUA589841 RDT589837:RDW589841 RNP589837:RNS589841 RXL589837:RXO589841 SHH589837:SHK589841 SRD589837:SRG589841 TAZ589837:TBC589841 TKV589837:TKY589841 TUR589837:TUU589841 UEN589837:UEQ589841 UOJ589837:UOM589841 UYF589837:UYI589841 VIB589837:VIE589841 VRX589837:VSA589841 WBT589837:WBW589841 WLP589837:WLS589841 WVL589837:WVO589841 D655373:G655377 IZ655373:JC655377 SV655373:SY655377 ACR655373:ACU655377 AMN655373:AMQ655377 AWJ655373:AWM655377 BGF655373:BGI655377 BQB655373:BQE655377 BZX655373:CAA655377 CJT655373:CJW655377 CTP655373:CTS655377 DDL655373:DDO655377 DNH655373:DNK655377 DXD655373:DXG655377 EGZ655373:EHC655377 EQV655373:EQY655377 FAR655373:FAU655377 FKN655373:FKQ655377 FUJ655373:FUM655377 GEF655373:GEI655377 GOB655373:GOE655377 GXX655373:GYA655377 HHT655373:HHW655377 HRP655373:HRS655377 IBL655373:IBO655377 ILH655373:ILK655377 IVD655373:IVG655377 JEZ655373:JFC655377 JOV655373:JOY655377 JYR655373:JYU655377 KIN655373:KIQ655377 KSJ655373:KSM655377 LCF655373:LCI655377 LMB655373:LME655377 LVX655373:LWA655377 MFT655373:MFW655377 MPP655373:MPS655377 MZL655373:MZO655377 NJH655373:NJK655377 NTD655373:NTG655377 OCZ655373:ODC655377 OMV655373:OMY655377 OWR655373:OWU655377 PGN655373:PGQ655377 PQJ655373:PQM655377 QAF655373:QAI655377 QKB655373:QKE655377 QTX655373:QUA655377 RDT655373:RDW655377 RNP655373:RNS655377 RXL655373:RXO655377 SHH655373:SHK655377 SRD655373:SRG655377 TAZ655373:TBC655377 TKV655373:TKY655377 TUR655373:TUU655377 UEN655373:UEQ655377 UOJ655373:UOM655377 UYF655373:UYI655377 VIB655373:VIE655377 VRX655373:VSA655377 WBT655373:WBW655377 WLP655373:WLS655377 WVL655373:WVO655377 D720909:G720913 IZ720909:JC720913 SV720909:SY720913 ACR720909:ACU720913 AMN720909:AMQ720913 AWJ720909:AWM720913 BGF720909:BGI720913 BQB720909:BQE720913 BZX720909:CAA720913 CJT720909:CJW720913 CTP720909:CTS720913 DDL720909:DDO720913 DNH720909:DNK720913 DXD720909:DXG720913 EGZ720909:EHC720913 EQV720909:EQY720913 FAR720909:FAU720913 FKN720909:FKQ720913 FUJ720909:FUM720913 GEF720909:GEI720913 GOB720909:GOE720913 GXX720909:GYA720913 HHT720909:HHW720913 HRP720909:HRS720913 IBL720909:IBO720913 ILH720909:ILK720913 IVD720909:IVG720913 JEZ720909:JFC720913 JOV720909:JOY720913 JYR720909:JYU720913 KIN720909:KIQ720913 KSJ720909:KSM720913 LCF720909:LCI720913 LMB720909:LME720913 LVX720909:LWA720913 MFT720909:MFW720913 MPP720909:MPS720913 MZL720909:MZO720913 NJH720909:NJK720913 NTD720909:NTG720913 OCZ720909:ODC720913 OMV720909:OMY720913 OWR720909:OWU720913 PGN720909:PGQ720913 PQJ720909:PQM720913 QAF720909:QAI720913 QKB720909:QKE720913 QTX720909:QUA720913 RDT720909:RDW720913 RNP720909:RNS720913 RXL720909:RXO720913 SHH720909:SHK720913 SRD720909:SRG720913 TAZ720909:TBC720913 TKV720909:TKY720913 TUR720909:TUU720913 UEN720909:UEQ720913 UOJ720909:UOM720913 UYF720909:UYI720913 VIB720909:VIE720913 VRX720909:VSA720913 WBT720909:WBW720913 WLP720909:WLS720913 WVL720909:WVO720913 D786445:G786449 IZ786445:JC786449 SV786445:SY786449 ACR786445:ACU786449 AMN786445:AMQ786449 AWJ786445:AWM786449 BGF786445:BGI786449 BQB786445:BQE786449 BZX786445:CAA786449 CJT786445:CJW786449 CTP786445:CTS786449 DDL786445:DDO786449 DNH786445:DNK786449 DXD786445:DXG786449 EGZ786445:EHC786449 EQV786445:EQY786449 FAR786445:FAU786449 FKN786445:FKQ786449 FUJ786445:FUM786449 GEF786445:GEI786449 GOB786445:GOE786449 GXX786445:GYA786449 HHT786445:HHW786449 HRP786445:HRS786449 IBL786445:IBO786449 ILH786445:ILK786449 IVD786445:IVG786449 JEZ786445:JFC786449 JOV786445:JOY786449 JYR786445:JYU786449 KIN786445:KIQ786449 KSJ786445:KSM786449 LCF786445:LCI786449 LMB786445:LME786449 LVX786445:LWA786449 MFT786445:MFW786449 MPP786445:MPS786449 MZL786445:MZO786449 NJH786445:NJK786449 NTD786445:NTG786449 OCZ786445:ODC786449 OMV786445:OMY786449 OWR786445:OWU786449 PGN786445:PGQ786449 PQJ786445:PQM786449 QAF786445:QAI786449 QKB786445:QKE786449 QTX786445:QUA786449 RDT786445:RDW786449 RNP786445:RNS786449 RXL786445:RXO786449 SHH786445:SHK786449 SRD786445:SRG786449 TAZ786445:TBC786449 TKV786445:TKY786449 TUR786445:TUU786449 UEN786445:UEQ786449 UOJ786445:UOM786449 UYF786445:UYI786449 VIB786445:VIE786449 VRX786445:VSA786449 WBT786445:WBW786449 WLP786445:WLS786449 WVL786445:WVO786449 D851981:G851985 IZ851981:JC851985 SV851981:SY851985 ACR851981:ACU851985 AMN851981:AMQ851985 AWJ851981:AWM851985 BGF851981:BGI851985 BQB851981:BQE851985 BZX851981:CAA851985 CJT851981:CJW851985 CTP851981:CTS851985 DDL851981:DDO851985 DNH851981:DNK851985 DXD851981:DXG851985 EGZ851981:EHC851985 EQV851981:EQY851985 FAR851981:FAU851985 FKN851981:FKQ851985 FUJ851981:FUM851985 GEF851981:GEI851985 GOB851981:GOE851985 GXX851981:GYA851985 HHT851981:HHW851985 HRP851981:HRS851985 IBL851981:IBO851985 ILH851981:ILK851985 IVD851981:IVG851985 JEZ851981:JFC851985 JOV851981:JOY851985 JYR851981:JYU851985 KIN851981:KIQ851985 KSJ851981:KSM851985 LCF851981:LCI851985 LMB851981:LME851985 LVX851981:LWA851985 MFT851981:MFW851985 MPP851981:MPS851985 MZL851981:MZO851985 NJH851981:NJK851985 NTD851981:NTG851985 OCZ851981:ODC851985 OMV851981:OMY851985 OWR851981:OWU851985 PGN851981:PGQ851985 PQJ851981:PQM851985 QAF851981:QAI851985 QKB851981:QKE851985 QTX851981:QUA851985 RDT851981:RDW851985 RNP851981:RNS851985 RXL851981:RXO851985 SHH851981:SHK851985 SRD851981:SRG851985 TAZ851981:TBC851985 TKV851981:TKY851985 TUR851981:TUU851985 UEN851981:UEQ851985 UOJ851981:UOM851985 UYF851981:UYI851985 VIB851981:VIE851985 VRX851981:VSA851985 WBT851981:WBW851985 WLP851981:WLS851985 WVL851981:WVO851985 D917517:G917521 IZ917517:JC917521 SV917517:SY917521 ACR917517:ACU917521 AMN917517:AMQ917521 AWJ917517:AWM917521 BGF917517:BGI917521 BQB917517:BQE917521 BZX917517:CAA917521 CJT917517:CJW917521 CTP917517:CTS917521 DDL917517:DDO917521 DNH917517:DNK917521 DXD917517:DXG917521 EGZ917517:EHC917521 EQV917517:EQY917521 FAR917517:FAU917521 FKN917517:FKQ917521 FUJ917517:FUM917521 GEF917517:GEI917521 GOB917517:GOE917521 GXX917517:GYA917521 HHT917517:HHW917521 HRP917517:HRS917521 IBL917517:IBO917521 ILH917517:ILK917521 IVD917517:IVG917521 JEZ917517:JFC917521 JOV917517:JOY917521 JYR917517:JYU917521 KIN917517:KIQ917521 KSJ917517:KSM917521 LCF917517:LCI917521 LMB917517:LME917521 LVX917517:LWA917521 MFT917517:MFW917521 MPP917517:MPS917521 MZL917517:MZO917521 NJH917517:NJK917521 NTD917517:NTG917521 OCZ917517:ODC917521 OMV917517:OMY917521 OWR917517:OWU917521 PGN917517:PGQ917521 PQJ917517:PQM917521 QAF917517:QAI917521 QKB917517:QKE917521 QTX917517:QUA917521 RDT917517:RDW917521 RNP917517:RNS917521 RXL917517:RXO917521 SHH917517:SHK917521 SRD917517:SRG917521 TAZ917517:TBC917521 TKV917517:TKY917521 TUR917517:TUU917521 UEN917517:UEQ917521 UOJ917517:UOM917521 UYF917517:UYI917521 VIB917517:VIE917521 VRX917517:VSA917521 WBT917517:WBW917521 WLP917517:WLS917521 WVL917517:WVO917521 D983053:G983057 IZ983053:JC983057 SV983053:SY983057 ACR983053:ACU983057 AMN983053:AMQ983057 AWJ983053:AWM983057 BGF983053:BGI983057 BQB983053:BQE983057 BZX983053:CAA983057 CJT983053:CJW983057 CTP983053:CTS983057 DDL983053:DDO983057 DNH983053:DNK983057 DXD983053:DXG983057 EGZ983053:EHC983057 EQV983053:EQY983057 FAR983053:FAU983057 FKN983053:FKQ983057 FUJ983053:FUM983057 GEF983053:GEI983057 GOB983053:GOE983057 GXX983053:GYA983057 HHT983053:HHW983057 HRP983053:HRS983057 IBL983053:IBO983057 ILH983053:ILK983057 IVD983053:IVG983057 JEZ983053:JFC983057 JOV983053:JOY983057 JYR983053:JYU983057 KIN983053:KIQ983057 KSJ983053:KSM983057 LCF983053:LCI983057 LMB983053:LME983057 LVX983053:LWA983057 MFT983053:MFW983057 MPP983053:MPS983057 MZL983053:MZO983057 NJH983053:NJK983057 NTD983053:NTG983057 OCZ983053:ODC983057 OMV983053:OMY983057 OWR983053:OWU983057 PGN983053:PGQ983057 PQJ983053:PQM983057 QAF983053:QAI983057 QKB983053:QKE983057 QTX983053:QUA983057 RDT983053:RDW983057 RNP983053:RNS983057 RXL983053:RXO983057 SHH983053:SHK983057 SRD983053:SRG983057 TAZ983053:TBC983057 TKV983053:TKY983057 TUR983053:TUU983057 UEN983053:UEQ983057 UOJ983053:UOM983057 UYF983053:UYI983057 VIB983053:VIE983057 VRX983053:VSA983057 WBT983053:WBW983057 WLP983053:WLS983057 WVL983053:WVO983057">
      <formula1>0</formula1>
    </dataValidation>
  </dataValidations>
  <pageMargins left="0.18" right="0.19" top="1" bottom="1" header="0.5" footer="0.5"/>
  <pageSetup paperSize="9" scale="96" orientation="landscape" r:id="rId1"/>
  <headerFooter alignWithMargins="0"/>
</worksheet>
</file>

<file path=xl/worksheets/sheet19.xml><?xml version="1.0" encoding="utf-8"?>
<worksheet xmlns="http://schemas.openxmlformats.org/spreadsheetml/2006/main" xmlns:r="http://schemas.openxmlformats.org/officeDocument/2006/relationships">
  <sheetPr codeName="Лист18"/>
  <dimension ref="A1:J66"/>
  <sheetViews>
    <sheetView topLeftCell="A7" workbookViewId="0">
      <selection activeCell="B41" sqref="B41"/>
    </sheetView>
  </sheetViews>
  <sheetFormatPr defaultRowHeight="15.75"/>
  <cols>
    <col min="1" max="1" width="63.85546875" style="25" customWidth="1"/>
    <col min="2" max="2" width="26.5703125" style="25" customWidth="1"/>
    <col min="3" max="3" width="17" style="749" customWidth="1"/>
    <col min="4" max="4" width="11.5703125" style="749" customWidth="1"/>
    <col min="5" max="5" width="49.85546875" style="746" customWidth="1"/>
    <col min="6" max="6" width="33.42578125" style="25" customWidth="1"/>
    <col min="7" max="9" width="6.42578125" style="25" customWidth="1"/>
    <col min="10" max="16384" width="9.140625" style="25"/>
  </cols>
  <sheetData>
    <row r="1" spans="1:10" ht="102">
      <c r="B1" s="613" t="s">
        <v>2277</v>
      </c>
    </row>
    <row r="2" spans="1:10" ht="31.5">
      <c r="A2" s="197" t="s">
        <v>372</v>
      </c>
      <c r="B2" s="711" t="s">
        <v>2679</v>
      </c>
      <c r="C2" s="662"/>
      <c r="D2" s="662"/>
      <c r="E2" s="747"/>
      <c r="F2" s="39"/>
      <c r="G2" s="38"/>
      <c r="H2" s="38"/>
      <c r="I2" s="38"/>
      <c r="J2" s="39"/>
    </row>
    <row r="3" spans="1:10" ht="16.5" thickBot="1">
      <c r="A3" s="371" t="s">
        <v>379</v>
      </c>
      <c r="B3" s="371"/>
      <c r="C3" s="662"/>
      <c r="D3" s="662"/>
      <c r="E3" s="747"/>
      <c r="F3" s="39"/>
      <c r="G3" s="38"/>
      <c r="H3" s="38"/>
      <c r="I3" s="38"/>
      <c r="J3" s="39"/>
    </row>
    <row r="4" spans="1:10">
      <c r="A4" s="202" t="s">
        <v>677</v>
      </c>
      <c r="B4" s="203" t="s">
        <v>678</v>
      </c>
      <c r="C4" s="662"/>
      <c r="D4" s="662"/>
      <c r="E4" s="747"/>
      <c r="F4" s="39"/>
      <c r="G4" s="38"/>
      <c r="H4" s="38"/>
      <c r="I4" s="38"/>
      <c r="J4" s="39"/>
    </row>
    <row r="5" spans="1:10">
      <c r="A5" s="200"/>
      <c r="B5" s="201"/>
      <c r="C5" s="662"/>
      <c r="D5" s="662"/>
      <c r="E5" s="747"/>
      <c r="F5" s="39"/>
      <c r="G5" s="38"/>
      <c r="H5" s="38"/>
      <c r="I5" s="38"/>
      <c r="J5" s="39"/>
    </row>
    <row r="6" spans="1:10">
      <c r="A6" s="205" t="s">
        <v>2596</v>
      </c>
      <c r="B6" s="204" t="s">
        <v>549</v>
      </c>
      <c r="C6" s="662"/>
      <c r="D6" s="662"/>
      <c r="E6" s="747"/>
      <c r="F6" s="39"/>
      <c r="G6" s="38"/>
      <c r="H6" s="38"/>
      <c r="I6" s="38"/>
      <c r="J6" s="39"/>
    </row>
    <row r="7" spans="1:10">
      <c r="A7" s="205" t="s">
        <v>2236</v>
      </c>
      <c r="B7" s="204" t="s">
        <v>2624</v>
      </c>
      <c r="C7" s="662"/>
      <c r="D7" s="662"/>
      <c r="E7" s="747"/>
      <c r="F7" s="39"/>
      <c r="G7" s="38"/>
      <c r="H7" s="38"/>
      <c r="I7" s="38"/>
      <c r="J7" s="39"/>
    </row>
    <row r="8" spans="1:10">
      <c r="A8" s="205" t="s">
        <v>2597</v>
      </c>
      <c r="B8" s="204" t="e">
        <f>'Bank Assets Analysis'!C13+'Bank Assets Analysis'!D13+'Bank Assets Analysis'!C14+'Bank Assets Analysis'!C15</f>
        <v>#VALUE!</v>
      </c>
      <c r="C8" s="662"/>
      <c r="D8" s="662"/>
      <c r="E8" s="747"/>
      <c r="F8" s="39"/>
      <c r="G8" s="38"/>
      <c r="H8" s="38"/>
      <c r="I8" s="38"/>
      <c r="J8" s="39"/>
    </row>
    <row r="9" spans="1:10" ht="47.25">
      <c r="A9" s="205" t="s">
        <v>2598</v>
      </c>
      <c r="B9" s="560" t="s">
        <v>2625</v>
      </c>
      <c r="C9" s="662"/>
      <c r="D9" s="662"/>
      <c r="E9" s="747"/>
      <c r="F9" s="39"/>
      <c r="G9" s="38"/>
      <c r="H9" s="38"/>
      <c r="I9" s="38"/>
      <c r="J9" s="39"/>
    </row>
    <row r="10" spans="1:10" ht="31.5">
      <c r="A10" s="205" t="s">
        <v>2599</v>
      </c>
      <c r="B10" s="560" t="s">
        <v>2626</v>
      </c>
      <c r="C10" s="662"/>
      <c r="D10" s="662"/>
      <c r="E10" s="747"/>
      <c r="F10" s="39"/>
      <c r="G10" s="38"/>
      <c r="H10" s="38"/>
      <c r="I10" s="38"/>
      <c r="J10" s="39"/>
    </row>
    <row r="11" spans="1:10">
      <c r="A11" s="205" t="s">
        <v>2600</v>
      </c>
      <c r="B11" s="44" t="e">
        <f>C11-B9-B10</f>
        <v>#VALUE!</v>
      </c>
      <c r="C11" s="661" t="s">
        <v>522</v>
      </c>
      <c r="D11" s="662"/>
      <c r="E11" s="747"/>
      <c r="F11" s="39"/>
      <c r="G11" s="38"/>
      <c r="H11" s="38"/>
      <c r="I11" s="38"/>
      <c r="J11" s="39"/>
    </row>
    <row r="12" spans="1:10">
      <c r="A12" s="186" t="s">
        <v>2601</v>
      </c>
      <c r="B12" s="67" t="e">
        <f>B6+B7+C11</f>
        <v>#VALUE!</v>
      </c>
      <c r="C12" s="662"/>
      <c r="D12" s="662"/>
      <c r="E12" s="747"/>
      <c r="F12" s="39"/>
      <c r="G12" s="38"/>
      <c r="H12" s="38"/>
      <c r="I12" s="38"/>
      <c r="J12" s="39"/>
    </row>
    <row r="13" spans="1:10" ht="13.5" customHeight="1">
      <c r="A13" s="168" t="s">
        <v>2602</v>
      </c>
      <c r="B13" s="525" t="e">
        <f>'Bank Assets Analysis'!C24+'Bank Assets Analysis'!C25+'Bank Assets Analysis'!D25+'Bank Assets Analysis'!D26</f>
        <v>#VALUE!</v>
      </c>
      <c r="C13" s="662"/>
      <c r="D13" s="662"/>
      <c r="E13" s="747"/>
      <c r="F13" s="39"/>
      <c r="G13" s="38"/>
      <c r="H13" s="38"/>
      <c r="I13" s="38"/>
      <c r="J13" s="39"/>
    </row>
    <row r="14" spans="1:10" ht="51.75" customHeight="1">
      <c r="A14" s="205" t="s">
        <v>2603</v>
      </c>
      <c r="B14" s="445" t="str">
        <f>'Bank Assets Analysis'!C26</f>
        <v xml:space="preserve">#FN1{12305,12405,12505,12605,12705,12905,13005,13105,13205,13305} </v>
      </c>
      <c r="C14" s="662"/>
      <c r="D14" s="662"/>
      <c r="E14" s="747"/>
      <c r="F14" s="39"/>
      <c r="G14" s="38"/>
      <c r="H14" s="38"/>
      <c r="I14" s="38"/>
      <c r="J14" s="39"/>
    </row>
    <row r="15" spans="1:10">
      <c r="A15" s="186" t="s">
        <v>2604</v>
      </c>
      <c r="B15" s="67" t="e">
        <f>SUM(B12:B13)-B14</f>
        <v>#VALUE!</v>
      </c>
      <c r="C15" s="662"/>
      <c r="D15" s="662"/>
      <c r="E15" s="747"/>
      <c r="F15" s="39"/>
      <c r="G15" s="38"/>
      <c r="H15" s="38"/>
      <c r="I15" s="38"/>
      <c r="J15" s="39"/>
    </row>
    <row r="16" spans="1:10">
      <c r="A16" s="168"/>
      <c r="B16" s="66"/>
      <c r="C16" s="662"/>
      <c r="D16" s="662"/>
      <c r="E16" s="747"/>
      <c r="F16" s="39"/>
      <c r="G16" s="38"/>
      <c r="H16" s="38"/>
      <c r="I16" s="38"/>
      <c r="J16" s="39"/>
    </row>
    <row r="17" spans="1:10">
      <c r="A17" s="200" t="s">
        <v>898</v>
      </c>
      <c r="B17" s="201" t="s">
        <v>899</v>
      </c>
      <c r="C17" s="662"/>
      <c r="D17" s="662"/>
      <c r="E17" s="747"/>
      <c r="F17" s="39"/>
      <c r="G17" s="38"/>
      <c r="H17" s="38"/>
      <c r="I17" s="38"/>
      <c r="J17" s="39"/>
    </row>
    <row r="18" spans="1:10">
      <c r="A18" s="168"/>
      <c r="B18" s="66"/>
      <c r="C18" s="662"/>
      <c r="D18" s="662"/>
      <c r="E18" s="747"/>
      <c r="F18" s="39"/>
      <c r="G18" s="38"/>
      <c r="H18" s="38"/>
      <c r="I18" s="38"/>
      <c r="J18" s="39"/>
    </row>
    <row r="19" spans="1:10">
      <c r="A19" s="186" t="s">
        <v>900</v>
      </c>
      <c r="B19" s="206"/>
      <c r="C19" s="662"/>
      <c r="D19" s="662"/>
      <c r="E19" s="747"/>
      <c r="F19" s="39"/>
      <c r="G19" s="38"/>
      <c r="H19" s="38"/>
      <c r="I19" s="38"/>
      <c r="J19" s="39"/>
    </row>
    <row r="20" spans="1:10">
      <c r="A20" s="168" t="s">
        <v>1142</v>
      </c>
      <c r="B20" s="206"/>
      <c r="C20" s="662"/>
      <c r="D20" s="662"/>
      <c r="E20" s="747"/>
      <c r="F20" s="39"/>
      <c r="G20" s="38"/>
      <c r="H20" s="38"/>
      <c r="I20" s="38"/>
      <c r="J20" s="39"/>
    </row>
    <row r="21" spans="1:10">
      <c r="A21" s="168" t="s">
        <v>1143</v>
      </c>
      <c r="B21" s="207" t="e">
        <f>B6/B36</f>
        <v>#VALUE!</v>
      </c>
      <c r="C21" s="662"/>
      <c r="D21" s="662"/>
      <c r="E21" s="747"/>
      <c r="F21" s="39"/>
      <c r="G21" s="38"/>
      <c r="H21" s="38"/>
      <c r="I21" s="38"/>
      <c r="J21" s="39"/>
    </row>
    <row r="22" spans="1:10">
      <c r="A22" s="186" t="s">
        <v>1144</v>
      </c>
      <c r="B22" s="206"/>
      <c r="C22" s="662"/>
      <c r="D22" s="662"/>
      <c r="E22" s="747"/>
      <c r="F22" s="39"/>
      <c r="G22" s="38"/>
      <c r="H22" s="38"/>
      <c r="I22" s="38"/>
      <c r="J22" s="39"/>
    </row>
    <row r="23" spans="1:10">
      <c r="A23" s="168" t="s">
        <v>0</v>
      </c>
      <c r="B23" s="206"/>
      <c r="C23" s="662"/>
      <c r="D23" s="662"/>
      <c r="E23" s="747"/>
      <c r="F23" s="39"/>
      <c r="G23" s="38"/>
      <c r="H23" s="38"/>
      <c r="I23" s="38"/>
      <c r="J23" s="39"/>
    </row>
    <row r="24" spans="1:10">
      <c r="A24" s="168" t="s">
        <v>1143</v>
      </c>
      <c r="B24" s="207" t="e">
        <f>B12/B36</f>
        <v>#VALUE!</v>
      </c>
      <c r="C24" s="662"/>
      <c r="D24" s="662"/>
      <c r="E24" s="747"/>
      <c r="F24" s="39"/>
      <c r="G24" s="38"/>
      <c r="H24" s="38"/>
      <c r="I24" s="38"/>
      <c r="J24" s="39"/>
    </row>
    <row r="25" spans="1:10" ht="31.5">
      <c r="A25" s="208" t="s">
        <v>872</v>
      </c>
      <c r="B25" s="207" t="e">
        <f>'Deposits by Client'!B12/B36</f>
        <v>#VALUE!</v>
      </c>
      <c r="C25" s="662"/>
      <c r="D25" s="662"/>
      <c r="E25" s="747"/>
      <c r="F25" s="39"/>
      <c r="G25" s="38"/>
      <c r="H25" s="38"/>
      <c r="I25" s="38"/>
      <c r="J25" s="39"/>
    </row>
    <row r="26" spans="1:10">
      <c r="A26" s="208" t="s">
        <v>934</v>
      </c>
      <c r="B26" s="209" t="e">
        <f>B12/'Deposits by Client'!B12</f>
        <v>#VALUE!</v>
      </c>
      <c r="C26" s="662"/>
      <c r="D26" s="662"/>
      <c r="E26" s="747"/>
      <c r="F26" s="39"/>
      <c r="G26" s="38"/>
      <c r="H26" s="38"/>
      <c r="I26" s="38"/>
      <c r="J26" s="39"/>
    </row>
    <row r="27" spans="1:10">
      <c r="A27" s="645" t="s">
        <v>2605</v>
      </c>
      <c r="B27" s="207" t="e">
        <f>Balance!C23/'Deposits by Client'!B32</f>
        <v>#VALUE!</v>
      </c>
      <c r="C27" s="662"/>
      <c r="D27" s="662"/>
      <c r="E27" s="747"/>
      <c r="F27" s="39"/>
      <c r="G27" s="38"/>
      <c r="H27" s="38"/>
      <c r="I27" s="38"/>
      <c r="J27" s="39"/>
    </row>
    <row r="28" spans="1:10" ht="31.5">
      <c r="A28" s="208" t="s">
        <v>45</v>
      </c>
      <c r="B28" s="209"/>
      <c r="C28" s="662"/>
      <c r="D28" s="662"/>
      <c r="E28" s="747"/>
      <c r="F28" s="39"/>
      <c r="G28" s="38"/>
      <c r="H28" s="38"/>
      <c r="I28" s="38"/>
      <c r="J28" s="39"/>
    </row>
    <row r="29" spans="1:10">
      <c r="A29" s="168"/>
      <c r="B29" s="66"/>
      <c r="C29" s="662"/>
      <c r="D29" s="662"/>
      <c r="E29" s="747"/>
      <c r="F29" s="39"/>
      <c r="G29" s="38"/>
      <c r="H29" s="38"/>
      <c r="I29" s="38"/>
      <c r="J29" s="39"/>
    </row>
    <row r="30" spans="1:10">
      <c r="A30" s="646" t="s">
        <v>46</v>
      </c>
      <c r="B30" s="647"/>
      <c r="C30" s="662"/>
      <c r="D30" s="662"/>
      <c r="E30" s="747"/>
      <c r="F30" s="39"/>
      <c r="G30" s="38"/>
      <c r="H30" s="38"/>
      <c r="I30" s="38"/>
      <c r="J30" s="39"/>
    </row>
    <row r="31" spans="1:10">
      <c r="A31" s="648"/>
      <c r="B31" s="649"/>
      <c r="C31" s="662"/>
      <c r="D31" s="662"/>
      <c r="E31" s="747"/>
      <c r="F31" s="39"/>
      <c r="G31" s="38"/>
      <c r="H31" s="38"/>
      <c r="I31" s="38"/>
      <c r="J31" s="39"/>
    </row>
    <row r="32" spans="1:10">
      <c r="A32" s="650" t="s">
        <v>2606</v>
      </c>
      <c r="B32" s="1023" t="e">
        <f>('Bank Assets Analysis'!C9+'Bank Assets Analysis'!C10+'Bank Assets Analysis'!C11+'Bank Assets Analysis'!C12+'Bank Assets Analysis'!D10+'Bank Assets Analysis'!D11+'Bank Assets Analysis'!D12)/('Bank Liabilities Analysis'!C20+'Bank Liabilities Analysis'!D20+'Bank Liabilities Analysis'!C22+'Bank Liabilities Analysis'!D22+'Bank Liabilities Analysis'!C21+'Bank Liabilities Analysis'!C25+'Bank Liabilities Analysis'!D25)</f>
        <v>#VALUE!</v>
      </c>
      <c r="C32" s="662"/>
      <c r="D32" s="662"/>
      <c r="E32" s="747"/>
      <c r="F32" s="39"/>
      <c r="G32" s="38"/>
      <c r="H32" s="38"/>
      <c r="I32" s="38"/>
      <c r="J32" s="39"/>
    </row>
    <row r="33" spans="1:10">
      <c r="A33" s="611"/>
      <c r="B33" s="1024"/>
      <c r="C33" s="662"/>
      <c r="D33" s="662"/>
      <c r="E33" s="747"/>
      <c r="F33" s="39"/>
      <c r="G33" s="38"/>
      <c r="H33" s="38"/>
      <c r="I33" s="38"/>
      <c r="J33" s="39"/>
    </row>
    <row r="34" spans="1:10">
      <c r="A34" s="611"/>
      <c r="B34" s="651"/>
      <c r="C34" s="662"/>
      <c r="D34" s="662"/>
      <c r="E34" s="747"/>
      <c r="F34" s="39"/>
      <c r="G34" s="38"/>
      <c r="H34" s="38"/>
      <c r="I34" s="38"/>
      <c r="J34" s="39"/>
    </row>
    <row r="35" spans="1:10">
      <c r="A35" s="650" t="s">
        <v>47</v>
      </c>
      <c r="B35" s="652"/>
      <c r="C35" s="662"/>
      <c r="D35" s="662"/>
      <c r="E35" s="747"/>
      <c r="F35" s="39"/>
      <c r="G35" s="38"/>
      <c r="H35" s="38"/>
      <c r="I35" s="38"/>
      <c r="J35" s="39"/>
    </row>
    <row r="36" spans="1:10" ht="34.5" customHeight="1" thickBot="1">
      <c r="A36" s="653" t="s">
        <v>936</v>
      </c>
      <c r="B36" s="210" t="s">
        <v>43</v>
      </c>
      <c r="C36" s="662"/>
      <c r="D36" s="662"/>
      <c r="E36" s="747"/>
      <c r="F36" s="39"/>
      <c r="G36" s="38"/>
      <c r="H36" s="38"/>
      <c r="I36" s="38"/>
      <c r="J36" s="39"/>
    </row>
    <row r="37" spans="1:10">
      <c r="A37" s="654" t="s">
        <v>2607</v>
      </c>
      <c r="B37" s="655"/>
      <c r="C37" s="662"/>
      <c r="D37" s="662"/>
      <c r="E37" s="747"/>
      <c r="F37" s="39"/>
      <c r="G37" s="38"/>
      <c r="H37" s="38"/>
      <c r="I37" s="38"/>
      <c r="J37" s="39"/>
    </row>
    <row r="38" spans="1:10">
      <c r="A38" s="656" t="s">
        <v>2608</v>
      </c>
      <c r="B38" s="657" t="e">
        <f>B39/B40</f>
        <v>#VALUE!</v>
      </c>
      <c r="C38" s="662"/>
      <c r="D38" s="662"/>
      <c r="E38" s="747"/>
      <c r="F38" s="39"/>
      <c r="G38" s="38"/>
      <c r="H38" s="38"/>
      <c r="I38" s="38"/>
      <c r="J38" s="39"/>
    </row>
    <row r="39" spans="1:10">
      <c r="A39" s="168" t="s">
        <v>2609</v>
      </c>
      <c r="B39" s="745" t="e">
        <f>'Bank Assets Analysis'!K39</f>
        <v>#VALUE!</v>
      </c>
      <c r="C39" s="662"/>
      <c r="D39" s="662"/>
      <c r="E39" s="747"/>
      <c r="F39" s="39"/>
      <c r="G39" s="38"/>
      <c r="H39" s="38"/>
      <c r="I39" s="38"/>
      <c r="J39" s="39"/>
    </row>
    <row r="40" spans="1:10">
      <c r="A40" s="168" t="s">
        <v>2610</v>
      </c>
      <c r="B40" s="745" t="e">
        <f>'Bank Liabilities Analysis'!K35</f>
        <v>#VALUE!</v>
      </c>
      <c r="C40" s="662"/>
      <c r="D40" s="662"/>
      <c r="E40" s="747"/>
      <c r="F40" s="39"/>
      <c r="G40" s="38"/>
      <c r="H40" s="38"/>
      <c r="I40" s="38"/>
      <c r="J40" s="39"/>
    </row>
    <row r="41" spans="1:10">
      <c r="A41" s="656" t="s">
        <v>2611</v>
      </c>
      <c r="B41" s="663" t="e">
        <f>B42/B47</f>
        <v>#VALUE!</v>
      </c>
      <c r="C41" s="662"/>
      <c r="D41" s="662"/>
      <c r="E41" s="747"/>
      <c r="F41" s="39"/>
      <c r="G41" s="38"/>
      <c r="H41" s="38"/>
      <c r="I41" s="38"/>
      <c r="J41" s="39"/>
    </row>
    <row r="42" spans="1:10">
      <c r="A42" s="656" t="s">
        <v>2612</v>
      </c>
      <c r="B42" s="664" t="e">
        <f>SUM(B43:B46)</f>
        <v>#VALUE!</v>
      </c>
      <c r="C42" s="662"/>
      <c r="D42" s="662"/>
      <c r="E42" s="747"/>
      <c r="F42" s="39"/>
      <c r="G42" s="38"/>
      <c r="H42" s="38"/>
      <c r="I42" s="38"/>
      <c r="J42" s="39"/>
    </row>
    <row r="43" spans="1:10">
      <c r="A43" s="659" t="s">
        <v>2615</v>
      </c>
      <c r="B43" s="665" t="e">
        <f>'Bank Capital Calc.'!E44</f>
        <v>#VALUE!</v>
      </c>
      <c r="C43" s="662"/>
      <c r="D43" s="662"/>
      <c r="E43" s="747"/>
      <c r="F43" s="39"/>
      <c r="G43" s="38"/>
      <c r="H43" s="38"/>
      <c r="I43" s="38"/>
      <c r="J43" s="39"/>
    </row>
    <row r="44" spans="1:10">
      <c r="A44" s="659" t="s">
        <v>2613</v>
      </c>
      <c r="B44" s="665" t="e">
        <f>'Bank Liabilities Analysis'!G35</f>
        <v>#VALUE!</v>
      </c>
      <c r="C44" s="662"/>
      <c r="D44" s="662"/>
      <c r="E44" s="747"/>
      <c r="F44" s="39"/>
      <c r="G44" s="38"/>
      <c r="H44" s="38"/>
      <c r="I44" s="38"/>
      <c r="J44" s="39"/>
    </row>
    <row r="45" spans="1:10">
      <c r="A45" s="659" t="s">
        <v>2616</v>
      </c>
      <c r="B45" s="665" t="e">
        <f>0.3*'Bank Liabilities Analysis'!C35</f>
        <v>#VALUE!</v>
      </c>
      <c r="C45" s="662"/>
      <c r="D45" s="662"/>
      <c r="E45" s="747"/>
      <c r="F45" s="39"/>
      <c r="G45" s="38"/>
      <c r="H45" s="38"/>
      <c r="I45" s="38"/>
      <c r="J45" s="39"/>
    </row>
    <row r="46" spans="1:10">
      <c r="A46" s="659" t="s">
        <v>2617</v>
      </c>
      <c r="B46" s="665" t="e">
        <f>0.3*C46</f>
        <v>#VALUE!</v>
      </c>
      <c r="C46" s="750" t="e">
        <f>'Bank Liabilities Analysis'!D35+'Bank Liabilities Analysis'!E35+'Bank Liabilities Analysis'!F35</f>
        <v>#VALUE!</v>
      </c>
      <c r="D46" s="662"/>
      <c r="E46" s="747"/>
      <c r="F46" s="39"/>
      <c r="G46" s="38"/>
      <c r="H46" s="38"/>
      <c r="I46" s="38"/>
      <c r="J46" s="39"/>
    </row>
    <row r="47" spans="1:10">
      <c r="A47" s="656" t="s">
        <v>2614</v>
      </c>
      <c r="B47" s="666" t="e">
        <f>SUM(B48:B53)</f>
        <v>#VALUE!</v>
      </c>
      <c r="C47" s="662"/>
      <c r="D47" s="662"/>
      <c r="E47" s="747"/>
      <c r="F47" s="39"/>
      <c r="G47" s="38"/>
      <c r="H47" s="38"/>
      <c r="I47" s="38"/>
      <c r="J47" s="39"/>
    </row>
    <row r="48" spans="1:10">
      <c r="A48" s="660" t="s">
        <v>2618</v>
      </c>
      <c r="B48" s="666" t="e">
        <f>'Bank Assets Analysis'!G39-B49</f>
        <v>#VALUE!</v>
      </c>
      <c r="C48" s="662"/>
      <c r="D48" s="662"/>
      <c r="E48" s="747"/>
      <c r="F48" s="39"/>
      <c r="G48" s="38"/>
      <c r="H48" s="38"/>
      <c r="I48" s="38"/>
      <c r="J48" s="39"/>
    </row>
    <row r="49" spans="1:10">
      <c r="A49" s="660" t="s">
        <v>2619</v>
      </c>
      <c r="B49" s="665" t="str">
        <f>'Bank Assets Analysis'!G32</f>
        <v xml:space="preserve"> #FN1{165,166}</v>
      </c>
      <c r="C49"/>
      <c r="D49" s="662"/>
      <c r="E49" s="747"/>
      <c r="F49" s="39"/>
      <c r="G49" s="38"/>
      <c r="H49" s="38"/>
      <c r="I49" s="38"/>
      <c r="J49" s="39"/>
    </row>
    <row r="50" spans="1:10" ht="47.25">
      <c r="A50" s="205" t="s">
        <v>2620</v>
      </c>
      <c r="B50" s="665" t="e">
        <f>'Bank Assets Analysis'!C26+'Bank Assets Analysis'!C27</f>
        <v>#VALUE!</v>
      </c>
      <c r="C50" s="662"/>
      <c r="D50" s="662"/>
      <c r="E50" s="747"/>
      <c r="F50" s="39"/>
      <c r="G50" s="38"/>
      <c r="H50" s="38"/>
      <c r="I50" s="38"/>
      <c r="J50" s="39"/>
    </row>
    <row r="51" spans="1:10" ht="47.25">
      <c r="A51" s="205" t="s">
        <v>2621</v>
      </c>
      <c r="B51" s="665"/>
      <c r="D51" s="662"/>
      <c r="E51" s="747"/>
      <c r="F51" s="39"/>
      <c r="G51" s="38"/>
      <c r="H51" s="38"/>
      <c r="I51" s="38"/>
      <c r="J51" s="39"/>
    </row>
    <row r="52" spans="1:10" ht="31.5">
      <c r="A52" s="205" t="s">
        <v>2622</v>
      </c>
      <c r="B52" s="748" t="e">
        <f>0.3*C52</f>
        <v>#VALUE!</v>
      </c>
      <c r="C52" s="751" t="e">
        <f>'Bank Assets Analysis'!D39+'Bank Assets Analysis'!E39</f>
        <v>#VALUE!</v>
      </c>
      <c r="D52" s="662"/>
      <c r="E52" s="747"/>
      <c r="F52" s="39"/>
      <c r="G52" s="38"/>
      <c r="H52" s="38"/>
      <c r="I52" s="38"/>
      <c r="J52" s="39"/>
    </row>
    <row r="53" spans="1:10">
      <c r="A53" s="205" t="s">
        <v>2623</v>
      </c>
      <c r="B53" s="667" t="e">
        <f>0.15*(C53+D53)</f>
        <v>#VALUE!</v>
      </c>
      <c r="C53" s="749" t="s">
        <v>2700</v>
      </c>
      <c r="D53" s="662" t="s">
        <v>2701</v>
      </c>
      <c r="E53" s="747"/>
      <c r="F53" s="39"/>
      <c r="G53" s="38"/>
      <c r="H53" s="38"/>
      <c r="I53" s="38"/>
      <c r="J53" s="39"/>
    </row>
    <row r="54" spans="1:10">
      <c r="A54" s="639"/>
      <c r="B54" s="639"/>
      <c r="D54" s="662"/>
      <c r="E54" s="747"/>
      <c r="F54" s="39"/>
      <c r="G54" s="38"/>
      <c r="H54" s="38"/>
      <c r="I54" s="38"/>
      <c r="J54" s="39"/>
    </row>
    <row r="55" spans="1:10">
      <c r="A55" s="658" t="s">
        <v>2272</v>
      </c>
      <c r="B55" s="639"/>
      <c r="D55" s="662"/>
      <c r="E55" s="747"/>
      <c r="F55" s="39"/>
      <c r="G55" s="38"/>
      <c r="H55" s="38"/>
      <c r="I55" s="38"/>
      <c r="J55" s="39"/>
    </row>
    <row r="56" spans="1:10">
      <c r="A56" s="658"/>
      <c r="B56" s="639"/>
      <c r="D56" s="662"/>
      <c r="E56" s="747"/>
      <c r="F56" s="39"/>
      <c r="G56" s="38"/>
      <c r="H56" s="38"/>
      <c r="I56" s="38"/>
      <c r="J56" s="39"/>
    </row>
    <row r="57" spans="1:10">
      <c r="A57" s="658" t="s">
        <v>1198</v>
      </c>
      <c r="B57" s="639"/>
      <c r="D57" s="662"/>
      <c r="E57" s="747"/>
      <c r="F57" s="39"/>
      <c r="G57" s="38"/>
      <c r="H57" s="38"/>
      <c r="I57" s="38"/>
      <c r="J57" s="39"/>
    </row>
    <row r="58" spans="1:10">
      <c r="D58" s="662"/>
      <c r="E58" s="747"/>
      <c r="F58" s="39"/>
      <c r="G58" s="38"/>
      <c r="H58" s="38"/>
      <c r="I58" s="38"/>
      <c r="J58" s="39"/>
    </row>
    <row r="59" spans="1:10">
      <c r="D59" s="662"/>
      <c r="E59" s="747"/>
      <c r="F59" s="39"/>
      <c r="G59" s="38"/>
      <c r="H59" s="38"/>
      <c r="I59" s="38"/>
      <c r="J59" s="39"/>
    </row>
    <row r="60" spans="1:10">
      <c r="D60" s="662"/>
      <c r="E60" s="747"/>
      <c r="F60" s="39"/>
      <c r="G60" s="38"/>
      <c r="H60" s="38"/>
      <c r="I60" s="38"/>
      <c r="J60" s="39"/>
    </row>
    <row r="61" spans="1:10">
      <c r="D61" s="662"/>
      <c r="E61" s="747"/>
      <c r="F61" s="39"/>
      <c r="G61" s="38"/>
      <c r="H61" s="38"/>
      <c r="I61" s="38"/>
      <c r="J61" s="39"/>
    </row>
    <row r="62" spans="1:10">
      <c r="D62" s="662"/>
      <c r="E62" s="747"/>
      <c r="F62" s="39"/>
      <c r="G62" s="38"/>
      <c r="H62" s="38"/>
      <c r="I62" s="38"/>
      <c r="J62" s="39"/>
    </row>
    <row r="63" spans="1:10">
      <c r="D63" s="662"/>
      <c r="E63" s="747"/>
      <c r="F63" s="39"/>
      <c r="G63" s="38"/>
      <c r="H63" s="38"/>
      <c r="I63" s="38"/>
      <c r="J63" s="39"/>
    </row>
    <row r="64" spans="1:10">
      <c r="D64" s="662"/>
      <c r="E64" s="747"/>
      <c r="F64" s="39"/>
      <c r="G64" s="38"/>
      <c r="H64" s="38"/>
      <c r="I64" s="38"/>
      <c r="J64" s="39"/>
    </row>
    <row r="65" spans="4:10">
      <c r="D65" s="662"/>
      <c r="E65" s="747"/>
      <c r="F65" s="39"/>
      <c r="G65" s="38"/>
      <c r="H65" s="38"/>
      <c r="I65" s="38"/>
      <c r="J65" s="39"/>
    </row>
    <row r="66" spans="4:10">
      <c r="D66" s="662"/>
      <c r="E66" s="747"/>
      <c r="F66" s="39"/>
      <c r="G66" s="38"/>
      <c r="H66" s="38"/>
      <c r="I66" s="38"/>
      <c r="J66" s="39"/>
    </row>
  </sheetData>
  <mergeCells count="1">
    <mergeCell ref="B32:B33"/>
  </mergeCells>
  <phoneticPr fontId="0" type="noConversion"/>
  <conditionalFormatting sqref="B36">
    <cfRule type="cellIs" dxfId="2" priority="4" stopIfTrue="1" operator="notBetween">
      <formula>TOTASS/4</formula>
      <formula>TOTASS*4</formula>
    </cfRule>
  </conditionalFormatting>
  <conditionalFormatting sqref="B49:B53 B43:B46 B36:B41">
    <cfRule type="cellIs" dxfId="1" priority="3" stopIfTrue="1" operator="notBetween">
      <formula>TOTASS/4</formula>
      <formula>TOTASS*4</formula>
    </cfRule>
  </conditionalFormatting>
  <conditionalFormatting sqref="B36">
    <cfRule type="cellIs" dxfId="0" priority="2" stopIfTrue="1" operator="notBetween">
      <formula>TOTASS/4</formula>
      <formula>TOTASS*4</formula>
    </cfRule>
  </conditionalFormatting>
  <dataValidations count="7">
    <dataValidation allowBlank="1" showErrorMessage="1" prompt="Введите самостоятельно рассчитанный коэффициент" sqref="B4"/>
    <dataValidation type="decimal" operator="greaterThanOrEqual" allowBlank="1" showInputMessage="1" showErrorMessage="1" prompt="Введите самостоятельно рассчитанный коэффициент" sqref="B28 B26">
      <formula1>0</formula1>
    </dataValidation>
    <dataValidation allowBlank="1" showInputMessage="1" showErrorMessage="1" promptTitle="сообщение" sqref="B30"/>
    <dataValidation operator="greaterThanOrEqual" allowBlank="1" showErrorMessage="1" prompt="Введите самостоятельно рассчитанный коэффициент" sqref="B27"/>
    <dataValidation allowBlank="1" showInputMessage="1" showErrorMessage="1" prompt="Если ваш показатель среднего активов значительно отличается от итого активов в балансовом отчете, эта ячейка окрасится._x000a_" sqref="B36:B37"/>
    <dataValidation allowBlank="1" showErrorMessage="1" sqref="B38:B53"/>
    <dataValidation allowBlank="1" showErrorMessage="1" prompt="Это число может положительным или отрицательным. Вводите только десятичные числа до третего знака после точки. Например,10.7 % вводится как 0.107._x000a_" sqref="B32:B33"/>
  </dataValidations>
  <pageMargins left="0.42" right="0.44" top="1" bottom="1" header="0.5" footer="0.5"/>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sheetPr codeName="Лист19"/>
  <dimension ref="A1:H41"/>
  <sheetViews>
    <sheetView topLeftCell="A4" workbookViewId="0">
      <selection activeCell="A3" sqref="A3"/>
    </sheetView>
  </sheetViews>
  <sheetFormatPr defaultRowHeight="15.75"/>
  <cols>
    <col min="1" max="1" width="87.140625" style="25" customWidth="1"/>
    <col min="2" max="2" width="31.28515625" style="25" customWidth="1"/>
    <col min="3" max="3" width="6.42578125" style="25" customWidth="1"/>
    <col min="4" max="4" width="1" style="25" customWidth="1"/>
    <col min="5" max="5" width="17.28515625" style="25" customWidth="1"/>
    <col min="6" max="8" width="6.42578125" style="25" customWidth="1"/>
    <col min="9" max="15" width="5.42578125" style="25" customWidth="1"/>
    <col min="16" max="16384" width="9.140625" style="25"/>
  </cols>
  <sheetData>
    <row r="1" spans="1:8" ht="76.5">
      <c r="B1" s="613" t="s">
        <v>2277</v>
      </c>
    </row>
    <row r="2" spans="1:8" ht="32.25" customHeight="1">
      <c r="A2" s="762" t="s">
        <v>992</v>
      </c>
      <c r="B2" s="711" t="s">
        <v>2679</v>
      </c>
      <c r="C2" s="38"/>
      <c r="D2" s="38"/>
      <c r="E2" s="39"/>
      <c r="F2" s="38"/>
      <c r="G2" s="38"/>
      <c r="H2" s="38"/>
    </row>
    <row r="3" spans="1:8" ht="16.5" thickBot="1">
      <c r="A3" s="371" t="s">
        <v>379</v>
      </c>
      <c r="B3" s="371"/>
      <c r="C3" s="38"/>
      <c r="D3" s="38"/>
      <c r="E3" s="39"/>
      <c r="F3" s="38"/>
      <c r="G3" s="38"/>
      <c r="H3" s="38"/>
    </row>
    <row r="4" spans="1:8">
      <c r="A4" s="202" t="s">
        <v>710</v>
      </c>
      <c r="B4" s="203" t="s">
        <v>678</v>
      </c>
      <c r="C4" s="38"/>
      <c r="D4" s="38"/>
      <c r="E4" s="39"/>
      <c r="F4" s="38"/>
      <c r="G4" s="38"/>
      <c r="H4" s="38"/>
    </row>
    <row r="5" spans="1:8">
      <c r="A5" s="168" t="s">
        <v>993</v>
      </c>
      <c r="B5" s="206"/>
      <c r="C5" s="38"/>
      <c r="D5" s="38"/>
      <c r="E5" s="39"/>
      <c r="F5" s="38"/>
      <c r="G5" s="38"/>
      <c r="H5" s="38"/>
    </row>
    <row r="6" spans="1:8">
      <c r="A6" s="168" t="s">
        <v>1997</v>
      </c>
      <c r="B6" s="204" t="s">
        <v>1073</v>
      </c>
      <c r="C6" s="38"/>
      <c r="D6" s="38"/>
      <c r="E6" s="39"/>
      <c r="F6" s="38"/>
      <c r="G6" s="38"/>
      <c r="H6" s="38"/>
    </row>
    <row r="7" spans="1:8">
      <c r="A7" s="168"/>
      <c r="B7" s="204"/>
      <c r="C7" s="38"/>
      <c r="D7" s="38"/>
      <c r="E7" s="39"/>
      <c r="F7" s="38"/>
      <c r="G7" s="38"/>
      <c r="H7" s="38"/>
    </row>
    <row r="8" spans="1:8">
      <c r="A8" s="168" t="s">
        <v>1998</v>
      </c>
      <c r="B8" s="364"/>
      <c r="C8" s="38"/>
      <c r="D8" s="38"/>
      <c r="E8" s="39"/>
      <c r="F8" s="38"/>
      <c r="G8" s="38"/>
      <c r="H8" s="38"/>
    </row>
    <row r="9" spans="1:8">
      <c r="A9" s="168" t="s">
        <v>1999</v>
      </c>
      <c r="B9" s="204" t="s">
        <v>1074</v>
      </c>
      <c r="C9" s="38"/>
      <c r="D9" s="38"/>
      <c r="E9" s="39"/>
      <c r="F9" s="38"/>
      <c r="G9" s="38"/>
      <c r="H9" s="38"/>
    </row>
    <row r="10" spans="1:8">
      <c r="A10" s="168" t="s">
        <v>2000</v>
      </c>
      <c r="B10" s="204" t="s">
        <v>1896</v>
      </c>
      <c r="C10" s="38"/>
      <c r="D10" s="38"/>
      <c r="E10" s="39"/>
      <c r="F10" s="38"/>
      <c r="G10" s="38"/>
      <c r="H10" s="38"/>
    </row>
    <row r="11" spans="1:8">
      <c r="A11" s="168" t="s">
        <v>409</v>
      </c>
      <c r="B11" s="204" t="s">
        <v>1593</v>
      </c>
      <c r="C11" s="38"/>
      <c r="D11" s="38"/>
      <c r="E11" s="39"/>
      <c r="F11" s="38"/>
      <c r="G11" s="38"/>
      <c r="H11" s="38"/>
    </row>
    <row r="12" spans="1:8">
      <c r="A12" s="168" t="s">
        <v>1062</v>
      </c>
      <c r="B12" s="67">
        <f>SUM(B9:B11)</f>
        <v>0</v>
      </c>
      <c r="C12" s="38"/>
      <c r="D12" s="38"/>
      <c r="E12" s="39"/>
      <c r="F12" s="38"/>
      <c r="G12" s="38"/>
      <c r="H12" s="38"/>
    </row>
    <row r="13" spans="1:8">
      <c r="A13" s="168"/>
      <c r="B13" s="67"/>
      <c r="C13" s="38"/>
      <c r="D13" s="38"/>
      <c r="E13" s="39"/>
      <c r="F13" s="38"/>
      <c r="G13" s="38"/>
      <c r="H13" s="38"/>
    </row>
    <row r="14" spans="1:8">
      <c r="A14" s="168" t="s">
        <v>1130</v>
      </c>
      <c r="B14" s="238"/>
      <c r="C14" s="38"/>
      <c r="D14" s="38"/>
      <c r="E14" s="39"/>
      <c r="F14" s="38"/>
      <c r="G14" s="38"/>
      <c r="H14" s="38"/>
    </row>
    <row r="15" spans="1:8">
      <c r="A15" s="168" t="s">
        <v>1131</v>
      </c>
      <c r="B15" s="67"/>
      <c r="C15" s="38"/>
      <c r="D15" s="38"/>
      <c r="E15" s="39"/>
      <c r="F15" s="38"/>
      <c r="G15" s="38"/>
      <c r="H15" s="38"/>
    </row>
    <row r="16" spans="1:8">
      <c r="A16" s="168" t="s">
        <v>82</v>
      </c>
      <c r="B16" s="204" t="s">
        <v>990</v>
      </c>
      <c r="C16" s="38"/>
      <c r="D16" s="38"/>
      <c r="E16" s="39"/>
      <c r="F16" s="38"/>
      <c r="G16" s="38"/>
      <c r="H16" s="38"/>
    </row>
    <row r="17" spans="1:8">
      <c r="A17" s="168" t="s">
        <v>83</v>
      </c>
      <c r="B17" s="204" t="s">
        <v>278</v>
      </c>
      <c r="C17" s="38"/>
      <c r="D17" s="38"/>
      <c r="E17" s="39"/>
      <c r="F17" s="38"/>
      <c r="G17" s="38"/>
      <c r="H17" s="38"/>
    </row>
    <row r="18" spans="1:8">
      <c r="A18" s="168" t="s">
        <v>1955</v>
      </c>
      <c r="B18" s="204" t="s">
        <v>264</v>
      </c>
      <c r="C18" s="38"/>
      <c r="D18" s="38"/>
      <c r="E18" s="39"/>
      <c r="F18" s="38"/>
      <c r="G18" s="38"/>
      <c r="H18" s="38"/>
    </row>
    <row r="19" spans="1:8">
      <c r="A19" s="168" t="s">
        <v>1956</v>
      </c>
      <c r="B19" s="204" t="s">
        <v>1923</v>
      </c>
      <c r="C19" s="38"/>
      <c r="D19" s="38"/>
      <c r="E19" s="67"/>
      <c r="F19" s="38"/>
      <c r="G19" s="38"/>
      <c r="H19" s="38"/>
    </row>
    <row r="20" spans="1:8">
      <c r="A20" s="168" t="s">
        <v>1745</v>
      </c>
      <c r="B20" s="67">
        <f>SUM(B15:B19)</f>
        <v>0</v>
      </c>
      <c r="C20" s="38"/>
      <c r="D20" s="38"/>
      <c r="E20" s="39"/>
      <c r="F20" s="38"/>
      <c r="G20" s="38"/>
      <c r="H20" s="38"/>
    </row>
    <row r="21" spans="1:8">
      <c r="A21" s="168"/>
      <c r="B21" s="67"/>
      <c r="C21" s="38"/>
      <c r="D21" s="38"/>
      <c r="E21" s="39"/>
      <c r="F21" s="38"/>
      <c r="G21" s="38"/>
      <c r="H21" s="38"/>
    </row>
    <row r="22" spans="1:8" ht="16.5" thickBot="1">
      <c r="A22" s="193" t="s">
        <v>2183</v>
      </c>
      <c r="B22" s="195" t="e">
        <f>B6+B12+B20</f>
        <v>#VALUE!</v>
      </c>
      <c r="C22" s="38"/>
      <c r="D22" s="38"/>
      <c r="E22" s="39"/>
      <c r="F22" s="38"/>
      <c r="G22" s="38"/>
      <c r="H22" s="38"/>
    </row>
    <row r="23" spans="1:8">
      <c r="B23" s="37"/>
      <c r="C23" s="38"/>
      <c r="D23" s="38"/>
      <c r="E23" s="39"/>
      <c r="F23" s="38"/>
      <c r="G23" s="38"/>
      <c r="H23" s="38"/>
    </row>
    <row r="24" spans="1:8">
      <c r="A24" s="34" t="s">
        <v>102</v>
      </c>
      <c r="B24" s="37"/>
      <c r="C24" s="38"/>
      <c r="D24" s="38"/>
      <c r="E24" s="39"/>
      <c r="F24" s="38"/>
      <c r="G24" s="38"/>
      <c r="H24" s="38"/>
    </row>
    <row r="25" spans="1:8">
      <c r="A25" s="34" t="s">
        <v>1198</v>
      </c>
      <c r="B25" s="37"/>
      <c r="C25" s="38"/>
      <c r="D25" s="38"/>
      <c r="E25" s="39"/>
      <c r="F25" s="38"/>
      <c r="G25" s="38"/>
      <c r="H25" s="38"/>
    </row>
    <row r="26" spans="1:8">
      <c r="A26" s="38"/>
      <c r="C26" s="38"/>
      <c r="D26" s="38"/>
      <c r="E26" s="39"/>
      <c r="F26" s="38"/>
      <c r="G26" s="38"/>
      <c r="H26" s="38"/>
    </row>
    <row r="27" spans="1:8">
      <c r="A27" s="38"/>
      <c r="C27" s="38"/>
      <c r="D27" s="38"/>
      <c r="E27" s="39"/>
      <c r="F27" s="38"/>
      <c r="G27" s="38"/>
      <c r="H27" s="38"/>
    </row>
    <row r="28" spans="1:8">
      <c r="A28" s="38"/>
      <c r="C28" s="38"/>
      <c r="D28" s="38"/>
      <c r="E28" s="39"/>
      <c r="F28" s="38"/>
      <c r="G28" s="38"/>
      <c r="H28" s="38"/>
    </row>
    <row r="29" spans="1:8">
      <c r="A29" s="38"/>
      <c r="C29" s="38"/>
      <c r="D29" s="38"/>
      <c r="E29" s="39"/>
      <c r="F29" s="38"/>
      <c r="G29" s="38"/>
      <c r="H29" s="38"/>
    </row>
    <row r="30" spans="1:8">
      <c r="A30" s="222"/>
      <c r="C30" s="38"/>
      <c r="D30" s="38"/>
      <c r="E30" s="39"/>
      <c r="F30" s="38"/>
      <c r="G30" s="38"/>
      <c r="H30" s="38"/>
    </row>
    <row r="31" spans="1:8">
      <c r="A31" s="38"/>
      <c r="C31" s="38"/>
      <c r="D31" s="38"/>
      <c r="E31" s="39"/>
      <c r="F31" s="38"/>
      <c r="G31" s="38"/>
      <c r="H31" s="38"/>
    </row>
    <row r="32" spans="1:8">
      <c r="A32" s="38"/>
      <c r="C32" s="38"/>
      <c r="D32" s="38"/>
      <c r="E32" s="39"/>
      <c r="F32" s="38"/>
      <c r="G32" s="38"/>
      <c r="H32" s="38"/>
    </row>
    <row r="33" spans="3:8">
      <c r="C33" s="38"/>
      <c r="D33" s="38"/>
      <c r="E33" s="39"/>
      <c r="F33" s="38"/>
      <c r="G33" s="38"/>
      <c r="H33" s="38"/>
    </row>
    <row r="34" spans="3:8">
      <c r="C34" s="38"/>
      <c r="D34" s="38"/>
      <c r="E34" s="39"/>
      <c r="F34" s="38"/>
      <c r="G34" s="38"/>
      <c r="H34" s="38"/>
    </row>
    <row r="35" spans="3:8">
      <c r="C35" s="38"/>
      <c r="D35" s="38"/>
      <c r="E35" s="39"/>
      <c r="F35" s="38"/>
      <c r="G35" s="38"/>
      <c r="H35" s="38"/>
    </row>
    <row r="36" spans="3:8">
      <c r="C36" s="38"/>
      <c r="D36" s="38"/>
      <c r="E36" s="39"/>
      <c r="F36" s="38"/>
      <c r="G36" s="38"/>
      <c r="H36" s="38"/>
    </row>
    <row r="37" spans="3:8">
      <c r="C37" s="38"/>
      <c r="D37" s="38"/>
      <c r="E37" s="39"/>
      <c r="F37" s="38"/>
      <c r="G37" s="38"/>
      <c r="H37" s="38"/>
    </row>
    <row r="38" spans="3:8">
      <c r="C38" s="38"/>
      <c r="D38" s="38"/>
      <c r="E38" s="39"/>
      <c r="F38" s="38"/>
      <c r="G38" s="38"/>
      <c r="H38" s="38"/>
    </row>
    <row r="39" spans="3:8">
      <c r="C39" s="38"/>
      <c r="D39" s="38"/>
      <c r="E39" s="39"/>
      <c r="F39" s="38"/>
      <c r="G39" s="38"/>
      <c r="H39" s="38"/>
    </row>
    <row r="40" spans="3:8">
      <c r="C40" s="38"/>
      <c r="D40" s="38"/>
      <c r="E40" s="39"/>
      <c r="F40" s="38"/>
      <c r="G40" s="38"/>
      <c r="H40" s="38"/>
    </row>
    <row r="41" spans="3:8">
      <c r="C41" s="38"/>
      <c r="D41" s="38"/>
      <c r="E41" s="39"/>
      <c r="F41" s="38"/>
      <c r="G41" s="38"/>
      <c r="H41" s="38"/>
    </row>
  </sheetData>
  <phoneticPr fontId="0" type="noConversion"/>
  <dataValidations count="1">
    <dataValidation type="whole" operator="greaterThanOrEqual" allowBlank="1" showInputMessage="1" showErrorMessage="1" sqref="B7:B8 IX7:IX8 ST7:ST8 ACP7:ACP8 AML7:AML8 AWH7:AWH8 BGD7:BGD8 BPZ7:BPZ8 BZV7:BZV8 CJR7:CJR8 CTN7:CTN8 DDJ7:DDJ8 DNF7:DNF8 DXB7:DXB8 EGX7:EGX8 EQT7:EQT8 FAP7:FAP8 FKL7:FKL8 FUH7:FUH8 GED7:GED8 GNZ7:GNZ8 GXV7:GXV8 HHR7:HHR8 HRN7:HRN8 IBJ7:IBJ8 ILF7:ILF8 IVB7:IVB8 JEX7:JEX8 JOT7:JOT8 JYP7:JYP8 KIL7:KIL8 KSH7:KSH8 LCD7:LCD8 LLZ7:LLZ8 LVV7:LVV8 MFR7:MFR8 MPN7:MPN8 MZJ7:MZJ8 NJF7:NJF8 NTB7:NTB8 OCX7:OCX8 OMT7:OMT8 OWP7:OWP8 PGL7:PGL8 PQH7:PQH8 QAD7:QAD8 QJZ7:QJZ8 QTV7:QTV8 RDR7:RDR8 RNN7:RNN8 RXJ7:RXJ8 SHF7:SHF8 SRB7:SRB8 TAX7:TAX8 TKT7:TKT8 TUP7:TUP8 UEL7:UEL8 UOH7:UOH8 UYD7:UYD8 VHZ7:VHZ8 VRV7:VRV8 WBR7:WBR8 WLN7:WLN8 WVJ7:WVJ8 B65543:B65544 IX65543:IX65544 ST65543:ST65544 ACP65543:ACP65544 AML65543:AML65544 AWH65543:AWH65544 BGD65543:BGD65544 BPZ65543:BPZ65544 BZV65543:BZV65544 CJR65543:CJR65544 CTN65543:CTN65544 DDJ65543:DDJ65544 DNF65543:DNF65544 DXB65543:DXB65544 EGX65543:EGX65544 EQT65543:EQT65544 FAP65543:FAP65544 FKL65543:FKL65544 FUH65543:FUH65544 GED65543:GED65544 GNZ65543:GNZ65544 GXV65543:GXV65544 HHR65543:HHR65544 HRN65543:HRN65544 IBJ65543:IBJ65544 ILF65543:ILF65544 IVB65543:IVB65544 JEX65543:JEX65544 JOT65543:JOT65544 JYP65543:JYP65544 KIL65543:KIL65544 KSH65543:KSH65544 LCD65543:LCD65544 LLZ65543:LLZ65544 LVV65543:LVV65544 MFR65543:MFR65544 MPN65543:MPN65544 MZJ65543:MZJ65544 NJF65543:NJF65544 NTB65543:NTB65544 OCX65543:OCX65544 OMT65543:OMT65544 OWP65543:OWP65544 PGL65543:PGL65544 PQH65543:PQH65544 QAD65543:QAD65544 QJZ65543:QJZ65544 QTV65543:QTV65544 RDR65543:RDR65544 RNN65543:RNN65544 RXJ65543:RXJ65544 SHF65543:SHF65544 SRB65543:SRB65544 TAX65543:TAX65544 TKT65543:TKT65544 TUP65543:TUP65544 UEL65543:UEL65544 UOH65543:UOH65544 UYD65543:UYD65544 VHZ65543:VHZ65544 VRV65543:VRV65544 WBR65543:WBR65544 WLN65543:WLN65544 WVJ65543:WVJ65544 B131079:B131080 IX131079:IX131080 ST131079:ST131080 ACP131079:ACP131080 AML131079:AML131080 AWH131079:AWH131080 BGD131079:BGD131080 BPZ131079:BPZ131080 BZV131079:BZV131080 CJR131079:CJR131080 CTN131079:CTN131080 DDJ131079:DDJ131080 DNF131079:DNF131080 DXB131079:DXB131080 EGX131079:EGX131080 EQT131079:EQT131080 FAP131079:FAP131080 FKL131079:FKL131080 FUH131079:FUH131080 GED131079:GED131080 GNZ131079:GNZ131080 GXV131079:GXV131080 HHR131079:HHR131080 HRN131079:HRN131080 IBJ131079:IBJ131080 ILF131079:ILF131080 IVB131079:IVB131080 JEX131079:JEX131080 JOT131079:JOT131080 JYP131079:JYP131080 KIL131079:KIL131080 KSH131079:KSH131080 LCD131079:LCD131080 LLZ131079:LLZ131080 LVV131079:LVV131080 MFR131079:MFR131080 MPN131079:MPN131080 MZJ131079:MZJ131080 NJF131079:NJF131080 NTB131079:NTB131080 OCX131079:OCX131080 OMT131079:OMT131080 OWP131079:OWP131080 PGL131079:PGL131080 PQH131079:PQH131080 QAD131079:QAD131080 QJZ131079:QJZ131080 QTV131079:QTV131080 RDR131079:RDR131080 RNN131079:RNN131080 RXJ131079:RXJ131080 SHF131079:SHF131080 SRB131079:SRB131080 TAX131079:TAX131080 TKT131079:TKT131080 TUP131079:TUP131080 UEL131079:UEL131080 UOH131079:UOH131080 UYD131079:UYD131080 VHZ131079:VHZ131080 VRV131079:VRV131080 WBR131079:WBR131080 WLN131079:WLN131080 WVJ131079:WVJ131080 B196615:B196616 IX196615:IX196616 ST196615:ST196616 ACP196615:ACP196616 AML196615:AML196616 AWH196615:AWH196616 BGD196615:BGD196616 BPZ196615:BPZ196616 BZV196615:BZV196616 CJR196615:CJR196616 CTN196615:CTN196616 DDJ196615:DDJ196616 DNF196615:DNF196616 DXB196615:DXB196616 EGX196615:EGX196616 EQT196615:EQT196616 FAP196615:FAP196616 FKL196615:FKL196616 FUH196615:FUH196616 GED196615:GED196616 GNZ196615:GNZ196616 GXV196615:GXV196616 HHR196615:HHR196616 HRN196615:HRN196616 IBJ196615:IBJ196616 ILF196615:ILF196616 IVB196615:IVB196616 JEX196615:JEX196616 JOT196615:JOT196616 JYP196615:JYP196616 KIL196615:KIL196616 KSH196615:KSH196616 LCD196615:LCD196616 LLZ196615:LLZ196616 LVV196615:LVV196616 MFR196615:MFR196616 MPN196615:MPN196616 MZJ196615:MZJ196616 NJF196615:NJF196616 NTB196615:NTB196616 OCX196615:OCX196616 OMT196615:OMT196616 OWP196615:OWP196616 PGL196615:PGL196616 PQH196615:PQH196616 QAD196615:QAD196616 QJZ196615:QJZ196616 QTV196615:QTV196616 RDR196615:RDR196616 RNN196615:RNN196616 RXJ196615:RXJ196616 SHF196615:SHF196616 SRB196615:SRB196616 TAX196615:TAX196616 TKT196615:TKT196616 TUP196615:TUP196616 UEL196615:UEL196616 UOH196615:UOH196616 UYD196615:UYD196616 VHZ196615:VHZ196616 VRV196615:VRV196616 WBR196615:WBR196616 WLN196615:WLN196616 WVJ196615:WVJ196616 B262151:B262152 IX262151:IX262152 ST262151:ST262152 ACP262151:ACP262152 AML262151:AML262152 AWH262151:AWH262152 BGD262151:BGD262152 BPZ262151:BPZ262152 BZV262151:BZV262152 CJR262151:CJR262152 CTN262151:CTN262152 DDJ262151:DDJ262152 DNF262151:DNF262152 DXB262151:DXB262152 EGX262151:EGX262152 EQT262151:EQT262152 FAP262151:FAP262152 FKL262151:FKL262152 FUH262151:FUH262152 GED262151:GED262152 GNZ262151:GNZ262152 GXV262151:GXV262152 HHR262151:HHR262152 HRN262151:HRN262152 IBJ262151:IBJ262152 ILF262151:ILF262152 IVB262151:IVB262152 JEX262151:JEX262152 JOT262151:JOT262152 JYP262151:JYP262152 KIL262151:KIL262152 KSH262151:KSH262152 LCD262151:LCD262152 LLZ262151:LLZ262152 LVV262151:LVV262152 MFR262151:MFR262152 MPN262151:MPN262152 MZJ262151:MZJ262152 NJF262151:NJF262152 NTB262151:NTB262152 OCX262151:OCX262152 OMT262151:OMT262152 OWP262151:OWP262152 PGL262151:PGL262152 PQH262151:PQH262152 QAD262151:QAD262152 QJZ262151:QJZ262152 QTV262151:QTV262152 RDR262151:RDR262152 RNN262151:RNN262152 RXJ262151:RXJ262152 SHF262151:SHF262152 SRB262151:SRB262152 TAX262151:TAX262152 TKT262151:TKT262152 TUP262151:TUP262152 UEL262151:UEL262152 UOH262151:UOH262152 UYD262151:UYD262152 VHZ262151:VHZ262152 VRV262151:VRV262152 WBR262151:WBR262152 WLN262151:WLN262152 WVJ262151:WVJ262152 B327687:B327688 IX327687:IX327688 ST327687:ST327688 ACP327687:ACP327688 AML327687:AML327688 AWH327687:AWH327688 BGD327687:BGD327688 BPZ327687:BPZ327688 BZV327687:BZV327688 CJR327687:CJR327688 CTN327687:CTN327688 DDJ327687:DDJ327688 DNF327687:DNF327688 DXB327687:DXB327688 EGX327687:EGX327688 EQT327687:EQT327688 FAP327687:FAP327688 FKL327687:FKL327688 FUH327687:FUH327688 GED327687:GED327688 GNZ327687:GNZ327688 GXV327687:GXV327688 HHR327687:HHR327688 HRN327687:HRN327688 IBJ327687:IBJ327688 ILF327687:ILF327688 IVB327687:IVB327688 JEX327687:JEX327688 JOT327687:JOT327688 JYP327687:JYP327688 KIL327687:KIL327688 KSH327687:KSH327688 LCD327687:LCD327688 LLZ327687:LLZ327688 LVV327687:LVV327688 MFR327687:MFR327688 MPN327687:MPN327688 MZJ327687:MZJ327688 NJF327687:NJF327688 NTB327687:NTB327688 OCX327687:OCX327688 OMT327687:OMT327688 OWP327687:OWP327688 PGL327687:PGL327688 PQH327687:PQH327688 QAD327687:QAD327688 QJZ327687:QJZ327688 QTV327687:QTV327688 RDR327687:RDR327688 RNN327687:RNN327688 RXJ327687:RXJ327688 SHF327687:SHF327688 SRB327687:SRB327688 TAX327687:TAX327688 TKT327687:TKT327688 TUP327687:TUP327688 UEL327687:UEL327688 UOH327687:UOH327688 UYD327687:UYD327688 VHZ327687:VHZ327688 VRV327687:VRV327688 WBR327687:WBR327688 WLN327687:WLN327688 WVJ327687:WVJ327688 B393223:B393224 IX393223:IX393224 ST393223:ST393224 ACP393223:ACP393224 AML393223:AML393224 AWH393223:AWH393224 BGD393223:BGD393224 BPZ393223:BPZ393224 BZV393223:BZV393224 CJR393223:CJR393224 CTN393223:CTN393224 DDJ393223:DDJ393224 DNF393223:DNF393224 DXB393223:DXB393224 EGX393223:EGX393224 EQT393223:EQT393224 FAP393223:FAP393224 FKL393223:FKL393224 FUH393223:FUH393224 GED393223:GED393224 GNZ393223:GNZ393224 GXV393223:GXV393224 HHR393223:HHR393224 HRN393223:HRN393224 IBJ393223:IBJ393224 ILF393223:ILF393224 IVB393223:IVB393224 JEX393223:JEX393224 JOT393223:JOT393224 JYP393223:JYP393224 KIL393223:KIL393224 KSH393223:KSH393224 LCD393223:LCD393224 LLZ393223:LLZ393224 LVV393223:LVV393224 MFR393223:MFR393224 MPN393223:MPN393224 MZJ393223:MZJ393224 NJF393223:NJF393224 NTB393223:NTB393224 OCX393223:OCX393224 OMT393223:OMT393224 OWP393223:OWP393224 PGL393223:PGL393224 PQH393223:PQH393224 QAD393223:QAD393224 QJZ393223:QJZ393224 QTV393223:QTV393224 RDR393223:RDR393224 RNN393223:RNN393224 RXJ393223:RXJ393224 SHF393223:SHF393224 SRB393223:SRB393224 TAX393223:TAX393224 TKT393223:TKT393224 TUP393223:TUP393224 UEL393223:UEL393224 UOH393223:UOH393224 UYD393223:UYD393224 VHZ393223:VHZ393224 VRV393223:VRV393224 WBR393223:WBR393224 WLN393223:WLN393224 WVJ393223:WVJ393224 B458759:B458760 IX458759:IX458760 ST458759:ST458760 ACP458759:ACP458760 AML458759:AML458760 AWH458759:AWH458760 BGD458759:BGD458760 BPZ458759:BPZ458760 BZV458759:BZV458760 CJR458759:CJR458760 CTN458759:CTN458760 DDJ458759:DDJ458760 DNF458759:DNF458760 DXB458759:DXB458760 EGX458759:EGX458760 EQT458759:EQT458760 FAP458759:FAP458760 FKL458759:FKL458760 FUH458759:FUH458760 GED458759:GED458760 GNZ458759:GNZ458760 GXV458759:GXV458760 HHR458759:HHR458760 HRN458759:HRN458760 IBJ458759:IBJ458760 ILF458759:ILF458760 IVB458759:IVB458760 JEX458759:JEX458760 JOT458759:JOT458760 JYP458759:JYP458760 KIL458759:KIL458760 KSH458759:KSH458760 LCD458759:LCD458760 LLZ458759:LLZ458760 LVV458759:LVV458760 MFR458759:MFR458760 MPN458759:MPN458760 MZJ458759:MZJ458760 NJF458759:NJF458760 NTB458759:NTB458760 OCX458759:OCX458760 OMT458759:OMT458760 OWP458759:OWP458760 PGL458759:PGL458760 PQH458759:PQH458760 QAD458759:QAD458760 QJZ458759:QJZ458760 QTV458759:QTV458760 RDR458759:RDR458760 RNN458759:RNN458760 RXJ458759:RXJ458760 SHF458759:SHF458760 SRB458759:SRB458760 TAX458759:TAX458760 TKT458759:TKT458760 TUP458759:TUP458760 UEL458759:UEL458760 UOH458759:UOH458760 UYD458759:UYD458760 VHZ458759:VHZ458760 VRV458759:VRV458760 WBR458759:WBR458760 WLN458759:WLN458760 WVJ458759:WVJ458760 B524295:B524296 IX524295:IX524296 ST524295:ST524296 ACP524295:ACP524296 AML524295:AML524296 AWH524295:AWH524296 BGD524295:BGD524296 BPZ524295:BPZ524296 BZV524295:BZV524296 CJR524295:CJR524296 CTN524295:CTN524296 DDJ524295:DDJ524296 DNF524295:DNF524296 DXB524295:DXB524296 EGX524295:EGX524296 EQT524295:EQT524296 FAP524295:FAP524296 FKL524295:FKL524296 FUH524295:FUH524296 GED524295:GED524296 GNZ524295:GNZ524296 GXV524295:GXV524296 HHR524295:HHR524296 HRN524295:HRN524296 IBJ524295:IBJ524296 ILF524295:ILF524296 IVB524295:IVB524296 JEX524295:JEX524296 JOT524295:JOT524296 JYP524295:JYP524296 KIL524295:KIL524296 KSH524295:KSH524296 LCD524295:LCD524296 LLZ524295:LLZ524296 LVV524295:LVV524296 MFR524295:MFR524296 MPN524295:MPN524296 MZJ524295:MZJ524296 NJF524295:NJF524296 NTB524295:NTB524296 OCX524295:OCX524296 OMT524295:OMT524296 OWP524295:OWP524296 PGL524295:PGL524296 PQH524295:PQH524296 QAD524295:QAD524296 QJZ524295:QJZ524296 QTV524295:QTV524296 RDR524295:RDR524296 RNN524295:RNN524296 RXJ524295:RXJ524296 SHF524295:SHF524296 SRB524295:SRB524296 TAX524295:TAX524296 TKT524295:TKT524296 TUP524295:TUP524296 UEL524295:UEL524296 UOH524295:UOH524296 UYD524295:UYD524296 VHZ524295:VHZ524296 VRV524295:VRV524296 WBR524295:WBR524296 WLN524295:WLN524296 WVJ524295:WVJ524296 B589831:B589832 IX589831:IX589832 ST589831:ST589832 ACP589831:ACP589832 AML589831:AML589832 AWH589831:AWH589832 BGD589831:BGD589832 BPZ589831:BPZ589832 BZV589831:BZV589832 CJR589831:CJR589832 CTN589831:CTN589832 DDJ589831:DDJ589832 DNF589831:DNF589832 DXB589831:DXB589832 EGX589831:EGX589832 EQT589831:EQT589832 FAP589831:FAP589832 FKL589831:FKL589832 FUH589831:FUH589832 GED589831:GED589832 GNZ589831:GNZ589832 GXV589831:GXV589832 HHR589831:HHR589832 HRN589831:HRN589832 IBJ589831:IBJ589832 ILF589831:ILF589832 IVB589831:IVB589832 JEX589831:JEX589832 JOT589831:JOT589832 JYP589831:JYP589832 KIL589831:KIL589832 KSH589831:KSH589832 LCD589831:LCD589832 LLZ589831:LLZ589832 LVV589831:LVV589832 MFR589831:MFR589832 MPN589831:MPN589832 MZJ589831:MZJ589832 NJF589831:NJF589832 NTB589831:NTB589832 OCX589831:OCX589832 OMT589831:OMT589832 OWP589831:OWP589832 PGL589831:PGL589832 PQH589831:PQH589832 QAD589831:QAD589832 QJZ589831:QJZ589832 QTV589831:QTV589832 RDR589831:RDR589832 RNN589831:RNN589832 RXJ589831:RXJ589832 SHF589831:SHF589832 SRB589831:SRB589832 TAX589831:TAX589832 TKT589831:TKT589832 TUP589831:TUP589832 UEL589831:UEL589832 UOH589831:UOH589832 UYD589831:UYD589832 VHZ589831:VHZ589832 VRV589831:VRV589832 WBR589831:WBR589832 WLN589831:WLN589832 WVJ589831:WVJ589832 B655367:B655368 IX655367:IX655368 ST655367:ST655368 ACP655367:ACP655368 AML655367:AML655368 AWH655367:AWH655368 BGD655367:BGD655368 BPZ655367:BPZ655368 BZV655367:BZV655368 CJR655367:CJR655368 CTN655367:CTN655368 DDJ655367:DDJ655368 DNF655367:DNF655368 DXB655367:DXB655368 EGX655367:EGX655368 EQT655367:EQT655368 FAP655367:FAP655368 FKL655367:FKL655368 FUH655367:FUH655368 GED655367:GED655368 GNZ655367:GNZ655368 GXV655367:GXV655368 HHR655367:HHR655368 HRN655367:HRN655368 IBJ655367:IBJ655368 ILF655367:ILF655368 IVB655367:IVB655368 JEX655367:JEX655368 JOT655367:JOT655368 JYP655367:JYP655368 KIL655367:KIL655368 KSH655367:KSH655368 LCD655367:LCD655368 LLZ655367:LLZ655368 LVV655367:LVV655368 MFR655367:MFR655368 MPN655367:MPN655368 MZJ655367:MZJ655368 NJF655367:NJF655368 NTB655367:NTB655368 OCX655367:OCX655368 OMT655367:OMT655368 OWP655367:OWP655368 PGL655367:PGL655368 PQH655367:PQH655368 QAD655367:QAD655368 QJZ655367:QJZ655368 QTV655367:QTV655368 RDR655367:RDR655368 RNN655367:RNN655368 RXJ655367:RXJ655368 SHF655367:SHF655368 SRB655367:SRB655368 TAX655367:TAX655368 TKT655367:TKT655368 TUP655367:TUP655368 UEL655367:UEL655368 UOH655367:UOH655368 UYD655367:UYD655368 VHZ655367:VHZ655368 VRV655367:VRV655368 WBR655367:WBR655368 WLN655367:WLN655368 WVJ655367:WVJ655368 B720903:B720904 IX720903:IX720904 ST720903:ST720904 ACP720903:ACP720904 AML720903:AML720904 AWH720903:AWH720904 BGD720903:BGD720904 BPZ720903:BPZ720904 BZV720903:BZV720904 CJR720903:CJR720904 CTN720903:CTN720904 DDJ720903:DDJ720904 DNF720903:DNF720904 DXB720903:DXB720904 EGX720903:EGX720904 EQT720903:EQT720904 FAP720903:FAP720904 FKL720903:FKL720904 FUH720903:FUH720904 GED720903:GED720904 GNZ720903:GNZ720904 GXV720903:GXV720904 HHR720903:HHR720904 HRN720903:HRN720904 IBJ720903:IBJ720904 ILF720903:ILF720904 IVB720903:IVB720904 JEX720903:JEX720904 JOT720903:JOT720904 JYP720903:JYP720904 KIL720903:KIL720904 KSH720903:KSH720904 LCD720903:LCD720904 LLZ720903:LLZ720904 LVV720903:LVV720904 MFR720903:MFR720904 MPN720903:MPN720904 MZJ720903:MZJ720904 NJF720903:NJF720904 NTB720903:NTB720904 OCX720903:OCX720904 OMT720903:OMT720904 OWP720903:OWP720904 PGL720903:PGL720904 PQH720903:PQH720904 QAD720903:QAD720904 QJZ720903:QJZ720904 QTV720903:QTV720904 RDR720903:RDR720904 RNN720903:RNN720904 RXJ720903:RXJ720904 SHF720903:SHF720904 SRB720903:SRB720904 TAX720903:TAX720904 TKT720903:TKT720904 TUP720903:TUP720904 UEL720903:UEL720904 UOH720903:UOH720904 UYD720903:UYD720904 VHZ720903:VHZ720904 VRV720903:VRV720904 WBR720903:WBR720904 WLN720903:WLN720904 WVJ720903:WVJ720904 B786439:B786440 IX786439:IX786440 ST786439:ST786440 ACP786439:ACP786440 AML786439:AML786440 AWH786439:AWH786440 BGD786439:BGD786440 BPZ786439:BPZ786440 BZV786439:BZV786440 CJR786439:CJR786440 CTN786439:CTN786440 DDJ786439:DDJ786440 DNF786439:DNF786440 DXB786439:DXB786440 EGX786439:EGX786440 EQT786439:EQT786440 FAP786439:FAP786440 FKL786439:FKL786440 FUH786439:FUH786440 GED786439:GED786440 GNZ786439:GNZ786440 GXV786439:GXV786440 HHR786439:HHR786440 HRN786439:HRN786440 IBJ786439:IBJ786440 ILF786439:ILF786440 IVB786439:IVB786440 JEX786439:JEX786440 JOT786439:JOT786440 JYP786439:JYP786440 KIL786439:KIL786440 KSH786439:KSH786440 LCD786439:LCD786440 LLZ786439:LLZ786440 LVV786439:LVV786440 MFR786439:MFR786440 MPN786439:MPN786440 MZJ786439:MZJ786440 NJF786439:NJF786440 NTB786439:NTB786440 OCX786439:OCX786440 OMT786439:OMT786440 OWP786439:OWP786440 PGL786439:PGL786440 PQH786439:PQH786440 QAD786439:QAD786440 QJZ786439:QJZ786440 QTV786439:QTV786440 RDR786439:RDR786440 RNN786439:RNN786440 RXJ786439:RXJ786440 SHF786439:SHF786440 SRB786439:SRB786440 TAX786439:TAX786440 TKT786439:TKT786440 TUP786439:TUP786440 UEL786439:UEL786440 UOH786439:UOH786440 UYD786439:UYD786440 VHZ786439:VHZ786440 VRV786439:VRV786440 WBR786439:WBR786440 WLN786439:WLN786440 WVJ786439:WVJ786440 B851975:B851976 IX851975:IX851976 ST851975:ST851976 ACP851975:ACP851976 AML851975:AML851976 AWH851975:AWH851976 BGD851975:BGD851976 BPZ851975:BPZ851976 BZV851975:BZV851976 CJR851975:CJR851976 CTN851975:CTN851976 DDJ851975:DDJ851976 DNF851975:DNF851976 DXB851975:DXB851976 EGX851975:EGX851976 EQT851975:EQT851976 FAP851975:FAP851976 FKL851975:FKL851976 FUH851975:FUH851976 GED851975:GED851976 GNZ851975:GNZ851976 GXV851975:GXV851976 HHR851975:HHR851976 HRN851975:HRN851976 IBJ851975:IBJ851976 ILF851975:ILF851976 IVB851975:IVB851976 JEX851975:JEX851976 JOT851975:JOT851976 JYP851975:JYP851976 KIL851975:KIL851976 KSH851975:KSH851976 LCD851975:LCD851976 LLZ851975:LLZ851976 LVV851975:LVV851976 MFR851975:MFR851976 MPN851975:MPN851976 MZJ851975:MZJ851976 NJF851975:NJF851976 NTB851975:NTB851976 OCX851975:OCX851976 OMT851975:OMT851976 OWP851975:OWP851976 PGL851975:PGL851976 PQH851975:PQH851976 QAD851975:QAD851976 QJZ851975:QJZ851976 QTV851975:QTV851976 RDR851975:RDR851976 RNN851975:RNN851976 RXJ851975:RXJ851976 SHF851975:SHF851976 SRB851975:SRB851976 TAX851975:TAX851976 TKT851975:TKT851976 TUP851975:TUP851976 UEL851975:UEL851976 UOH851975:UOH851976 UYD851975:UYD851976 VHZ851975:VHZ851976 VRV851975:VRV851976 WBR851975:WBR851976 WLN851975:WLN851976 WVJ851975:WVJ851976 B917511:B917512 IX917511:IX917512 ST917511:ST917512 ACP917511:ACP917512 AML917511:AML917512 AWH917511:AWH917512 BGD917511:BGD917512 BPZ917511:BPZ917512 BZV917511:BZV917512 CJR917511:CJR917512 CTN917511:CTN917512 DDJ917511:DDJ917512 DNF917511:DNF917512 DXB917511:DXB917512 EGX917511:EGX917512 EQT917511:EQT917512 FAP917511:FAP917512 FKL917511:FKL917512 FUH917511:FUH917512 GED917511:GED917512 GNZ917511:GNZ917512 GXV917511:GXV917512 HHR917511:HHR917512 HRN917511:HRN917512 IBJ917511:IBJ917512 ILF917511:ILF917512 IVB917511:IVB917512 JEX917511:JEX917512 JOT917511:JOT917512 JYP917511:JYP917512 KIL917511:KIL917512 KSH917511:KSH917512 LCD917511:LCD917512 LLZ917511:LLZ917512 LVV917511:LVV917512 MFR917511:MFR917512 MPN917511:MPN917512 MZJ917511:MZJ917512 NJF917511:NJF917512 NTB917511:NTB917512 OCX917511:OCX917512 OMT917511:OMT917512 OWP917511:OWP917512 PGL917511:PGL917512 PQH917511:PQH917512 QAD917511:QAD917512 QJZ917511:QJZ917512 QTV917511:QTV917512 RDR917511:RDR917512 RNN917511:RNN917512 RXJ917511:RXJ917512 SHF917511:SHF917512 SRB917511:SRB917512 TAX917511:TAX917512 TKT917511:TKT917512 TUP917511:TUP917512 UEL917511:UEL917512 UOH917511:UOH917512 UYD917511:UYD917512 VHZ917511:VHZ917512 VRV917511:VRV917512 WBR917511:WBR917512 WLN917511:WLN917512 WVJ917511:WVJ917512 B983047:B983048 IX983047:IX983048 ST983047:ST983048 ACP983047:ACP983048 AML983047:AML983048 AWH983047:AWH983048 BGD983047:BGD983048 BPZ983047:BPZ983048 BZV983047:BZV983048 CJR983047:CJR983048 CTN983047:CTN983048 DDJ983047:DDJ983048 DNF983047:DNF983048 DXB983047:DXB983048 EGX983047:EGX983048 EQT983047:EQT983048 FAP983047:FAP983048 FKL983047:FKL983048 FUH983047:FUH983048 GED983047:GED983048 GNZ983047:GNZ983048 GXV983047:GXV983048 HHR983047:HHR983048 HRN983047:HRN983048 IBJ983047:IBJ983048 ILF983047:ILF983048 IVB983047:IVB983048 JEX983047:JEX983048 JOT983047:JOT983048 JYP983047:JYP983048 KIL983047:KIL983048 KSH983047:KSH983048 LCD983047:LCD983048 LLZ983047:LLZ983048 LVV983047:LVV983048 MFR983047:MFR983048 MPN983047:MPN983048 MZJ983047:MZJ983048 NJF983047:NJF983048 NTB983047:NTB983048 OCX983047:OCX983048 OMT983047:OMT983048 OWP983047:OWP983048 PGL983047:PGL983048 PQH983047:PQH983048 QAD983047:QAD983048 QJZ983047:QJZ983048 QTV983047:QTV983048 RDR983047:RDR983048 RNN983047:RNN983048 RXJ983047:RXJ983048 SHF983047:SHF983048 SRB983047:SRB983048 TAX983047:TAX983048 TKT983047:TKT983048 TUP983047:TUP983048 UEL983047:UEL983048 UOH983047:UOH983048 UYD983047:UYD983048 VHZ983047:VHZ983048 VRV983047:VRV983048 WBR983047:WBR983048 WLN983047:WLN983048 WVJ983047:WVJ983048 B12:B14 IX12:IX14 ST12:ST14 ACP12:ACP14 AML12:AML14 AWH12:AWH14 BGD12:BGD14 BPZ12:BPZ14 BZV12:BZV14 CJR12:CJR14 CTN12:CTN14 DDJ12:DDJ14 DNF12:DNF14 DXB12:DXB14 EGX12:EGX14 EQT12:EQT14 FAP12:FAP14 FKL12:FKL14 FUH12:FUH14 GED12:GED14 GNZ12:GNZ14 GXV12:GXV14 HHR12:HHR14 HRN12:HRN14 IBJ12:IBJ14 ILF12:ILF14 IVB12:IVB14 JEX12:JEX14 JOT12:JOT14 JYP12:JYP14 KIL12:KIL14 KSH12:KSH14 LCD12:LCD14 LLZ12:LLZ14 LVV12:LVV14 MFR12:MFR14 MPN12:MPN14 MZJ12:MZJ14 NJF12:NJF14 NTB12:NTB14 OCX12:OCX14 OMT12:OMT14 OWP12:OWP14 PGL12:PGL14 PQH12:PQH14 QAD12:QAD14 QJZ12:QJZ14 QTV12:QTV14 RDR12:RDR14 RNN12:RNN14 RXJ12:RXJ14 SHF12:SHF14 SRB12:SRB14 TAX12:TAX14 TKT12:TKT14 TUP12:TUP14 UEL12:UEL14 UOH12:UOH14 UYD12:UYD14 VHZ12:VHZ14 VRV12:VRV14 WBR12:WBR14 WLN12:WLN14 WVJ12:WVJ14 B65548:B65550 IX65548:IX65550 ST65548:ST65550 ACP65548:ACP65550 AML65548:AML65550 AWH65548:AWH65550 BGD65548:BGD65550 BPZ65548:BPZ65550 BZV65548:BZV65550 CJR65548:CJR65550 CTN65548:CTN65550 DDJ65548:DDJ65550 DNF65548:DNF65550 DXB65548:DXB65550 EGX65548:EGX65550 EQT65548:EQT65550 FAP65548:FAP65550 FKL65548:FKL65550 FUH65548:FUH65550 GED65548:GED65550 GNZ65548:GNZ65550 GXV65548:GXV65550 HHR65548:HHR65550 HRN65548:HRN65550 IBJ65548:IBJ65550 ILF65548:ILF65550 IVB65548:IVB65550 JEX65548:JEX65550 JOT65548:JOT65550 JYP65548:JYP65550 KIL65548:KIL65550 KSH65548:KSH65550 LCD65548:LCD65550 LLZ65548:LLZ65550 LVV65548:LVV65550 MFR65548:MFR65550 MPN65548:MPN65550 MZJ65548:MZJ65550 NJF65548:NJF65550 NTB65548:NTB65550 OCX65548:OCX65550 OMT65548:OMT65550 OWP65548:OWP65550 PGL65548:PGL65550 PQH65548:PQH65550 QAD65548:QAD65550 QJZ65548:QJZ65550 QTV65548:QTV65550 RDR65548:RDR65550 RNN65548:RNN65550 RXJ65548:RXJ65550 SHF65548:SHF65550 SRB65548:SRB65550 TAX65548:TAX65550 TKT65548:TKT65550 TUP65548:TUP65550 UEL65548:UEL65550 UOH65548:UOH65550 UYD65548:UYD65550 VHZ65548:VHZ65550 VRV65548:VRV65550 WBR65548:WBR65550 WLN65548:WLN65550 WVJ65548:WVJ65550 B131084:B131086 IX131084:IX131086 ST131084:ST131086 ACP131084:ACP131086 AML131084:AML131086 AWH131084:AWH131086 BGD131084:BGD131086 BPZ131084:BPZ131086 BZV131084:BZV131086 CJR131084:CJR131086 CTN131084:CTN131086 DDJ131084:DDJ131086 DNF131084:DNF131086 DXB131084:DXB131086 EGX131084:EGX131086 EQT131084:EQT131086 FAP131084:FAP131086 FKL131084:FKL131086 FUH131084:FUH131086 GED131084:GED131086 GNZ131084:GNZ131086 GXV131084:GXV131086 HHR131084:HHR131086 HRN131084:HRN131086 IBJ131084:IBJ131086 ILF131084:ILF131086 IVB131084:IVB131086 JEX131084:JEX131086 JOT131084:JOT131086 JYP131084:JYP131086 KIL131084:KIL131086 KSH131084:KSH131086 LCD131084:LCD131086 LLZ131084:LLZ131086 LVV131084:LVV131086 MFR131084:MFR131086 MPN131084:MPN131086 MZJ131084:MZJ131086 NJF131084:NJF131086 NTB131084:NTB131086 OCX131084:OCX131086 OMT131084:OMT131086 OWP131084:OWP131086 PGL131084:PGL131086 PQH131084:PQH131086 QAD131084:QAD131086 QJZ131084:QJZ131086 QTV131084:QTV131086 RDR131084:RDR131086 RNN131084:RNN131086 RXJ131084:RXJ131086 SHF131084:SHF131086 SRB131084:SRB131086 TAX131084:TAX131086 TKT131084:TKT131086 TUP131084:TUP131086 UEL131084:UEL131086 UOH131084:UOH131086 UYD131084:UYD131086 VHZ131084:VHZ131086 VRV131084:VRV131086 WBR131084:WBR131086 WLN131084:WLN131086 WVJ131084:WVJ131086 B196620:B196622 IX196620:IX196622 ST196620:ST196622 ACP196620:ACP196622 AML196620:AML196622 AWH196620:AWH196622 BGD196620:BGD196622 BPZ196620:BPZ196622 BZV196620:BZV196622 CJR196620:CJR196622 CTN196620:CTN196622 DDJ196620:DDJ196622 DNF196620:DNF196622 DXB196620:DXB196622 EGX196620:EGX196622 EQT196620:EQT196622 FAP196620:FAP196622 FKL196620:FKL196622 FUH196620:FUH196622 GED196620:GED196622 GNZ196620:GNZ196622 GXV196620:GXV196622 HHR196620:HHR196622 HRN196620:HRN196622 IBJ196620:IBJ196622 ILF196620:ILF196622 IVB196620:IVB196622 JEX196620:JEX196622 JOT196620:JOT196622 JYP196620:JYP196622 KIL196620:KIL196622 KSH196620:KSH196622 LCD196620:LCD196622 LLZ196620:LLZ196622 LVV196620:LVV196622 MFR196620:MFR196622 MPN196620:MPN196622 MZJ196620:MZJ196622 NJF196620:NJF196622 NTB196620:NTB196622 OCX196620:OCX196622 OMT196620:OMT196622 OWP196620:OWP196622 PGL196620:PGL196622 PQH196620:PQH196622 QAD196620:QAD196622 QJZ196620:QJZ196622 QTV196620:QTV196622 RDR196620:RDR196622 RNN196620:RNN196622 RXJ196620:RXJ196622 SHF196620:SHF196622 SRB196620:SRB196622 TAX196620:TAX196622 TKT196620:TKT196622 TUP196620:TUP196622 UEL196620:UEL196622 UOH196620:UOH196622 UYD196620:UYD196622 VHZ196620:VHZ196622 VRV196620:VRV196622 WBR196620:WBR196622 WLN196620:WLN196622 WVJ196620:WVJ196622 B262156:B262158 IX262156:IX262158 ST262156:ST262158 ACP262156:ACP262158 AML262156:AML262158 AWH262156:AWH262158 BGD262156:BGD262158 BPZ262156:BPZ262158 BZV262156:BZV262158 CJR262156:CJR262158 CTN262156:CTN262158 DDJ262156:DDJ262158 DNF262156:DNF262158 DXB262156:DXB262158 EGX262156:EGX262158 EQT262156:EQT262158 FAP262156:FAP262158 FKL262156:FKL262158 FUH262156:FUH262158 GED262156:GED262158 GNZ262156:GNZ262158 GXV262156:GXV262158 HHR262156:HHR262158 HRN262156:HRN262158 IBJ262156:IBJ262158 ILF262156:ILF262158 IVB262156:IVB262158 JEX262156:JEX262158 JOT262156:JOT262158 JYP262156:JYP262158 KIL262156:KIL262158 KSH262156:KSH262158 LCD262156:LCD262158 LLZ262156:LLZ262158 LVV262156:LVV262158 MFR262156:MFR262158 MPN262156:MPN262158 MZJ262156:MZJ262158 NJF262156:NJF262158 NTB262156:NTB262158 OCX262156:OCX262158 OMT262156:OMT262158 OWP262156:OWP262158 PGL262156:PGL262158 PQH262156:PQH262158 QAD262156:QAD262158 QJZ262156:QJZ262158 QTV262156:QTV262158 RDR262156:RDR262158 RNN262156:RNN262158 RXJ262156:RXJ262158 SHF262156:SHF262158 SRB262156:SRB262158 TAX262156:TAX262158 TKT262156:TKT262158 TUP262156:TUP262158 UEL262156:UEL262158 UOH262156:UOH262158 UYD262156:UYD262158 VHZ262156:VHZ262158 VRV262156:VRV262158 WBR262156:WBR262158 WLN262156:WLN262158 WVJ262156:WVJ262158 B327692:B327694 IX327692:IX327694 ST327692:ST327694 ACP327692:ACP327694 AML327692:AML327694 AWH327692:AWH327694 BGD327692:BGD327694 BPZ327692:BPZ327694 BZV327692:BZV327694 CJR327692:CJR327694 CTN327692:CTN327694 DDJ327692:DDJ327694 DNF327692:DNF327694 DXB327692:DXB327694 EGX327692:EGX327694 EQT327692:EQT327694 FAP327692:FAP327694 FKL327692:FKL327694 FUH327692:FUH327694 GED327692:GED327694 GNZ327692:GNZ327694 GXV327692:GXV327694 HHR327692:HHR327694 HRN327692:HRN327694 IBJ327692:IBJ327694 ILF327692:ILF327694 IVB327692:IVB327694 JEX327692:JEX327694 JOT327692:JOT327694 JYP327692:JYP327694 KIL327692:KIL327694 KSH327692:KSH327694 LCD327692:LCD327694 LLZ327692:LLZ327694 LVV327692:LVV327694 MFR327692:MFR327694 MPN327692:MPN327694 MZJ327692:MZJ327694 NJF327692:NJF327694 NTB327692:NTB327694 OCX327692:OCX327694 OMT327692:OMT327694 OWP327692:OWP327694 PGL327692:PGL327694 PQH327692:PQH327694 QAD327692:QAD327694 QJZ327692:QJZ327694 QTV327692:QTV327694 RDR327692:RDR327694 RNN327692:RNN327694 RXJ327692:RXJ327694 SHF327692:SHF327694 SRB327692:SRB327694 TAX327692:TAX327694 TKT327692:TKT327694 TUP327692:TUP327694 UEL327692:UEL327694 UOH327692:UOH327694 UYD327692:UYD327694 VHZ327692:VHZ327694 VRV327692:VRV327694 WBR327692:WBR327694 WLN327692:WLN327694 WVJ327692:WVJ327694 B393228:B393230 IX393228:IX393230 ST393228:ST393230 ACP393228:ACP393230 AML393228:AML393230 AWH393228:AWH393230 BGD393228:BGD393230 BPZ393228:BPZ393230 BZV393228:BZV393230 CJR393228:CJR393230 CTN393228:CTN393230 DDJ393228:DDJ393230 DNF393228:DNF393230 DXB393228:DXB393230 EGX393228:EGX393230 EQT393228:EQT393230 FAP393228:FAP393230 FKL393228:FKL393230 FUH393228:FUH393230 GED393228:GED393230 GNZ393228:GNZ393230 GXV393228:GXV393230 HHR393228:HHR393230 HRN393228:HRN393230 IBJ393228:IBJ393230 ILF393228:ILF393230 IVB393228:IVB393230 JEX393228:JEX393230 JOT393228:JOT393230 JYP393228:JYP393230 KIL393228:KIL393230 KSH393228:KSH393230 LCD393228:LCD393230 LLZ393228:LLZ393230 LVV393228:LVV393230 MFR393228:MFR393230 MPN393228:MPN393230 MZJ393228:MZJ393230 NJF393228:NJF393230 NTB393228:NTB393230 OCX393228:OCX393230 OMT393228:OMT393230 OWP393228:OWP393230 PGL393228:PGL393230 PQH393228:PQH393230 QAD393228:QAD393230 QJZ393228:QJZ393230 QTV393228:QTV393230 RDR393228:RDR393230 RNN393228:RNN393230 RXJ393228:RXJ393230 SHF393228:SHF393230 SRB393228:SRB393230 TAX393228:TAX393230 TKT393228:TKT393230 TUP393228:TUP393230 UEL393228:UEL393230 UOH393228:UOH393230 UYD393228:UYD393230 VHZ393228:VHZ393230 VRV393228:VRV393230 WBR393228:WBR393230 WLN393228:WLN393230 WVJ393228:WVJ393230 B458764:B458766 IX458764:IX458766 ST458764:ST458766 ACP458764:ACP458766 AML458764:AML458766 AWH458764:AWH458766 BGD458764:BGD458766 BPZ458764:BPZ458766 BZV458764:BZV458766 CJR458764:CJR458766 CTN458764:CTN458766 DDJ458764:DDJ458766 DNF458764:DNF458766 DXB458764:DXB458766 EGX458764:EGX458766 EQT458764:EQT458766 FAP458764:FAP458766 FKL458764:FKL458766 FUH458764:FUH458766 GED458764:GED458766 GNZ458764:GNZ458766 GXV458764:GXV458766 HHR458764:HHR458766 HRN458764:HRN458766 IBJ458764:IBJ458766 ILF458764:ILF458766 IVB458764:IVB458766 JEX458764:JEX458766 JOT458764:JOT458766 JYP458764:JYP458766 KIL458764:KIL458766 KSH458764:KSH458766 LCD458764:LCD458766 LLZ458764:LLZ458766 LVV458764:LVV458766 MFR458764:MFR458766 MPN458764:MPN458766 MZJ458764:MZJ458766 NJF458764:NJF458766 NTB458764:NTB458766 OCX458764:OCX458766 OMT458764:OMT458766 OWP458764:OWP458766 PGL458764:PGL458766 PQH458764:PQH458766 QAD458764:QAD458766 QJZ458764:QJZ458766 QTV458764:QTV458766 RDR458764:RDR458766 RNN458764:RNN458766 RXJ458764:RXJ458766 SHF458764:SHF458766 SRB458764:SRB458766 TAX458764:TAX458766 TKT458764:TKT458766 TUP458764:TUP458766 UEL458764:UEL458766 UOH458764:UOH458766 UYD458764:UYD458766 VHZ458764:VHZ458766 VRV458764:VRV458766 WBR458764:WBR458766 WLN458764:WLN458766 WVJ458764:WVJ458766 B524300:B524302 IX524300:IX524302 ST524300:ST524302 ACP524300:ACP524302 AML524300:AML524302 AWH524300:AWH524302 BGD524300:BGD524302 BPZ524300:BPZ524302 BZV524300:BZV524302 CJR524300:CJR524302 CTN524300:CTN524302 DDJ524300:DDJ524302 DNF524300:DNF524302 DXB524300:DXB524302 EGX524300:EGX524302 EQT524300:EQT524302 FAP524300:FAP524302 FKL524300:FKL524302 FUH524300:FUH524302 GED524300:GED524302 GNZ524300:GNZ524302 GXV524300:GXV524302 HHR524300:HHR524302 HRN524300:HRN524302 IBJ524300:IBJ524302 ILF524300:ILF524302 IVB524300:IVB524302 JEX524300:JEX524302 JOT524300:JOT524302 JYP524300:JYP524302 KIL524300:KIL524302 KSH524300:KSH524302 LCD524300:LCD524302 LLZ524300:LLZ524302 LVV524300:LVV524302 MFR524300:MFR524302 MPN524300:MPN524302 MZJ524300:MZJ524302 NJF524300:NJF524302 NTB524300:NTB524302 OCX524300:OCX524302 OMT524300:OMT524302 OWP524300:OWP524302 PGL524300:PGL524302 PQH524300:PQH524302 QAD524300:QAD524302 QJZ524300:QJZ524302 QTV524300:QTV524302 RDR524300:RDR524302 RNN524300:RNN524302 RXJ524300:RXJ524302 SHF524300:SHF524302 SRB524300:SRB524302 TAX524300:TAX524302 TKT524300:TKT524302 TUP524300:TUP524302 UEL524300:UEL524302 UOH524300:UOH524302 UYD524300:UYD524302 VHZ524300:VHZ524302 VRV524300:VRV524302 WBR524300:WBR524302 WLN524300:WLN524302 WVJ524300:WVJ524302 B589836:B589838 IX589836:IX589838 ST589836:ST589838 ACP589836:ACP589838 AML589836:AML589838 AWH589836:AWH589838 BGD589836:BGD589838 BPZ589836:BPZ589838 BZV589836:BZV589838 CJR589836:CJR589838 CTN589836:CTN589838 DDJ589836:DDJ589838 DNF589836:DNF589838 DXB589836:DXB589838 EGX589836:EGX589838 EQT589836:EQT589838 FAP589836:FAP589838 FKL589836:FKL589838 FUH589836:FUH589838 GED589836:GED589838 GNZ589836:GNZ589838 GXV589836:GXV589838 HHR589836:HHR589838 HRN589836:HRN589838 IBJ589836:IBJ589838 ILF589836:ILF589838 IVB589836:IVB589838 JEX589836:JEX589838 JOT589836:JOT589838 JYP589836:JYP589838 KIL589836:KIL589838 KSH589836:KSH589838 LCD589836:LCD589838 LLZ589836:LLZ589838 LVV589836:LVV589838 MFR589836:MFR589838 MPN589836:MPN589838 MZJ589836:MZJ589838 NJF589836:NJF589838 NTB589836:NTB589838 OCX589836:OCX589838 OMT589836:OMT589838 OWP589836:OWP589838 PGL589836:PGL589838 PQH589836:PQH589838 QAD589836:QAD589838 QJZ589836:QJZ589838 QTV589836:QTV589838 RDR589836:RDR589838 RNN589836:RNN589838 RXJ589836:RXJ589838 SHF589836:SHF589838 SRB589836:SRB589838 TAX589836:TAX589838 TKT589836:TKT589838 TUP589836:TUP589838 UEL589836:UEL589838 UOH589836:UOH589838 UYD589836:UYD589838 VHZ589836:VHZ589838 VRV589836:VRV589838 WBR589836:WBR589838 WLN589836:WLN589838 WVJ589836:WVJ589838 B655372:B655374 IX655372:IX655374 ST655372:ST655374 ACP655372:ACP655374 AML655372:AML655374 AWH655372:AWH655374 BGD655372:BGD655374 BPZ655372:BPZ655374 BZV655372:BZV655374 CJR655372:CJR655374 CTN655372:CTN655374 DDJ655372:DDJ655374 DNF655372:DNF655374 DXB655372:DXB655374 EGX655372:EGX655374 EQT655372:EQT655374 FAP655372:FAP655374 FKL655372:FKL655374 FUH655372:FUH655374 GED655372:GED655374 GNZ655372:GNZ655374 GXV655372:GXV655374 HHR655372:HHR655374 HRN655372:HRN655374 IBJ655372:IBJ655374 ILF655372:ILF655374 IVB655372:IVB655374 JEX655372:JEX655374 JOT655372:JOT655374 JYP655372:JYP655374 KIL655372:KIL655374 KSH655372:KSH655374 LCD655372:LCD655374 LLZ655372:LLZ655374 LVV655372:LVV655374 MFR655372:MFR655374 MPN655372:MPN655374 MZJ655372:MZJ655374 NJF655372:NJF655374 NTB655372:NTB655374 OCX655372:OCX655374 OMT655372:OMT655374 OWP655372:OWP655374 PGL655372:PGL655374 PQH655372:PQH655374 QAD655372:QAD655374 QJZ655372:QJZ655374 QTV655372:QTV655374 RDR655372:RDR655374 RNN655372:RNN655374 RXJ655372:RXJ655374 SHF655372:SHF655374 SRB655372:SRB655374 TAX655372:TAX655374 TKT655372:TKT655374 TUP655372:TUP655374 UEL655372:UEL655374 UOH655372:UOH655374 UYD655372:UYD655374 VHZ655372:VHZ655374 VRV655372:VRV655374 WBR655372:WBR655374 WLN655372:WLN655374 WVJ655372:WVJ655374 B720908:B720910 IX720908:IX720910 ST720908:ST720910 ACP720908:ACP720910 AML720908:AML720910 AWH720908:AWH720910 BGD720908:BGD720910 BPZ720908:BPZ720910 BZV720908:BZV720910 CJR720908:CJR720910 CTN720908:CTN720910 DDJ720908:DDJ720910 DNF720908:DNF720910 DXB720908:DXB720910 EGX720908:EGX720910 EQT720908:EQT720910 FAP720908:FAP720910 FKL720908:FKL720910 FUH720908:FUH720910 GED720908:GED720910 GNZ720908:GNZ720910 GXV720908:GXV720910 HHR720908:HHR720910 HRN720908:HRN720910 IBJ720908:IBJ720910 ILF720908:ILF720910 IVB720908:IVB720910 JEX720908:JEX720910 JOT720908:JOT720910 JYP720908:JYP720910 KIL720908:KIL720910 KSH720908:KSH720910 LCD720908:LCD720910 LLZ720908:LLZ720910 LVV720908:LVV720910 MFR720908:MFR720910 MPN720908:MPN720910 MZJ720908:MZJ720910 NJF720908:NJF720910 NTB720908:NTB720910 OCX720908:OCX720910 OMT720908:OMT720910 OWP720908:OWP720910 PGL720908:PGL720910 PQH720908:PQH720910 QAD720908:QAD720910 QJZ720908:QJZ720910 QTV720908:QTV720910 RDR720908:RDR720910 RNN720908:RNN720910 RXJ720908:RXJ720910 SHF720908:SHF720910 SRB720908:SRB720910 TAX720908:TAX720910 TKT720908:TKT720910 TUP720908:TUP720910 UEL720908:UEL720910 UOH720908:UOH720910 UYD720908:UYD720910 VHZ720908:VHZ720910 VRV720908:VRV720910 WBR720908:WBR720910 WLN720908:WLN720910 WVJ720908:WVJ720910 B786444:B786446 IX786444:IX786446 ST786444:ST786446 ACP786444:ACP786446 AML786444:AML786446 AWH786444:AWH786446 BGD786444:BGD786446 BPZ786444:BPZ786446 BZV786444:BZV786446 CJR786444:CJR786446 CTN786444:CTN786446 DDJ786444:DDJ786446 DNF786444:DNF786446 DXB786444:DXB786446 EGX786444:EGX786446 EQT786444:EQT786446 FAP786444:FAP786446 FKL786444:FKL786446 FUH786444:FUH786446 GED786444:GED786446 GNZ786444:GNZ786446 GXV786444:GXV786446 HHR786444:HHR786446 HRN786444:HRN786446 IBJ786444:IBJ786446 ILF786444:ILF786446 IVB786444:IVB786446 JEX786444:JEX786446 JOT786444:JOT786446 JYP786444:JYP786446 KIL786444:KIL786446 KSH786444:KSH786446 LCD786444:LCD786446 LLZ786444:LLZ786446 LVV786444:LVV786446 MFR786444:MFR786446 MPN786444:MPN786446 MZJ786444:MZJ786446 NJF786444:NJF786446 NTB786444:NTB786446 OCX786444:OCX786446 OMT786444:OMT786446 OWP786444:OWP786446 PGL786444:PGL786446 PQH786444:PQH786446 QAD786444:QAD786446 QJZ786444:QJZ786446 QTV786444:QTV786446 RDR786444:RDR786446 RNN786444:RNN786446 RXJ786444:RXJ786446 SHF786444:SHF786446 SRB786444:SRB786446 TAX786444:TAX786446 TKT786444:TKT786446 TUP786444:TUP786446 UEL786444:UEL786446 UOH786444:UOH786446 UYD786444:UYD786446 VHZ786444:VHZ786446 VRV786444:VRV786446 WBR786444:WBR786446 WLN786444:WLN786446 WVJ786444:WVJ786446 B851980:B851982 IX851980:IX851982 ST851980:ST851982 ACP851980:ACP851982 AML851980:AML851982 AWH851980:AWH851982 BGD851980:BGD851982 BPZ851980:BPZ851982 BZV851980:BZV851982 CJR851980:CJR851982 CTN851980:CTN851982 DDJ851980:DDJ851982 DNF851980:DNF851982 DXB851980:DXB851982 EGX851980:EGX851982 EQT851980:EQT851982 FAP851980:FAP851982 FKL851980:FKL851982 FUH851980:FUH851982 GED851980:GED851982 GNZ851980:GNZ851982 GXV851980:GXV851982 HHR851980:HHR851982 HRN851980:HRN851982 IBJ851980:IBJ851982 ILF851980:ILF851982 IVB851980:IVB851982 JEX851980:JEX851982 JOT851980:JOT851982 JYP851980:JYP851982 KIL851980:KIL851982 KSH851980:KSH851982 LCD851980:LCD851982 LLZ851980:LLZ851982 LVV851980:LVV851982 MFR851980:MFR851982 MPN851980:MPN851982 MZJ851980:MZJ851982 NJF851980:NJF851982 NTB851980:NTB851982 OCX851980:OCX851982 OMT851980:OMT851982 OWP851980:OWP851982 PGL851980:PGL851982 PQH851980:PQH851982 QAD851980:QAD851982 QJZ851980:QJZ851982 QTV851980:QTV851982 RDR851980:RDR851982 RNN851980:RNN851982 RXJ851980:RXJ851982 SHF851980:SHF851982 SRB851980:SRB851982 TAX851980:TAX851982 TKT851980:TKT851982 TUP851980:TUP851982 UEL851980:UEL851982 UOH851980:UOH851982 UYD851980:UYD851982 VHZ851980:VHZ851982 VRV851980:VRV851982 WBR851980:WBR851982 WLN851980:WLN851982 WVJ851980:WVJ851982 B917516:B917518 IX917516:IX917518 ST917516:ST917518 ACP917516:ACP917518 AML917516:AML917518 AWH917516:AWH917518 BGD917516:BGD917518 BPZ917516:BPZ917518 BZV917516:BZV917518 CJR917516:CJR917518 CTN917516:CTN917518 DDJ917516:DDJ917518 DNF917516:DNF917518 DXB917516:DXB917518 EGX917516:EGX917518 EQT917516:EQT917518 FAP917516:FAP917518 FKL917516:FKL917518 FUH917516:FUH917518 GED917516:GED917518 GNZ917516:GNZ917518 GXV917516:GXV917518 HHR917516:HHR917518 HRN917516:HRN917518 IBJ917516:IBJ917518 ILF917516:ILF917518 IVB917516:IVB917518 JEX917516:JEX917518 JOT917516:JOT917518 JYP917516:JYP917518 KIL917516:KIL917518 KSH917516:KSH917518 LCD917516:LCD917518 LLZ917516:LLZ917518 LVV917516:LVV917518 MFR917516:MFR917518 MPN917516:MPN917518 MZJ917516:MZJ917518 NJF917516:NJF917518 NTB917516:NTB917518 OCX917516:OCX917518 OMT917516:OMT917518 OWP917516:OWP917518 PGL917516:PGL917518 PQH917516:PQH917518 QAD917516:QAD917518 QJZ917516:QJZ917518 QTV917516:QTV917518 RDR917516:RDR917518 RNN917516:RNN917518 RXJ917516:RXJ917518 SHF917516:SHF917518 SRB917516:SRB917518 TAX917516:TAX917518 TKT917516:TKT917518 TUP917516:TUP917518 UEL917516:UEL917518 UOH917516:UOH917518 UYD917516:UYD917518 VHZ917516:VHZ917518 VRV917516:VRV917518 WBR917516:WBR917518 WLN917516:WLN917518 WVJ917516:WVJ917518 B983052:B983054 IX983052:IX983054 ST983052:ST983054 ACP983052:ACP983054 AML983052:AML983054 AWH983052:AWH983054 BGD983052:BGD983054 BPZ983052:BPZ983054 BZV983052:BZV983054 CJR983052:CJR983054 CTN983052:CTN983054 DDJ983052:DDJ983054 DNF983052:DNF983054 DXB983052:DXB983054 EGX983052:EGX983054 EQT983052:EQT983054 FAP983052:FAP983054 FKL983052:FKL983054 FUH983052:FUH983054 GED983052:GED983054 GNZ983052:GNZ983054 GXV983052:GXV983054 HHR983052:HHR983054 HRN983052:HRN983054 IBJ983052:IBJ983054 ILF983052:ILF983054 IVB983052:IVB983054 JEX983052:JEX983054 JOT983052:JOT983054 JYP983052:JYP983054 KIL983052:KIL983054 KSH983052:KSH983054 LCD983052:LCD983054 LLZ983052:LLZ983054 LVV983052:LVV983054 MFR983052:MFR983054 MPN983052:MPN983054 MZJ983052:MZJ983054 NJF983052:NJF983054 NTB983052:NTB983054 OCX983052:OCX983054 OMT983052:OMT983054 OWP983052:OWP983054 PGL983052:PGL983054 PQH983052:PQH983054 QAD983052:QAD983054 QJZ983052:QJZ983054 QTV983052:QTV983054 RDR983052:RDR983054 RNN983052:RNN983054 RXJ983052:RXJ983054 SHF983052:SHF983054 SRB983052:SRB983054 TAX983052:TAX983054 TKT983052:TKT983054 TUP983052:TUP983054 UEL983052:UEL983054 UOH983052:UOH983054 UYD983052:UYD983054 VHZ983052:VHZ983054 VRV983052:VRV983054 WBR983052:WBR983054 WLN983052:WLN983054 WVJ983052:WVJ983054 B20:B22 IX20:IX22 ST20:ST22 ACP20:ACP22 AML20:AML22 AWH20:AWH22 BGD20:BGD22 BPZ20:BPZ22 BZV20:BZV22 CJR20:CJR22 CTN20:CTN22 DDJ20:DDJ22 DNF20:DNF22 DXB20:DXB22 EGX20:EGX22 EQT20:EQT22 FAP20:FAP22 FKL20:FKL22 FUH20:FUH22 GED20:GED22 GNZ20:GNZ22 GXV20:GXV22 HHR20:HHR22 HRN20:HRN22 IBJ20:IBJ22 ILF20:ILF22 IVB20:IVB22 JEX20:JEX22 JOT20:JOT22 JYP20:JYP22 KIL20:KIL22 KSH20:KSH22 LCD20:LCD22 LLZ20:LLZ22 LVV20:LVV22 MFR20:MFR22 MPN20:MPN22 MZJ20:MZJ22 NJF20:NJF22 NTB20:NTB22 OCX20:OCX22 OMT20:OMT22 OWP20:OWP22 PGL20:PGL22 PQH20:PQH22 QAD20:QAD22 QJZ20:QJZ22 QTV20:QTV22 RDR20:RDR22 RNN20:RNN22 RXJ20:RXJ22 SHF20:SHF22 SRB20:SRB22 TAX20:TAX22 TKT20:TKT22 TUP20:TUP22 UEL20:UEL22 UOH20:UOH22 UYD20:UYD22 VHZ20:VHZ22 VRV20:VRV22 WBR20:WBR22 WLN20:WLN22 WVJ20:WVJ22 B65556:B65558 IX65556:IX65558 ST65556:ST65558 ACP65556:ACP65558 AML65556:AML65558 AWH65556:AWH65558 BGD65556:BGD65558 BPZ65556:BPZ65558 BZV65556:BZV65558 CJR65556:CJR65558 CTN65556:CTN65558 DDJ65556:DDJ65558 DNF65556:DNF65558 DXB65556:DXB65558 EGX65556:EGX65558 EQT65556:EQT65558 FAP65556:FAP65558 FKL65556:FKL65558 FUH65556:FUH65558 GED65556:GED65558 GNZ65556:GNZ65558 GXV65556:GXV65558 HHR65556:HHR65558 HRN65556:HRN65558 IBJ65556:IBJ65558 ILF65556:ILF65558 IVB65556:IVB65558 JEX65556:JEX65558 JOT65556:JOT65558 JYP65556:JYP65558 KIL65556:KIL65558 KSH65556:KSH65558 LCD65556:LCD65558 LLZ65556:LLZ65558 LVV65556:LVV65558 MFR65556:MFR65558 MPN65556:MPN65558 MZJ65556:MZJ65558 NJF65556:NJF65558 NTB65556:NTB65558 OCX65556:OCX65558 OMT65556:OMT65558 OWP65556:OWP65558 PGL65556:PGL65558 PQH65556:PQH65558 QAD65556:QAD65558 QJZ65556:QJZ65558 QTV65556:QTV65558 RDR65556:RDR65558 RNN65556:RNN65558 RXJ65556:RXJ65558 SHF65556:SHF65558 SRB65556:SRB65558 TAX65556:TAX65558 TKT65556:TKT65558 TUP65556:TUP65558 UEL65556:UEL65558 UOH65556:UOH65558 UYD65556:UYD65558 VHZ65556:VHZ65558 VRV65556:VRV65558 WBR65556:WBR65558 WLN65556:WLN65558 WVJ65556:WVJ65558 B131092:B131094 IX131092:IX131094 ST131092:ST131094 ACP131092:ACP131094 AML131092:AML131094 AWH131092:AWH131094 BGD131092:BGD131094 BPZ131092:BPZ131094 BZV131092:BZV131094 CJR131092:CJR131094 CTN131092:CTN131094 DDJ131092:DDJ131094 DNF131092:DNF131094 DXB131092:DXB131094 EGX131092:EGX131094 EQT131092:EQT131094 FAP131092:FAP131094 FKL131092:FKL131094 FUH131092:FUH131094 GED131092:GED131094 GNZ131092:GNZ131094 GXV131092:GXV131094 HHR131092:HHR131094 HRN131092:HRN131094 IBJ131092:IBJ131094 ILF131092:ILF131094 IVB131092:IVB131094 JEX131092:JEX131094 JOT131092:JOT131094 JYP131092:JYP131094 KIL131092:KIL131094 KSH131092:KSH131094 LCD131092:LCD131094 LLZ131092:LLZ131094 LVV131092:LVV131094 MFR131092:MFR131094 MPN131092:MPN131094 MZJ131092:MZJ131094 NJF131092:NJF131094 NTB131092:NTB131094 OCX131092:OCX131094 OMT131092:OMT131094 OWP131092:OWP131094 PGL131092:PGL131094 PQH131092:PQH131094 QAD131092:QAD131094 QJZ131092:QJZ131094 QTV131092:QTV131094 RDR131092:RDR131094 RNN131092:RNN131094 RXJ131092:RXJ131094 SHF131092:SHF131094 SRB131092:SRB131094 TAX131092:TAX131094 TKT131092:TKT131094 TUP131092:TUP131094 UEL131092:UEL131094 UOH131092:UOH131094 UYD131092:UYD131094 VHZ131092:VHZ131094 VRV131092:VRV131094 WBR131092:WBR131094 WLN131092:WLN131094 WVJ131092:WVJ131094 B196628:B196630 IX196628:IX196630 ST196628:ST196630 ACP196628:ACP196630 AML196628:AML196630 AWH196628:AWH196630 BGD196628:BGD196630 BPZ196628:BPZ196630 BZV196628:BZV196630 CJR196628:CJR196630 CTN196628:CTN196630 DDJ196628:DDJ196630 DNF196628:DNF196630 DXB196628:DXB196630 EGX196628:EGX196630 EQT196628:EQT196630 FAP196628:FAP196630 FKL196628:FKL196630 FUH196628:FUH196630 GED196628:GED196630 GNZ196628:GNZ196630 GXV196628:GXV196630 HHR196628:HHR196630 HRN196628:HRN196630 IBJ196628:IBJ196630 ILF196628:ILF196630 IVB196628:IVB196630 JEX196628:JEX196630 JOT196628:JOT196630 JYP196628:JYP196630 KIL196628:KIL196630 KSH196628:KSH196630 LCD196628:LCD196630 LLZ196628:LLZ196630 LVV196628:LVV196630 MFR196628:MFR196630 MPN196628:MPN196630 MZJ196628:MZJ196630 NJF196628:NJF196630 NTB196628:NTB196630 OCX196628:OCX196630 OMT196628:OMT196630 OWP196628:OWP196630 PGL196628:PGL196630 PQH196628:PQH196630 QAD196628:QAD196630 QJZ196628:QJZ196630 QTV196628:QTV196630 RDR196628:RDR196630 RNN196628:RNN196630 RXJ196628:RXJ196630 SHF196628:SHF196630 SRB196628:SRB196630 TAX196628:TAX196630 TKT196628:TKT196630 TUP196628:TUP196630 UEL196628:UEL196630 UOH196628:UOH196630 UYD196628:UYD196630 VHZ196628:VHZ196630 VRV196628:VRV196630 WBR196628:WBR196630 WLN196628:WLN196630 WVJ196628:WVJ196630 B262164:B262166 IX262164:IX262166 ST262164:ST262166 ACP262164:ACP262166 AML262164:AML262166 AWH262164:AWH262166 BGD262164:BGD262166 BPZ262164:BPZ262166 BZV262164:BZV262166 CJR262164:CJR262166 CTN262164:CTN262166 DDJ262164:DDJ262166 DNF262164:DNF262166 DXB262164:DXB262166 EGX262164:EGX262166 EQT262164:EQT262166 FAP262164:FAP262166 FKL262164:FKL262166 FUH262164:FUH262166 GED262164:GED262166 GNZ262164:GNZ262166 GXV262164:GXV262166 HHR262164:HHR262166 HRN262164:HRN262166 IBJ262164:IBJ262166 ILF262164:ILF262166 IVB262164:IVB262166 JEX262164:JEX262166 JOT262164:JOT262166 JYP262164:JYP262166 KIL262164:KIL262166 KSH262164:KSH262166 LCD262164:LCD262166 LLZ262164:LLZ262166 LVV262164:LVV262166 MFR262164:MFR262166 MPN262164:MPN262166 MZJ262164:MZJ262166 NJF262164:NJF262166 NTB262164:NTB262166 OCX262164:OCX262166 OMT262164:OMT262166 OWP262164:OWP262166 PGL262164:PGL262166 PQH262164:PQH262166 QAD262164:QAD262166 QJZ262164:QJZ262166 QTV262164:QTV262166 RDR262164:RDR262166 RNN262164:RNN262166 RXJ262164:RXJ262166 SHF262164:SHF262166 SRB262164:SRB262166 TAX262164:TAX262166 TKT262164:TKT262166 TUP262164:TUP262166 UEL262164:UEL262166 UOH262164:UOH262166 UYD262164:UYD262166 VHZ262164:VHZ262166 VRV262164:VRV262166 WBR262164:WBR262166 WLN262164:WLN262166 WVJ262164:WVJ262166 B327700:B327702 IX327700:IX327702 ST327700:ST327702 ACP327700:ACP327702 AML327700:AML327702 AWH327700:AWH327702 BGD327700:BGD327702 BPZ327700:BPZ327702 BZV327700:BZV327702 CJR327700:CJR327702 CTN327700:CTN327702 DDJ327700:DDJ327702 DNF327700:DNF327702 DXB327700:DXB327702 EGX327700:EGX327702 EQT327700:EQT327702 FAP327700:FAP327702 FKL327700:FKL327702 FUH327700:FUH327702 GED327700:GED327702 GNZ327700:GNZ327702 GXV327700:GXV327702 HHR327700:HHR327702 HRN327700:HRN327702 IBJ327700:IBJ327702 ILF327700:ILF327702 IVB327700:IVB327702 JEX327700:JEX327702 JOT327700:JOT327702 JYP327700:JYP327702 KIL327700:KIL327702 KSH327700:KSH327702 LCD327700:LCD327702 LLZ327700:LLZ327702 LVV327700:LVV327702 MFR327700:MFR327702 MPN327700:MPN327702 MZJ327700:MZJ327702 NJF327700:NJF327702 NTB327700:NTB327702 OCX327700:OCX327702 OMT327700:OMT327702 OWP327700:OWP327702 PGL327700:PGL327702 PQH327700:PQH327702 QAD327700:QAD327702 QJZ327700:QJZ327702 QTV327700:QTV327702 RDR327700:RDR327702 RNN327700:RNN327702 RXJ327700:RXJ327702 SHF327700:SHF327702 SRB327700:SRB327702 TAX327700:TAX327702 TKT327700:TKT327702 TUP327700:TUP327702 UEL327700:UEL327702 UOH327700:UOH327702 UYD327700:UYD327702 VHZ327700:VHZ327702 VRV327700:VRV327702 WBR327700:WBR327702 WLN327700:WLN327702 WVJ327700:WVJ327702 B393236:B393238 IX393236:IX393238 ST393236:ST393238 ACP393236:ACP393238 AML393236:AML393238 AWH393236:AWH393238 BGD393236:BGD393238 BPZ393236:BPZ393238 BZV393236:BZV393238 CJR393236:CJR393238 CTN393236:CTN393238 DDJ393236:DDJ393238 DNF393236:DNF393238 DXB393236:DXB393238 EGX393236:EGX393238 EQT393236:EQT393238 FAP393236:FAP393238 FKL393236:FKL393238 FUH393236:FUH393238 GED393236:GED393238 GNZ393236:GNZ393238 GXV393236:GXV393238 HHR393236:HHR393238 HRN393236:HRN393238 IBJ393236:IBJ393238 ILF393236:ILF393238 IVB393236:IVB393238 JEX393236:JEX393238 JOT393236:JOT393238 JYP393236:JYP393238 KIL393236:KIL393238 KSH393236:KSH393238 LCD393236:LCD393238 LLZ393236:LLZ393238 LVV393236:LVV393238 MFR393236:MFR393238 MPN393236:MPN393238 MZJ393236:MZJ393238 NJF393236:NJF393238 NTB393236:NTB393238 OCX393236:OCX393238 OMT393236:OMT393238 OWP393236:OWP393238 PGL393236:PGL393238 PQH393236:PQH393238 QAD393236:QAD393238 QJZ393236:QJZ393238 QTV393236:QTV393238 RDR393236:RDR393238 RNN393236:RNN393238 RXJ393236:RXJ393238 SHF393236:SHF393238 SRB393236:SRB393238 TAX393236:TAX393238 TKT393236:TKT393238 TUP393236:TUP393238 UEL393236:UEL393238 UOH393236:UOH393238 UYD393236:UYD393238 VHZ393236:VHZ393238 VRV393236:VRV393238 WBR393236:WBR393238 WLN393236:WLN393238 WVJ393236:WVJ393238 B458772:B458774 IX458772:IX458774 ST458772:ST458774 ACP458772:ACP458774 AML458772:AML458774 AWH458772:AWH458774 BGD458772:BGD458774 BPZ458772:BPZ458774 BZV458772:BZV458774 CJR458772:CJR458774 CTN458772:CTN458774 DDJ458772:DDJ458774 DNF458772:DNF458774 DXB458772:DXB458774 EGX458772:EGX458774 EQT458772:EQT458774 FAP458772:FAP458774 FKL458772:FKL458774 FUH458772:FUH458774 GED458772:GED458774 GNZ458772:GNZ458774 GXV458772:GXV458774 HHR458772:HHR458774 HRN458772:HRN458774 IBJ458772:IBJ458774 ILF458772:ILF458774 IVB458772:IVB458774 JEX458772:JEX458774 JOT458772:JOT458774 JYP458772:JYP458774 KIL458772:KIL458774 KSH458772:KSH458774 LCD458772:LCD458774 LLZ458772:LLZ458774 LVV458772:LVV458774 MFR458772:MFR458774 MPN458772:MPN458774 MZJ458772:MZJ458774 NJF458772:NJF458774 NTB458772:NTB458774 OCX458772:OCX458774 OMT458772:OMT458774 OWP458772:OWP458774 PGL458772:PGL458774 PQH458772:PQH458774 QAD458772:QAD458774 QJZ458772:QJZ458774 QTV458772:QTV458774 RDR458772:RDR458774 RNN458772:RNN458774 RXJ458772:RXJ458774 SHF458772:SHF458774 SRB458772:SRB458774 TAX458772:TAX458774 TKT458772:TKT458774 TUP458772:TUP458774 UEL458772:UEL458774 UOH458772:UOH458774 UYD458772:UYD458774 VHZ458772:VHZ458774 VRV458772:VRV458774 WBR458772:WBR458774 WLN458772:WLN458774 WVJ458772:WVJ458774 B524308:B524310 IX524308:IX524310 ST524308:ST524310 ACP524308:ACP524310 AML524308:AML524310 AWH524308:AWH524310 BGD524308:BGD524310 BPZ524308:BPZ524310 BZV524308:BZV524310 CJR524308:CJR524310 CTN524308:CTN524310 DDJ524308:DDJ524310 DNF524308:DNF524310 DXB524308:DXB524310 EGX524308:EGX524310 EQT524308:EQT524310 FAP524308:FAP524310 FKL524308:FKL524310 FUH524308:FUH524310 GED524308:GED524310 GNZ524308:GNZ524310 GXV524308:GXV524310 HHR524308:HHR524310 HRN524308:HRN524310 IBJ524308:IBJ524310 ILF524308:ILF524310 IVB524308:IVB524310 JEX524308:JEX524310 JOT524308:JOT524310 JYP524308:JYP524310 KIL524308:KIL524310 KSH524308:KSH524310 LCD524308:LCD524310 LLZ524308:LLZ524310 LVV524308:LVV524310 MFR524308:MFR524310 MPN524308:MPN524310 MZJ524308:MZJ524310 NJF524308:NJF524310 NTB524308:NTB524310 OCX524308:OCX524310 OMT524308:OMT524310 OWP524308:OWP524310 PGL524308:PGL524310 PQH524308:PQH524310 QAD524308:QAD524310 QJZ524308:QJZ524310 QTV524308:QTV524310 RDR524308:RDR524310 RNN524308:RNN524310 RXJ524308:RXJ524310 SHF524308:SHF524310 SRB524308:SRB524310 TAX524308:TAX524310 TKT524308:TKT524310 TUP524308:TUP524310 UEL524308:UEL524310 UOH524308:UOH524310 UYD524308:UYD524310 VHZ524308:VHZ524310 VRV524308:VRV524310 WBR524308:WBR524310 WLN524308:WLN524310 WVJ524308:WVJ524310 B589844:B589846 IX589844:IX589846 ST589844:ST589846 ACP589844:ACP589846 AML589844:AML589846 AWH589844:AWH589846 BGD589844:BGD589846 BPZ589844:BPZ589846 BZV589844:BZV589846 CJR589844:CJR589846 CTN589844:CTN589846 DDJ589844:DDJ589846 DNF589844:DNF589846 DXB589844:DXB589846 EGX589844:EGX589846 EQT589844:EQT589846 FAP589844:FAP589846 FKL589844:FKL589846 FUH589844:FUH589846 GED589844:GED589846 GNZ589844:GNZ589846 GXV589844:GXV589846 HHR589844:HHR589846 HRN589844:HRN589846 IBJ589844:IBJ589846 ILF589844:ILF589846 IVB589844:IVB589846 JEX589844:JEX589846 JOT589844:JOT589846 JYP589844:JYP589846 KIL589844:KIL589846 KSH589844:KSH589846 LCD589844:LCD589846 LLZ589844:LLZ589846 LVV589844:LVV589846 MFR589844:MFR589846 MPN589844:MPN589846 MZJ589844:MZJ589846 NJF589844:NJF589846 NTB589844:NTB589846 OCX589844:OCX589846 OMT589844:OMT589846 OWP589844:OWP589846 PGL589844:PGL589846 PQH589844:PQH589846 QAD589844:QAD589846 QJZ589844:QJZ589846 QTV589844:QTV589846 RDR589844:RDR589846 RNN589844:RNN589846 RXJ589844:RXJ589846 SHF589844:SHF589846 SRB589844:SRB589846 TAX589844:TAX589846 TKT589844:TKT589846 TUP589844:TUP589846 UEL589844:UEL589846 UOH589844:UOH589846 UYD589844:UYD589846 VHZ589844:VHZ589846 VRV589844:VRV589846 WBR589844:WBR589846 WLN589844:WLN589846 WVJ589844:WVJ589846 B655380:B655382 IX655380:IX655382 ST655380:ST655382 ACP655380:ACP655382 AML655380:AML655382 AWH655380:AWH655382 BGD655380:BGD655382 BPZ655380:BPZ655382 BZV655380:BZV655382 CJR655380:CJR655382 CTN655380:CTN655382 DDJ655380:DDJ655382 DNF655380:DNF655382 DXB655380:DXB655382 EGX655380:EGX655382 EQT655380:EQT655382 FAP655380:FAP655382 FKL655380:FKL655382 FUH655380:FUH655382 GED655380:GED655382 GNZ655380:GNZ655382 GXV655380:GXV655382 HHR655380:HHR655382 HRN655380:HRN655382 IBJ655380:IBJ655382 ILF655380:ILF655382 IVB655380:IVB655382 JEX655380:JEX655382 JOT655380:JOT655382 JYP655380:JYP655382 KIL655380:KIL655382 KSH655380:KSH655382 LCD655380:LCD655382 LLZ655380:LLZ655382 LVV655380:LVV655382 MFR655380:MFR655382 MPN655380:MPN655382 MZJ655380:MZJ655382 NJF655380:NJF655382 NTB655380:NTB655382 OCX655380:OCX655382 OMT655380:OMT655382 OWP655380:OWP655382 PGL655380:PGL655382 PQH655380:PQH655382 QAD655380:QAD655382 QJZ655380:QJZ655382 QTV655380:QTV655382 RDR655380:RDR655382 RNN655380:RNN655382 RXJ655380:RXJ655382 SHF655380:SHF655382 SRB655380:SRB655382 TAX655380:TAX655382 TKT655380:TKT655382 TUP655380:TUP655382 UEL655380:UEL655382 UOH655380:UOH655382 UYD655380:UYD655382 VHZ655380:VHZ655382 VRV655380:VRV655382 WBR655380:WBR655382 WLN655380:WLN655382 WVJ655380:WVJ655382 B720916:B720918 IX720916:IX720918 ST720916:ST720918 ACP720916:ACP720918 AML720916:AML720918 AWH720916:AWH720918 BGD720916:BGD720918 BPZ720916:BPZ720918 BZV720916:BZV720918 CJR720916:CJR720918 CTN720916:CTN720918 DDJ720916:DDJ720918 DNF720916:DNF720918 DXB720916:DXB720918 EGX720916:EGX720918 EQT720916:EQT720918 FAP720916:FAP720918 FKL720916:FKL720918 FUH720916:FUH720918 GED720916:GED720918 GNZ720916:GNZ720918 GXV720916:GXV720918 HHR720916:HHR720918 HRN720916:HRN720918 IBJ720916:IBJ720918 ILF720916:ILF720918 IVB720916:IVB720918 JEX720916:JEX720918 JOT720916:JOT720918 JYP720916:JYP720918 KIL720916:KIL720918 KSH720916:KSH720918 LCD720916:LCD720918 LLZ720916:LLZ720918 LVV720916:LVV720918 MFR720916:MFR720918 MPN720916:MPN720918 MZJ720916:MZJ720918 NJF720916:NJF720918 NTB720916:NTB720918 OCX720916:OCX720918 OMT720916:OMT720918 OWP720916:OWP720918 PGL720916:PGL720918 PQH720916:PQH720918 QAD720916:QAD720918 QJZ720916:QJZ720918 QTV720916:QTV720918 RDR720916:RDR720918 RNN720916:RNN720918 RXJ720916:RXJ720918 SHF720916:SHF720918 SRB720916:SRB720918 TAX720916:TAX720918 TKT720916:TKT720918 TUP720916:TUP720918 UEL720916:UEL720918 UOH720916:UOH720918 UYD720916:UYD720918 VHZ720916:VHZ720918 VRV720916:VRV720918 WBR720916:WBR720918 WLN720916:WLN720918 WVJ720916:WVJ720918 B786452:B786454 IX786452:IX786454 ST786452:ST786454 ACP786452:ACP786454 AML786452:AML786454 AWH786452:AWH786454 BGD786452:BGD786454 BPZ786452:BPZ786454 BZV786452:BZV786454 CJR786452:CJR786454 CTN786452:CTN786454 DDJ786452:DDJ786454 DNF786452:DNF786454 DXB786452:DXB786454 EGX786452:EGX786454 EQT786452:EQT786454 FAP786452:FAP786454 FKL786452:FKL786454 FUH786452:FUH786454 GED786452:GED786454 GNZ786452:GNZ786454 GXV786452:GXV786454 HHR786452:HHR786454 HRN786452:HRN786454 IBJ786452:IBJ786454 ILF786452:ILF786454 IVB786452:IVB786454 JEX786452:JEX786454 JOT786452:JOT786454 JYP786452:JYP786454 KIL786452:KIL786454 KSH786452:KSH786454 LCD786452:LCD786454 LLZ786452:LLZ786454 LVV786452:LVV786454 MFR786452:MFR786454 MPN786452:MPN786454 MZJ786452:MZJ786454 NJF786452:NJF786454 NTB786452:NTB786454 OCX786452:OCX786454 OMT786452:OMT786454 OWP786452:OWP786454 PGL786452:PGL786454 PQH786452:PQH786454 QAD786452:QAD786454 QJZ786452:QJZ786454 QTV786452:QTV786454 RDR786452:RDR786454 RNN786452:RNN786454 RXJ786452:RXJ786454 SHF786452:SHF786454 SRB786452:SRB786454 TAX786452:TAX786454 TKT786452:TKT786454 TUP786452:TUP786454 UEL786452:UEL786454 UOH786452:UOH786454 UYD786452:UYD786454 VHZ786452:VHZ786454 VRV786452:VRV786454 WBR786452:WBR786454 WLN786452:WLN786454 WVJ786452:WVJ786454 B851988:B851990 IX851988:IX851990 ST851988:ST851990 ACP851988:ACP851990 AML851988:AML851990 AWH851988:AWH851990 BGD851988:BGD851990 BPZ851988:BPZ851990 BZV851988:BZV851990 CJR851988:CJR851990 CTN851988:CTN851990 DDJ851988:DDJ851990 DNF851988:DNF851990 DXB851988:DXB851990 EGX851988:EGX851990 EQT851988:EQT851990 FAP851988:FAP851990 FKL851988:FKL851990 FUH851988:FUH851990 GED851988:GED851990 GNZ851988:GNZ851990 GXV851988:GXV851990 HHR851988:HHR851990 HRN851988:HRN851990 IBJ851988:IBJ851990 ILF851988:ILF851990 IVB851988:IVB851990 JEX851988:JEX851990 JOT851988:JOT851990 JYP851988:JYP851990 KIL851988:KIL851990 KSH851988:KSH851990 LCD851988:LCD851990 LLZ851988:LLZ851990 LVV851988:LVV851990 MFR851988:MFR851990 MPN851988:MPN851990 MZJ851988:MZJ851990 NJF851988:NJF851990 NTB851988:NTB851990 OCX851988:OCX851990 OMT851988:OMT851990 OWP851988:OWP851990 PGL851988:PGL851990 PQH851988:PQH851990 QAD851988:QAD851990 QJZ851988:QJZ851990 QTV851988:QTV851990 RDR851988:RDR851990 RNN851988:RNN851990 RXJ851988:RXJ851990 SHF851988:SHF851990 SRB851988:SRB851990 TAX851988:TAX851990 TKT851988:TKT851990 TUP851988:TUP851990 UEL851988:UEL851990 UOH851988:UOH851990 UYD851988:UYD851990 VHZ851988:VHZ851990 VRV851988:VRV851990 WBR851988:WBR851990 WLN851988:WLN851990 WVJ851988:WVJ851990 B917524:B917526 IX917524:IX917526 ST917524:ST917526 ACP917524:ACP917526 AML917524:AML917526 AWH917524:AWH917526 BGD917524:BGD917526 BPZ917524:BPZ917526 BZV917524:BZV917526 CJR917524:CJR917526 CTN917524:CTN917526 DDJ917524:DDJ917526 DNF917524:DNF917526 DXB917524:DXB917526 EGX917524:EGX917526 EQT917524:EQT917526 FAP917524:FAP917526 FKL917524:FKL917526 FUH917524:FUH917526 GED917524:GED917526 GNZ917524:GNZ917526 GXV917524:GXV917526 HHR917524:HHR917526 HRN917524:HRN917526 IBJ917524:IBJ917526 ILF917524:ILF917526 IVB917524:IVB917526 JEX917524:JEX917526 JOT917524:JOT917526 JYP917524:JYP917526 KIL917524:KIL917526 KSH917524:KSH917526 LCD917524:LCD917526 LLZ917524:LLZ917526 LVV917524:LVV917526 MFR917524:MFR917526 MPN917524:MPN917526 MZJ917524:MZJ917526 NJF917524:NJF917526 NTB917524:NTB917526 OCX917524:OCX917526 OMT917524:OMT917526 OWP917524:OWP917526 PGL917524:PGL917526 PQH917524:PQH917526 QAD917524:QAD917526 QJZ917524:QJZ917526 QTV917524:QTV917526 RDR917524:RDR917526 RNN917524:RNN917526 RXJ917524:RXJ917526 SHF917524:SHF917526 SRB917524:SRB917526 TAX917524:TAX917526 TKT917524:TKT917526 TUP917524:TUP917526 UEL917524:UEL917526 UOH917524:UOH917526 UYD917524:UYD917526 VHZ917524:VHZ917526 VRV917524:VRV917526 WBR917524:WBR917526 WLN917524:WLN917526 WVJ917524:WVJ917526 B983060:B983062 IX983060:IX983062 ST983060:ST983062 ACP983060:ACP983062 AML983060:AML983062 AWH983060:AWH983062 BGD983060:BGD983062 BPZ983060:BPZ983062 BZV983060:BZV983062 CJR983060:CJR983062 CTN983060:CTN983062 DDJ983060:DDJ983062 DNF983060:DNF983062 DXB983060:DXB983062 EGX983060:EGX983062 EQT983060:EQT983062 FAP983060:FAP983062 FKL983060:FKL983062 FUH983060:FUH983062 GED983060:GED983062 GNZ983060:GNZ983062 GXV983060:GXV983062 HHR983060:HHR983062 HRN983060:HRN983062 IBJ983060:IBJ983062 ILF983060:ILF983062 IVB983060:IVB983062 JEX983060:JEX983062 JOT983060:JOT983062 JYP983060:JYP983062 KIL983060:KIL983062 KSH983060:KSH983062 LCD983060:LCD983062 LLZ983060:LLZ983062 LVV983060:LVV983062 MFR983060:MFR983062 MPN983060:MPN983062 MZJ983060:MZJ983062 NJF983060:NJF983062 NTB983060:NTB983062 OCX983060:OCX983062 OMT983060:OMT983062 OWP983060:OWP983062 PGL983060:PGL983062 PQH983060:PQH983062 QAD983060:QAD983062 QJZ983060:QJZ983062 QTV983060:QTV983062 RDR983060:RDR983062 RNN983060:RNN983062 RXJ983060:RXJ983062 SHF983060:SHF983062 SRB983060:SRB983062 TAX983060:TAX983062 TKT983060:TKT983062 TUP983060:TUP983062 UEL983060:UEL983062 UOH983060:UOH983062 UYD983060:UYD983062 VHZ983060:VHZ983062 VRV983060:VRV983062 WBR983060:WBR983062 WLN983060:WLN983062 WVJ983060:WVJ983062">
      <formula1>0</formula1>
    </dataValidation>
  </dataValidations>
  <pageMargins left="0.36" right="0.21" top="1" bottom="1" header="0.5" footer="0.5"/>
  <pageSetup paperSize="9" scale="91" orientation="portrait" r:id="rId1"/>
  <headerFooter alignWithMargins="0"/>
</worksheet>
</file>

<file path=xl/worksheets/sheet21.xml><?xml version="1.0" encoding="utf-8"?>
<worksheet xmlns="http://schemas.openxmlformats.org/spreadsheetml/2006/main" xmlns:r="http://schemas.openxmlformats.org/officeDocument/2006/relationships">
  <sheetPr codeName="Лист20"/>
  <dimension ref="A1:K49"/>
  <sheetViews>
    <sheetView topLeftCell="A34" workbookViewId="0">
      <selection activeCell="I1" sqref="I1"/>
    </sheetView>
  </sheetViews>
  <sheetFormatPr defaultColWidth="9" defaultRowHeight="12.75"/>
  <cols>
    <col min="1" max="1" width="5" style="776" customWidth="1"/>
    <col min="2" max="3" width="9" style="639" customWidth="1"/>
    <col min="4" max="4" width="25.42578125" style="639" customWidth="1"/>
    <col min="5" max="5" width="18.85546875" style="639" customWidth="1"/>
    <col min="6" max="6" width="15.42578125" style="639" bestFit="1" customWidth="1"/>
    <col min="7" max="7" width="9" style="639" customWidth="1"/>
    <col min="8" max="8" width="14.140625" style="639" customWidth="1"/>
    <col min="9" max="11" width="15" style="639" customWidth="1"/>
    <col min="12" max="12" width="0.140625" customWidth="1"/>
  </cols>
  <sheetData>
    <row r="1" spans="1:11" ht="66.75" customHeight="1">
      <c r="I1"/>
      <c r="J1"/>
      <c r="K1"/>
    </row>
    <row r="2" spans="1:11" ht="15.75" customHeight="1">
      <c r="A2" s="1046" t="s">
        <v>254</v>
      </c>
      <c r="B2" s="1046"/>
      <c r="C2" s="1046"/>
      <c r="D2" s="1046"/>
      <c r="E2" s="1046"/>
      <c r="F2" s="1046"/>
      <c r="G2" s="1046"/>
      <c r="H2" s="1046"/>
      <c r="I2" s="1050" t="s">
        <v>2680</v>
      </c>
      <c r="J2" s="1050"/>
      <c r="K2" s="1050"/>
    </row>
    <row r="3" spans="1:11" ht="13.5" thickBot="1">
      <c r="A3" s="777">
        <f>[1]Balance!A4</f>
        <v>42338</v>
      </c>
      <c r="B3" s="724"/>
      <c r="C3" s="724"/>
      <c r="D3" s="724"/>
      <c r="E3" s="724"/>
      <c r="F3" s="724"/>
      <c r="G3" s="724"/>
      <c r="H3" s="778"/>
      <c r="I3" s="779"/>
      <c r="J3" s="669" t="str">
        <f>[1]Balance!B3</f>
        <v>(Банк)</v>
      </c>
      <c r="K3" s="780"/>
    </row>
    <row r="4" spans="1:11" ht="13.5" thickBot="1">
      <c r="A4" s="1047"/>
      <c r="B4" s="1048"/>
      <c r="C4" s="1048"/>
      <c r="D4" s="1048"/>
      <c r="E4" s="1048"/>
      <c r="F4" s="1048"/>
      <c r="G4" s="1048"/>
      <c r="H4" s="1048"/>
      <c r="I4" s="1048"/>
      <c r="J4" s="1048"/>
      <c r="K4" s="1049"/>
    </row>
    <row r="5" spans="1:11" ht="29.25" customHeight="1">
      <c r="A5" s="781" t="s">
        <v>938</v>
      </c>
      <c r="B5" s="1031" t="s">
        <v>462</v>
      </c>
      <c r="C5" s="1032"/>
      <c r="D5" s="1032"/>
      <c r="E5" s="1033"/>
      <c r="F5" s="1031" t="s">
        <v>463</v>
      </c>
      <c r="G5" s="1032"/>
      <c r="H5" s="1033"/>
      <c r="I5" s="782" t="s">
        <v>1969</v>
      </c>
      <c r="J5" s="782" t="s">
        <v>697</v>
      </c>
      <c r="K5" s="783" t="s">
        <v>698</v>
      </c>
    </row>
    <row r="6" spans="1:11">
      <c r="A6" s="784"/>
      <c r="B6" s="1034" t="s">
        <v>699</v>
      </c>
      <c r="C6" s="1035"/>
      <c r="D6" s="1035"/>
      <c r="E6" s="1036"/>
      <c r="F6" s="1034" t="s">
        <v>700</v>
      </c>
      <c r="G6" s="1035"/>
      <c r="H6" s="1036"/>
      <c r="I6" s="785" t="s">
        <v>675</v>
      </c>
      <c r="J6" s="785" t="s">
        <v>676</v>
      </c>
      <c r="K6" s="786" t="s">
        <v>731</v>
      </c>
    </row>
    <row r="7" spans="1:11" ht="13.5" thickBot="1">
      <c r="A7" s="787">
        <v>1</v>
      </c>
      <c r="B7" s="1028" t="s">
        <v>418</v>
      </c>
      <c r="C7" s="1029"/>
      <c r="D7" s="1029"/>
      <c r="E7" s="1029"/>
      <c r="F7" s="1029"/>
      <c r="G7" s="1029"/>
      <c r="H7" s="1029"/>
      <c r="I7" s="1029"/>
      <c r="J7" s="1029"/>
      <c r="K7" s="1030"/>
    </row>
    <row r="8" spans="1:11" ht="12.75" customHeight="1">
      <c r="A8" s="1083" t="s">
        <v>1952</v>
      </c>
      <c r="B8" s="1085" t="s">
        <v>2039</v>
      </c>
      <c r="C8" s="1086"/>
      <c r="D8" s="1086"/>
      <c r="E8" s="1087"/>
      <c r="F8" s="1037" t="s">
        <v>1382</v>
      </c>
      <c r="G8" s="1038"/>
      <c r="H8" s="1039"/>
      <c r="I8" s="1064" t="e">
        <f>'Bank Capital Calc.'!E44/'Calculation of Risk Weighted As'!G46</f>
        <v>#VALUE!</v>
      </c>
      <c r="J8" s="788" t="s">
        <v>212</v>
      </c>
      <c r="K8" s="1064" t="e">
        <f>IF(I8="",0-J9,(IF((I8-J9)&gt;0,"",I8-J9)))</f>
        <v>#VALUE!</v>
      </c>
    </row>
    <row r="9" spans="1:11" ht="32.25" customHeight="1" thickBot="1">
      <c r="A9" s="1084"/>
      <c r="B9" s="1096"/>
      <c r="C9" s="1097"/>
      <c r="D9" s="1097"/>
      <c r="E9" s="1098"/>
      <c r="F9" s="1040" t="s">
        <v>213</v>
      </c>
      <c r="G9" s="1041"/>
      <c r="H9" s="1042"/>
      <c r="I9" s="1065"/>
      <c r="J9" s="789">
        <v>0.1</v>
      </c>
      <c r="K9" s="1065"/>
    </row>
    <row r="10" spans="1:11" ht="12.75" customHeight="1">
      <c r="A10" s="1083" t="s">
        <v>1954</v>
      </c>
      <c r="B10" s="1085" t="s">
        <v>214</v>
      </c>
      <c r="C10" s="1086"/>
      <c r="D10" s="1086"/>
      <c r="E10" s="1087"/>
      <c r="F10" s="1043" t="s">
        <v>403</v>
      </c>
      <c r="G10" s="1044"/>
      <c r="H10" s="1045"/>
      <c r="I10" s="1062" t="e">
        <f>'Bank Capital Calc.'!E32/'Calculation of Risk Weighted As'!G46</f>
        <v>#VALUE!</v>
      </c>
      <c r="J10" s="788" t="s">
        <v>212</v>
      </c>
      <c r="K10" s="1064" t="e">
        <f t="shared" ref="K10" si="0">IF(I10="",0-J11,(IF((I10-J11)&gt;0,"",I10-J11)))</f>
        <v>#VALUE!</v>
      </c>
    </row>
    <row r="11" spans="1:11" ht="12.75" customHeight="1" thickBot="1">
      <c r="A11" s="1084"/>
      <c r="B11" s="1088"/>
      <c r="C11" s="1089"/>
      <c r="D11" s="1089"/>
      <c r="E11" s="1090"/>
      <c r="F11" s="1040" t="s">
        <v>213</v>
      </c>
      <c r="G11" s="1041"/>
      <c r="H11" s="1042"/>
      <c r="I11" s="1091"/>
      <c r="J11" s="789">
        <v>7.4999999999999997E-2</v>
      </c>
      <c r="K11" s="1065"/>
    </row>
    <row r="12" spans="1:11" ht="12.75" customHeight="1">
      <c r="A12" s="1092">
        <v>1.3</v>
      </c>
      <c r="B12" s="1093" t="s">
        <v>404</v>
      </c>
      <c r="C12" s="1094"/>
      <c r="D12" s="1094"/>
      <c r="E12" s="1095"/>
      <c r="F12" s="1043" t="s">
        <v>403</v>
      </c>
      <c r="G12" s="1044"/>
      <c r="H12" s="1045"/>
      <c r="I12" s="1099" t="e">
        <f>'Bank Capital Calc.'!E56</f>
        <v>#VALUE!</v>
      </c>
      <c r="J12" s="790" t="s">
        <v>212</v>
      </c>
      <c r="K12" s="1064" t="e">
        <f t="shared" ref="K12" si="1">IF(I12="",0-J13,(IF((I12-J13)&gt;0,"",I12-J13)))</f>
        <v>#VALUE!</v>
      </c>
    </row>
    <row r="13" spans="1:11" ht="38.25" customHeight="1">
      <c r="A13" s="1084"/>
      <c r="B13" s="1096"/>
      <c r="C13" s="1097"/>
      <c r="D13" s="1097"/>
      <c r="E13" s="1098"/>
      <c r="F13" s="1037" t="s">
        <v>2705</v>
      </c>
      <c r="G13" s="1038"/>
      <c r="H13" s="1039"/>
      <c r="I13" s="1100"/>
      <c r="J13" s="790">
        <v>0.06</v>
      </c>
      <c r="K13" s="1065"/>
    </row>
    <row r="14" spans="1:11" ht="31.5" customHeight="1" thickBot="1">
      <c r="A14" s="787">
        <v>2</v>
      </c>
      <c r="B14" s="1028" t="s">
        <v>405</v>
      </c>
      <c r="C14" s="1029"/>
      <c r="D14" s="1029"/>
      <c r="E14" s="1029"/>
      <c r="F14" s="1029"/>
      <c r="G14" s="1029"/>
      <c r="H14" s="1029"/>
      <c r="I14" s="1029"/>
      <c r="J14" s="1029"/>
      <c r="K14" s="1030"/>
    </row>
    <row r="15" spans="1:11">
      <c r="A15" s="1083" t="s">
        <v>406</v>
      </c>
      <c r="B15" s="1075" t="s">
        <v>1877</v>
      </c>
      <c r="C15" s="1076"/>
      <c r="D15" s="1076"/>
      <c r="E15" s="1077"/>
      <c r="F15" s="1102" t="s">
        <v>1878</v>
      </c>
      <c r="G15" s="1103"/>
      <c r="H15" s="1104"/>
      <c r="I15" s="1023" t="e">
        <f>('Bank Assets Analysis'!C9+'Bank Assets Analysis'!C10+'Bank Assets Analysis'!C11+'Bank Assets Analysis'!C12+'Bank Assets Analysis'!D10+'Bank Assets Analysis'!D11+'Bank Assets Analysis'!D12)/('Bank Liabilities Analysis'!C20+'Bank Liabilities Analysis'!D20+'Bank Liabilities Analysis'!C22+'Bank Liabilities Analysis'!D22+'Bank Liabilities Analysis'!C21+'Bank Liabilities Analysis'!C25+'Bank Liabilities Analysis'!D25)</f>
        <v>#VALUE!</v>
      </c>
      <c r="J15" s="791" t="s">
        <v>212</v>
      </c>
      <c r="K15" s="1064" t="e">
        <f t="shared" ref="K15" si="2">IF(I15="",0-J16,(IF((I15-J16)&gt;0,"",I15-J16)))</f>
        <v>#VALUE!</v>
      </c>
    </row>
    <row r="16" spans="1:11" ht="31.5" customHeight="1" thickBot="1">
      <c r="A16" s="1084"/>
      <c r="B16" s="1078"/>
      <c r="C16" s="1079"/>
      <c r="D16" s="1079"/>
      <c r="E16" s="1080"/>
      <c r="F16" s="792" t="s">
        <v>969</v>
      </c>
      <c r="G16" s="792"/>
      <c r="H16" s="793"/>
      <c r="I16" s="1024"/>
      <c r="J16" s="794">
        <v>0.3</v>
      </c>
      <c r="K16" s="1065"/>
    </row>
    <row r="17" spans="1:11">
      <c r="A17" s="1083" t="s">
        <v>2706</v>
      </c>
      <c r="B17" s="1075" t="s">
        <v>2707</v>
      </c>
      <c r="C17" s="1076"/>
      <c r="D17" s="1076"/>
      <c r="E17" s="1077"/>
      <c r="F17" s="1101" t="s">
        <v>2708</v>
      </c>
      <c r="G17" s="1101"/>
      <c r="H17" s="1101"/>
      <c r="I17" s="1081" t="e">
        <f>'Liquidity Analysis'!B38</f>
        <v>#VALUE!</v>
      </c>
      <c r="J17" s="795" t="s">
        <v>212</v>
      </c>
      <c r="K17" s="1064" t="e">
        <f t="shared" ref="K17" si="3">IF(I17="",0-J18,(IF((I17-J18)&gt;0,"",I17-J18)))</f>
        <v>#VALUE!</v>
      </c>
    </row>
    <row r="18" spans="1:11" ht="13.5" thickBot="1">
      <c r="A18" s="1084"/>
      <c r="B18" s="1078"/>
      <c r="C18" s="1079"/>
      <c r="D18" s="1079"/>
      <c r="E18" s="1080"/>
      <c r="F18" s="1101" t="s">
        <v>2709</v>
      </c>
      <c r="G18" s="1101"/>
      <c r="H18" s="1101"/>
      <c r="I18" s="1082"/>
      <c r="J18" s="796">
        <v>0.8</v>
      </c>
      <c r="K18" s="1065"/>
    </row>
    <row r="19" spans="1:11">
      <c r="A19" s="1083" t="s">
        <v>2710</v>
      </c>
      <c r="B19" s="1075" t="s">
        <v>2711</v>
      </c>
      <c r="C19" s="1076"/>
      <c r="D19" s="1076"/>
      <c r="E19" s="1077"/>
      <c r="F19" s="1110" t="s">
        <v>2712</v>
      </c>
      <c r="G19" s="1110"/>
      <c r="H19" s="1110"/>
      <c r="I19" s="1081" t="e">
        <f>'Liquidity Analysis'!B41</f>
        <v>#VALUE!</v>
      </c>
      <c r="J19" s="791" t="s">
        <v>212</v>
      </c>
      <c r="K19" s="1064" t="e">
        <f t="shared" ref="K19" si="4">IF(I19="",0-J20,(IF((I19-J20)&gt;0,"",I19-J20)))</f>
        <v>#VALUE!</v>
      </c>
    </row>
    <row r="20" spans="1:11">
      <c r="A20" s="1084"/>
      <c r="B20" s="1078"/>
      <c r="C20" s="1079"/>
      <c r="D20" s="1079"/>
      <c r="E20" s="1080"/>
      <c r="F20" s="1110" t="s">
        <v>2713</v>
      </c>
      <c r="G20" s="1110"/>
      <c r="H20" s="1110"/>
      <c r="I20" s="1082"/>
      <c r="J20" s="791">
        <v>0</v>
      </c>
      <c r="K20" s="1065"/>
    </row>
    <row r="21" spans="1:11" ht="13.5" thickBot="1">
      <c r="A21" s="787">
        <v>3</v>
      </c>
      <c r="B21" s="1111" t="s">
        <v>2714</v>
      </c>
      <c r="C21" s="1112"/>
      <c r="D21" s="1112"/>
      <c r="E21" s="1112"/>
      <c r="F21" s="1112"/>
      <c r="G21" s="1112"/>
      <c r="H21" s="1112"/>
      <c r="I21" s="1112"/>
      <c r="J21" s="1112"/>
      <c r="K21" s="1113"/>
    </row>
    <row r="22" spans="1:11" ht="24">
      <c r="A22" s="1083" t="s">
        <v>972</v>
      </c>
      <c r="B22" s="1105" t="s">
        <v>2715</v>
      </c>
      <c r="C22" s="1106"/>
      <c r="D22" s="1106"/>
      <c r="E22" s="1107"/>
      <c r="F22" s="797" t="s">
        <v>2716</v>
      </c>
      <c r="G22" s="798"/>
      <c r="H22" s="799"/>
      <c r="I22" s="1064" t="e">
        <f>MAX('Twenty Largest'!G10:G304)/'Bank Capital Calc.'!E32</f>
        <v>#VALUE!</v>
      </c>
      <c r="J22" s="795" t="s">
        <v>757</v>
      </c>
      <c r="K22" s="1064" t="e">
        <f t="shared" ref="K22" si="5">IF(I22="",0-J23,(IF((I22-J23)&gt;0,"",I22-J23)))</f>
        <v>#VALUE!</v>
      </c>
    </row>
    <row r="23" spans="1:11" ht="14.25" customHeight="1" thickBot="1">
      <c r="A23" s="1084"/>
      <c r="B23" s="1114"/>
      <c r="C23" s="1115"/>
      <c r="D23" s="1115"/>
      <c r="E23" s="1116"/>
      <c r="F23" s="1072" t="s">
        <v>403</v>
      </c>
      <c r="G23" s="1073"/>
      <c r="H23" s="1074"/>
      <c r="I23" s="1065"/>
      <c r="J23" s="796">
        <v>0.25</v>
      </c>
      <c r="K23" s="1065"/>
    </row>
    <row r="24" spans="1:11" ht="24">
      <c r="A24" s="1083" t="s">
        <v>758</v>
      </c>
      <c r="B24" s="1105" t="s">
        <v>2717</v>
      </c>
      <c r="C24" s="1106"/>
      <c r="D24" s="1106"/>
      <c r="E24" s="1107"/>
      <c r="F24" s="797" t="s">
        <v>2718</v>
      </c>
      <c r="G24" s="798"/>
      <c r="H24" s="799"/>
      <c r="I24" s="1108"/>
      <c r="J24" s="795" t="s">
        <v>757</v>
      </c>
      <c r="K24" s="1064">
        <f t="shared" ref="K24" si="6">IF(I24="",0-J25,(IF((I24-J25)&gt;0,"",I24-J25)))</f>
        <v>-0.05</v>
      </c>
    </row>
    <row r="25" spans="1:11" ht="13.5" thickBot="1">
      <c r="A25" s="1084"/>
      <c r="B25" s="1069"/>
      <c r="C25" s="1070"/>
      <c r="D25" s="1070"/>
      <c r="E25" s="1071"/>
      <c r="F25" s="1072" t="s">
        <v>403</v>
      </c>
      <c r="G25" s="1073"/>
      <c r="H25" s="1074"/>
      <c r="I25" s="1109"/>
      <c r="J25" s="796">
        <v>0.05</v>
      </c>
      <c r="K25" s="1065"/>
    </row>
    <row r="26" spans="1:11">
      <c r="A26" s="1092">
        <v>3.3</v>
      </c>
      <c r="B26" s="1066" t="s">
        <v>1405</v>
      </c>
      <c r="C26" s="1067"/>
      <c r="D26" s="1067"/>
      <c r="E26" s="1068"/>
      <c r="F26" s="800" t="s">
        <v>944</v>
      </c>
      <c r="G26" s="801"/>
      <c r="H26" s="802"/>
      <c r="I26" s="1064" t="e">
        <f>'Twenty Largest'!O26/'Bank Capital Calc.'!E32</f>
        <v>#VALUE!</v>
      </c>
      <c r="J26" s="791" t="s">
        <v>757</v>
      </c>
      <c r="K26" s="1064" t="e">
        <f t="shared" ref="K26" si="7">IF(I26="",0-J27,(IF((I26-J27)&gt;0,"",I26-J27)))</f>
        <v>#VALUE!</v>
      </c>
    </row>
    <row r="27" spans="1:11">
      <c r="A27" s="1084"/>
      <c r="B27" s="1069"/>
      <c r="C27" s="1070"/>
      <c r="D27" s="1070"/>
      <c r="E27" s="1071"/>
      <c r="F27" s="1072" t="s">
        <v>403</v>
      </c>
      <c r="G27" s="1073"/>
      <c r="H27" s="1074"/>
      <c r="I27" s="1065"/>
      <c r="J27" s="791">
        <v>8</v>
      </c>
      <c r="K27" s="1065"/>
    </row>
    <row r="28" spans="1:11" ht="24.75" customHeight="1" thickBot="1">
      <c r="A28" s="787">
        <v>4</v>
      </c>
      <c r="B28" s="1028" t="s">
        <v>467</v>
      </c>
      <c r="C28" s="1029"/>
      <c r="D28" s="1029"/>
      <c r="E28" s="1029"/>
      <c r="F28" s="1029"/>
      <c r="G28" s="1029"/>
      <c r="H28" s="1029"/>
      <c r="I28" s="1029"/>
      <c r="J28" s="1029"/>
      <c r="K28" s="1030"/>
    </row>
    <row r="29" spans="1:11" ht="37.5" customHeight="1">
      <c r="A29" s="1083" t="s">
        <v>468</v>
      </c>
      <c r="B29" s="1057" t="s">
        <v>469</v>
      </c>
      <c r="C29" s="1058"/>
      <c r="D29" s="1058"/>
      <c r="E29" s="1059"/>
      <c r="F29" s="803" t="s">
        <v>1490</v>
      </c>
      <c r="G29" s="804"/>
      <c r="H29" s="805"/>
      <c r="I29" s="1117"/>
      <c r="J29" s="788" t="s">
        <v>757</v>
      </c>
      <c r="K29" s="1064">
        <f t="shared" ref="K29" si="8">IF(I29="",0-J30,(IF((I29-J30)&gt;0,"",I29-J30)))</f>
        <v>-0.15</v>
      </c>
    </row>
    <row r="30" spans="1:11" ht="36" customHeight="1" thickBot="1">
      <c r="A30" s="1084"/>
      <c r="B30" s="1060"/>
      <c r="C30" s="1060"/>
      <c r="D30" s="1060"/>
      <c r="E30" s="1061"/>
      <c r="F30" s="1043" t="s">
        <v>403</v>
      </c>
      <c r="G30" s="1044"/>
      <c r="H30" s="1045"/>
      <c r="I30" s="1118"/>
      <c r="J30" s="806">
        <v>0.15</v>
      </c>
      <c r="K30" s="1065"/>
    </row>
    <row r="31" spans="1:11">
      <c r="A31" s="1083">
        <v>4.2</v>
      </c>
      <c r="B31" s="1057" t="s">
        <v>410</v>
      </c>
      <c r="C31" s="1058"/>
      <c r="D31" s="1058"/>
      <c r="E31" s="1059"/>
      <c r="F31" s="1054" t="s">
        <v>1592</v>
      </c>
      <c r="G31" s="1055"/>
      <c r="H31" s="1056"/>
      <c r="I31" s="1062" t="e">
        <f>'Investment Securities'!C26/'Bank Capital Calc.'!E32</f>
        <v>#VALUE!</v>
      </c>
      <c r="J31" s="788" t="s">
        <v>757</v>
      </c>
      <c r="K31" s="1064" t="e">
        <f t="shared" ref="K31" si="9">IF(I31="",0-J32,(IF((I31-J32)&gt;0,"",I31-J32)))</f>
        <v>#VALUE!</v>
      </c>
    </row>
    <row r="32" spans="1:11" ht="13.5" thickBot="1">
      <c r="A32" s="1084"/>
      <c r="B32" s="1060"/>
      <c r="C32" s="1060"/>
      <c r="D32" s="1060"/>
      <c r="E32" s="1061"/>
      <c r="F32" s="1043" t="s">
        <v>403</v>
      </c>
      <c r="G32" s="1044"/>
      <c r="H32" s="1045"/>
      <c r="I32" s="1065"/>
      <c r="J32" s="806">
        <v>0.25</v>
      </c>
      <c r="K32" s="1065"/>
    </row>
    <row r="33" spans="1:11" ht="23.25" customHeight="1">
      <c r="A33" s="1092">
        <v>4.3</v>
      </c>
      <c r="B33" s="1057" t="s">
        <v>1694</v>
      </c>
      <c r="C33" s="1058"/>
      <c r="D33" s="1058"/>
      <c r="E33" s="1059"/>
      <c r="F33" s="1054" t="s">
        <v>2022</v>
      </c>
      <c r="G33" s="1055"/>
      <c r="H33" s="1056"/>
      <c r="I33" s="1062" t="e">
        <f>('Investment Securities'!C13+'Investment Securities'!C26)/'Bank Capital Calc.'!E32</f>
        <v>#VALUE!</v>
      </c>
      <c r="J33" s="790" t="s">
        <v>757</v>
      </c>
      <c r="K33" s="1064" t="e">
        <f t="shared" ref="K33:K38" si="10">IF(I33="",0-J34,(IF((I33-J34)&gt;0,"",I33-J34)))</f>
        <v>#VALUE!</v>
      </c>
    </row>
    <row r="34" spans="1:11" ht="13.5" thickBot="1">
      <c r="A34" s="1084"/>
      <c r="B34" s="1060"/>
      <c r="C34" s="1060"/>
      <c r="D34" s="1060"/>
      <c r="E34" s="1061"/>
      <c r="F34" s="1043" t="s">
        <v>403</v>
      </c>
      <c r="G34" s="1044"/>
      <c r="H34" s="1045"/>
      <c r="I34" s="1063"/>
      <c r="J34" s="790">
        <v>0.5</v>
      </c>
      <c r="K34" s="1065"/>
    </row>
    <row r="35" spans="1:11" ht="23.25" customHeight="1" thickBot="1">
      <c r="A35" s="787">
        <v>5</v>
      </c>
      <c r="B35" s="1121" t="s">
        <v>2719</v>
      </c>
      <c r="C35" s="1122"/>
      <c r="D35" s="1122"/>
      <c r="E35" s="1122"/>
      <c r="F35" s="1122"/>
      <c r="G35" s="1122"/>
      <c r="H35" s="1122"/>
      <c r="I35" s="1122"/>
      <c r="J35" s="1122"/>
      <c r="K35" s="1123"/>
    </row>
    <row r="36" spans="1:11">
      <c r="A36" s="1083" t="s">
        <v>1141</v>
      </c>
      <c r="B36" s="1093" t="s">
        <v>1264</v>
      </c>
      <c r="C36" s="1058"/>
      <c r="D36" s="1058"/>
      <c r="E36" s="1059"/>
      <c r="F36" s="1054" t="s">
        <v>1265</v>
      </c>
      <c r="G36" s="1055"/>
      <c r="H36" s="1056"/>
      <c r="I36" s="1064" t="e">
        <f>MAX('Loans to Affiliated P.'!F10:F39)/'Bank Capital Calc.'!E32</f>
        <v>#VALUE!</v>
      </c>
      <c r="J36" s="788" t="s">
        <v>757</v>
      </c>
      <c r="K36" s="1064" t="e">
        <f t="shared" si="10"/>
        <v>#VALUE!</v>
      </c>
    </row>
    <row r="37" spans="1:11" ht="23.25" customHeight="1" thickBot="1">
      <c r="A37" s="1084"/>
      <c r="B37" s="1124"/>
      <c r="C37" s="1060"/>
      <c r="D37" s="1060"/>
      <c r="E37" s="1061"/>
      <c r="F37" s="1043" t="s">
        <v>403</v>
      </c>
      <c r="G37" s="1044"/>
      <c r="H37" s="1045"/>
      <c r="I37" s="1065"/>
      <c r="J37" s="806">
        <v>0.25</v>
      </c>
      <c r="K37" s="1065"/>
    </row>
    <row r="38" spans="1:11">
      <c r="A38" s="1092">
        <v>5.2</v>
      </c>
      <c r="B38" s="1119" t="s">
        <v>1996</v>
      </c>
      <c r="C38" s="1120"/>
      <c r="D38" s="1120"/>
      <c r="E38" s="1120"/>
      <c r="F38" s="1051" t="s">
        <v>1866</v>
      </c>
      <c r="G38" s="1052"/>
      <c r="H38" s="1053"/>
      <c r="I38" s="1023" t="e">
        <f>'Loans to Affiliated P.'!M36/'Bank Capital Calc.'!E32</f>
        <v>#VALUE!</v>
      </c>
      <c r="J38" s="790" t="s">
        <v>757</v>
      </c>
      <c r="K38" s="1064" t="e">
        <f t="shared" si="10"/>
        <v>#VALUE!</v>
      </c>
    </row>
    <row r="39" spans="1:11">
      <c r="A39" s="1084"/>
      <c r="B39" s="1120"/>
      <c r="C39" s="1120"/>
      <c r="D39" s="1120"/>
      <c r="E39" s="1120"/>
      <c r="F39" s="1043" t="s">
        <v>403</v>
      </c>
      <c r="G39" s="1044"/>
      <c r="H39" s="1045"/>
      <c r="I39" s="1082"/>
      <c r="J39" s="806">
        <v>1</v>
      </c>
      <c r="K39" s="1091"/>
    </row>
    <row r="40" spans="1:11" ht="23.25" customHeight="1" thickBot="1">
      <c r="A40" s="807">
        <v>6</v>
      </c>
      <c r="B40" s="1025" t="s">
        <v>638</v>
      </c>
      <c r="C40" s="1026"/>
      <c r="D40" s="1026"/>
      <c r="E40" s="1026"/>
      <c r="F40" s="1026"/>
      <c r="G40" s="1026"/>
      <c r="H40" s="1026"/>
      <c r="I40" s="1026"/>
      <c r="J40" s="1026"/>
      <c r="K40" s="1027"/>
    </row>
    <row r="41" spans="1:11">
      <c r="A41" s="1083" t="s">
        <v>733</v>
      </c>
      <c r="B41" s="1093" t="s">
        <v>732</v>
      </c>
      <c r="C41" s="1058"/>
      <c r="D41" s="1058"/>
      <c r="E41" s="1059"/>
      <c r="F41" s="1054" t="s">
        <v>2720</v>
      </c>
      <c r="G41" s="1055"/>
      <c r="H41" s="1056"/>
      <c r="I41" s="1064" t="e">
        <f>Balance!B21/'Bank Capital Calc.'!E32</f>
        <v>#VALUE!</v>
      </c>
      <c r="J41" s="788" t="s">
        <v>757</v>
      </c>
      <c r="K41" s="1064" t="e">
        <f t="shared" ref="K41" si="11">IF(I41="",0-J42,(IF((I41-J42)&gt;0,"",I41-J42)))</f>
        <v>#VALUE!</v>
      </c>
    </row>
    <row r="42" spans="1:11">
      <c r="A42" s="1092"/>
      <c r="B42" s="1124"/>
      <c r="C42" s="1060"/>
      <c r="D42" s="1060"/>
      <c r="E42" s="1061"/>
      <c r="F42" s="1043" t="s">
        <v>403</v>
      </c>
      <c r="G42" s="1044"/>
      <c r="H42" s="1045"/>
      <c r="I42" s="1065"/>
      <c r="J42" s="806">
        <v>0.25</v>
      </c>
      <c r="K42" s="1065"/>
    </row>
    <row r="43" spans="1:11" ht="23.25" customHeight="1" thickBot="1">
      <c r="A43" s="787">
        <v>7</v>
      </c>
      <c r="B43" s="1028" t="s">
        <v>735</v>
      </c>
      <c r="C43" s="1029"/>
      <c r="D43" s="1029"/>
      <c r="E43" s="1029"/>
      <c r="F43" s="1029"/>
      <c r="G43" s="1029"/>
      <c r="H43" s="1029"/>
      <c r="I43" s="1029"/>
      <c r="J43" s="1029"/>
      <c r="K43" s="1030"/>
    </row>
    <row r="44" spans="1:11" ht="12.75" customHeight="1">
      <c r="A44" s="1083" t="s">
        <v>734</v>
      </c>
      <c r="B44" s="1093" t="s">
        <v>2721</v>
      </c>
      <c r="C44" s="1058"/>
      <c r="D44" s="1058"/>
      <c r="E44" s="1059"/>
      <c r="F44" s="1054" t="s">
        <v>2722</v>
      </c>
      <c r="G44" s="1055"/>
      <c r="H44" s="1056"/>
      <c r="I44" s="1062" t="e">
        <f>0/'Bank Capital Calc.'!E32</f>
        <v>#VALUE!</v>
      </c>
      <c r="J44" s="788" t="s">
        <v>757</v>
      </c>
      <c r="K44" s="1064" t="e">
        <f t="shared" ref="K44" si="12">IF(I44="",0-J45,(IF((I44-J45)&gt;0,"",I44-J45)))</f>
        <v>#VALUE!</v>
      </c>
    </row>
    <row r="45" spans="1:11" ht="13.5" customHeight="1" thickBot="1">
      <c r="A45" s="1125"/>
      <c r="B45" s="1126"/>
      <c r="C45" s="1127"/>
      <c r="D45" s="1127"/>
      <c r="E45" s="1128"/>
      <c r="F45" s="1129" t="s">
        <v>403</v>
      </c>
      <c r="G45" s="1130"/>
      <c r="H45" s="1131"/>
      <c r="I45" s="1063"/>
      <c r="J45" s="808">
        <v>0.25</v>
      </c>
      <c r="K45" s="1091"/>
    </row>
    <row r="47" spans="1:11">
      <c r="D47" s="658" t="s">
        <v>2272</v>
      </c>
    </row>
    <row r="48" spans="1:11">
      <c r="D48" s="658"/>
    </row>
    <row r="49" spans="4:4">
      <c r="D49" s="658" t="s">
        <v>1198</v>
      </c>
    </row>
  </sheetData>
  <mergeCells count="111">
    <mergeCell ref="A44:A45"/>
    <mergeCell ref="B44:E45"/>
    <mergeCell ref="I44:I45"/>
    <mergeCell ref="K44:K45"/>
    <mergeCell ref="F45:H45"/>
    <mergeCell ref="A41:A42"/>
    <mergeCell ref="B41:E42"/>
    <mergeCell ref="I41:I42"/>
    <mergeCell ref="K41:K42"/>
    <mergeCell ref="B43:E43"/>
    <mergeCell ref="F43:K43"/>
    <mergeCell ref="F42:H42"/>
    <mergeCell ref="F44:H44"/>
    <mergeCell ref="F41:H41"/>
    <mergeCell ref="A38:A39"/>
    <mergeCell ref="B38:E39"/>
    <mergeCell ref="I38:I39"/>
    <mergeCell ref="K38:K39"/>
    <mergeCell ref="F39:H39"/>
    <mergeCell ref="A33:A34"/>
    <mergeCell ref="B35:K35"/>
    <mergeCell ref="A36:A37"/>
    <mergeCell ref="B36:E37"/>
    <mergeCell ref="I36:I37"/>
    <mergeCell ref="K36:K37"/>
    <mergeCell ref="A31:A32"/>
    <mergeCell ref="B31:E32"/>
    <mergeCell ref="I31:I32"/>
    <mergeCell ref="K31:K32"/>
    <mergeCell ref="F32:H32"/>
    <mergeCell ref="A26:A27"/>
    <mergeCell ref="B28:E28"/>
    <mergeCell ref="F28:K28"/>
    <mergeCell ref="A29:A30"/>
    <mergeCell ref="B29:E30"/>
    <mergeCell ref="I29:I30"/>
    <mergeCell ref="K29:K30"/>
    <mergeCell ref="A24:A25"/>
    <mergeCell ref="B24:E25"/>
    <mergeCell ref="I24:I25"/>
    <mergeCell ref="K24:K25"/>
    <mergeCell ref="F25:H25"/>
    <mergeCell ref="A19:A20"/>
    <mergeCell ref="F19:H19"/>
    <mergeCell ref="B21:E21"/>
    <mergeCell ref="F21:K21"/>
    <mergeCell ref="A22:A23"/>
    <mergeCell ref="B22:E23"/>
    <mergeCell ref="I22:I23"/>
    <mergeCell ref="K22:K23"/>
    <mergeCell ref="F23:H23"/>
    <mergeCell ref="F20:H20"/>
    <mergeCell ref="A17:A18"/>
    <mergeCell ref="B17:E18"/>
    <mergeCell ref="F17:H17"/>
    <mergeCell ref="I17:I18"/>
    <mergeCell ref="K17:K18"/>
    <mergeCell ref="F18:H18"/>
    <mergeCell ref="A15:A16"/>
    <mergeCell ref="B15:E16"/>
    <mergeCell ref="F15:H15"/>
    <mergeCell ref="I15:I16"/>
    <mergeCell ref="K15:K16"/>
    <mergeCell ref="A10:A11"/>
    <mergeCell ref="B10:E11"/>
    <mergeCell ref="I10:I11"/>
    <mergeCell ref="K10:K11"/>
    <mergeCell ref="A12:A13"/>
    <mergeCell ref="B12:E13"/>
    <mergeCell ref="I12:I13"/>
    <mergeCell ref="K12:K13"/>
    <mergeCell ref="A8:A9"/>
    <mergeCell ref="B8:E9"/>
    <mergeCell ref="F8:H8"/>
    <mergeCell ref="I8:I9"/>
    <mergeCell ref="K8:K9"/>
    <mergeCell ref="A2:H2"/>
    <mergeCell ref="A4:K4"/>
    <mergeCell ref="B5:E5"/>
    <mergeCell ref="B6:E6"/>
    <mergeCell ref="B7:E7"/>
    <mergeCell ref="F7:K7"/>
    <mergeCell ref="I2:K2"/>
    <mergeCell ref="F37:H37"/>
    <mergeCell ref="F38:H38"/>
    <mergeCell ref="F36:H36"/>
    <mergeCell ref="B33:E34"/>
    <mergeCell ref="F33:H33"/>
    <mergeCell ref="I33:I34"/>
    <mergeCell ref="K33:K34"/>
    <mergeCell ref="F34:H34"/>
    <mergeCell ref="F30:H30"/>
    <mergeCell ref="F31:H31"/>
    <mergeCell ref="B26:E27"/>
    <mergeCell ref="I26:I27"/>
    <mergeCell ref="K26:K27"/>
    <mergeCell ref="F27:H27"/>
    <mergeCell ref="B19:E20"/>
    <mergeCell ref="I19:I20"/>
    <mergeCell ref="K19:K20"/>
    <mergeCell ref="B40:E40"/>
    <mergeCell ref="F40:K40"/>
    <mergeCell ref="B14:E14"/>
    <mergeCell ref="F14:K14"/>
    <mergeCell ref="F5:H5"/>
    <mergeCell ref="F6:H6"/>
    <mergeCell ref="F13:H13"/>
    <mergeCell ref="F11:H11"/>
    <mergeCell ref="F12:H12"/>
    <mergeCell ref="F9:H9"/>
    <mergeCell ref="F10:H10"/>
  </mergeCells>
  <phoneticPr fontId="0" type="noConversion"/>
  <dataValidations count="2">
    <dataValidation allowBlank="1" showErrorMessage="1" prompt="Это число может положительным или отрицательным. Вводите только десятичные числа до третего знака после точки. Например,10.7 % вводится как 0.107._x000a_" sqref="I15:I20 I12 I8:I10 I44:I45 I38:I39"/>
    <dataValidation allowBlank="1" showInputMessage="1" showErrorMessage="1" prompt="Это число может положительным или отрицательным. Вводите только десятичные числа до третего знака после точки. Например,10.7 % вводится как 0.107._x000a_" sqref="I29:I30 I23:I25 I27"/>
  </dataValidations>
  <pageMargins left="0.88" right="0.99" top="0.21" bottom="0.2" header="0.19" footer="0.2"/>
  <pageSetup paperSize="9" scale="75" orientation="landscape" r:id="rId1"/>
  <headerFooter alignWithMargins="0"/>
</worksheet>
</file>

<file path=xl/worksheets/sheet22.xml><?xml version="1.0" encoding="utf-8"?>
<worksheet xmlns="http://schemas.openxmlformats.org/spreadsheetml/2006/main" xmlns:r="http://schemas.openxmlformats.org/officeDocument/2006/relationships">
  <sheetPr codeName="Лист21"/>
  <dimension ref="A1:C28"/>
  <sheetViews>
    <sheetView workbookViewId="0">
      <selection activeCell="B3" sqref="B3"/>
    </sheetView>
  </sheetViews>
  <sheetFormatPr defaultColWidth="52.140625" defaultRowHeight="15.75"/>
  <cols>
    <col min="1" max="1" width="52.140625" style="27"/>
    <col min="2" max="2" width="40.5703125" style="25" customWidth="1"/>
    <col min="3" max="3" width="68.85546875" style="25" customWidth="1"/>
    <col min="4" max="16384" width="52.140625" style="25"/>
  </cols>
  <sheetData>
    <row r="1" spans="1:2" ht="63.75">
      <c r="B1" s="613" t="s">
        <v>2277</v>
      </c>
    </row>
    <row r="2" spans="1:2" ht="31.5">
      <c r="A2" s="762" t="s">
        <v>835</v>
      </c>
      <c r="B2" s="712" t="s">
        <v>2681</v>
      </c>
    </row>
    <row r="3" spans="1:2" ht="12.75" customHeight="1" thickBot="1">
      <c r="A3" s="57"/>
      <c r="B3" s="37" t="s">
        <v>2703</v>
      </c>
    </row>
    <row r="4" spans="1:2" ht="12.75" customHeight="1">
      <c r="A4" s="765"/>
      <c r="B4" s="316"/>
    </row>
    <row r="5" spans="1:2" ht="12.75" customHeight="1">
      <c r="A5" s="59" t="s">
        <v>170</v>
      </c>
      <c r="B5" s="238"/>
    </row>
    <row r="6" spans="1:2" ht="12.75" customHeight="1">
      <c r="A6" s="59" t="s">
        <v>171</v>
      </c>
      <c r="B6" s="317" t="s">
        <v>620</v>
      </c>
    </row>
    <row r="7" spans="1:2" ht="12.75" customHeight="1">
      <c r="A7" s="59" t="s">
        <v>172</v>
      </c>
      <c r="B7" s="238"/>
    </row>
    <row r="8" spans="1:2" ht="12.75" customHeight="1">
      <c r="A8" s="59" t="s">
        <v>2142</v>
      </c>
      <c r="B8" s="238"/>
    </row>
    <row r="9" spans="1:2" ht="12.75" customHeight="1">
      <c r="A9" s="59" t="s">
        <v>1437</v>
      </c>
      <c r="B9" s="318" t="s">
        <v>620</v>
      </c>
    </row>
    <row r="10" spans="1:2" ht="12.75" customHeight="1">
      <c r="A10" s="59" t="s">
        <v>1367</v>
      </c>
      <c r="B10" s="238"/>
    </row>
    <row r="11" spans="1:2" ht="12.75" customHeight="1">
      <c r="A11" s="59" t="s">
        <v>943</v>
      </c>
      <c r="B11" s="318" t="s">
        <v>620</v>
      </c>
    </row>
    <row r="12" spans="1:2" ht="12.75" customHeight="1">
      <c r="A12" s="59" t="s">
        <v>1475</v>
      </c>
      <c r="B12" s="318" t="s">
        <v>620</v>
      </c>
    </row>
    <row r="13" spans="1:2" ht="12.75" customHeight="1">
      <c r="A13" s="59" t="s">
        <v>408</v>
      </c>
      <c r="B13" s="238"/>
    </row>
    <row r="14" spans="1:2" ht="12.75" customHeight="1">
      <c r="A14" s="59" t="s">
        <v>1957</v>
      </c>
      <c r="B14" s="318" t="s">
        <v>620</v>
      </c>
    </row>
    <row r="15" spans="1:2" ht="12.75" customHeight="1">
      <c r="A15" s="59"/>
      <c r="B15" s="319" t="s">
        <v>1958</v>
      </c>
    </row>
    <row r="16" spans="1:2" ht="12.75" customHeight="1">
      <c r="A16" s="59" t="s">
        <v>983</v>
      </c>
      <c r="B16" s="238"/>
    </row>
    <row r="17" spans="1:3" ht="12.75" customHeight="1">
      <c r="A17" s="59" t="s">
        <v>1018</v>
      </c>
      <c r="B17" s="320"/>
    </row>
    <row r="18" spans="1:3" ht="12.75" customHeight="1">
      <c r="A18" s="59" t="s">
        <v>84</v>
      </c>
      <c r="B18" s="238"/>
    </row>
    <row r="19" spans="1:3" ht="12.75" customHeight="1" thickBot="1">
      <c r="A19" s="766" t="s">
        <v>1729</v>
      </c>
      <c r="B19" s="321">
        <v>0</v>
      </c>
    </row>
    <row r="20" spans="1:3" ht="12.75" customHeight="1"/>
    <row r="21" spans="1:3" ht="12.75" customHeight="1">
      <c r="A21" s="767" t="s">
        <v>102</v>
      </c>
    </row>
    <row r="22" spans="1:3" ht="12.75" customHeight="1">
      <c r="A22" s="767" t="s">
        <v>1198</v>
      </c>
    </row>
    <row r="23" spans="1:3">
      <c r="B23" s="31"/>
      <c r="C23" s="25" t="s">
        <v>96</v>
      </c>
    </row>
    <row r="28" spans="1:3">
      <c r="A28" s="503"/>
    </row>
  </sheetData>
  <phoneticPr fontId="0" type="noConversion"/>
  <dataValidations count="2">
    <dataValidation type="textLength" operator="equal" allowBlank="1" showInputMessage="1" showErrorMessage="1" prompt="Если &quot;Да&quot;,  введите Д._x000a_Если &quot;Нет&quot;, введите Н." sqref="B6 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B65542 IX65542 ST65542 ACP65542 AML65542 AWH65542 BGD65542 BPZ65542 BZV65542 CJR65542 CTN65542 DDJ65542 DNF65542 DXB65542 EGX65542 EQT65542 FAP65542 FKL65542 FUH65542 GED65542 GNZ65542 GXV65542 HHR65542 HRN65542 IBJ65542 ILF65542 IVB65542 JEX65542 JOT65542 JYP65542 KIL65542 KSH65542 LCD65542 LLZ65542 LVV65542 MFR65542 MPN65542 MZJ65542 NJF65542 NTB65542 OCX65542 OMT65542 OWP65542 PGL65542 PQH65542 QAD65542 QJZ65542 QTV65542 RDR65542 RNN65542 RXJ65542 SHF65542 SRB65542 TAX65542 TKT65542 TUP65542 UEL65542 UOH65542 UYD65542 VHZ65542 VRV65542 WBR65542 WLN65542 WVJ65542 B131078 IX131078 ST131078 ACP131078 AML131078 AWH131078 BGD131078 BPZ131078 BZV131078 CJR131078 CTN131078 DDJ131078 DNF131078 DXB131078 EGX131078 EQT131078 FAP131078 FKL131078 FUH131078 GED131078 GNZ131078 GXV131078 HHR131078 HRN131078 IBJ131078 ILF131078 IVB131078 JEX131078 JOT131078 JYP131078 KIL131078 KSH131078 LCD131078 LLZ131078 LVV131078 MFR131078 MPN131078 MZJ131078 NJF131078 NTB131078 OCX131078 OMT131078 OWP131078 PGL131078 PQH131078 QAD131078 QJZ131078 QTV131078 RDR131078 RNN131078 RXJ131078 SHF131078 SRB131078 TAX131078 TKT131078 TUP131078 UEL131078 UOH131078 UYD131078 VHZ131078 VRV131078 WBR131078 WLN131078 WVJ131078 B196614 IX196614 ST196614 ACP196614 AML196614 AWH196614 BGD196614 BPZ196614 BZV196614 CJR196614 CTN196614 DDJ196614 DNF196614 DXB196614 EGX196614 EQT196614 FAP196614 FKL196614 FUH196614 GED196614 GNZ196614 GXV196614 HHR196614 HRN196614 IBJ196614 ILF196614 IVB196614 JEX196614 JOT196614 JYP196614 KIL196614 KSH196614 LCD196614 LLZ196614 LVV196614 MFR196614 MPN196614 MZJ196614 NJF196614 NTB196614 OCX196614 OMT196614 OWP196614 PGL196614 PQH196614 QAD196614 QJZ196614 QTV196614 RDR196614 RNN196614 RXJ196614 SHF196614 SRB196614 TAX196614 TKT196614 TUP196614 UEL196614 UOH196614 UYD196614 VHZ196614 VRV196614 WBR196614 WLN196614 WVJ196614 B262150 IX262150 ST262150 ACP262150 AML262150 AWH262150 BGD262150 BPZ262150 BZV262150 CJR262150 CTN262150 DDJ262150 DNF262150 DXB262150 EGX262150 EQT262150 FAP262150 FKL262150 FUH262150 GED262150 GNZ262150 GXV262150 HHR262150 HRN262150 IBJ262150 ILF262150 IVB262150 JEX262150 JOT262150 JYP262150 KIL262150 KSH262150 LCD262150 LLZ262150 LVV262150 MFR262150 MPN262150 MZJ262150 NJF262150 NTB262150 OCX262150 OMT262150 OWP262150 PGL262150 PQH262150 QAD262150 QJZ262150 QTV262150 RDR262150 RNN262150 RXJ262150 SHF262150 SRB262150 TAX262150 TKT262150 TUP262150 UEL262150 UOH262150 UYD262150 VHZ262150 VRV262150 WBR262150 WLN262150 WVJ262150 B327686 IX327686 ST327686 ACP327686 AML327686 AWH327686 BGD327686 BPZ327686 BZV327686 CJR327686 CTN327686 DDJ327686 DNF327686 DXB327686 EGX327686 EQT327686 FAP327686 FKL327686 FUH327686 GED327686 GNZ327686 GXV327686 HHR327686 HRN327686 IBJ327686 ILF327686 IVB327686 JEX327686 JOT327686 JYP327686 KIL327686 KSH327686 LCD327686 LLZ327686 LVV327686 MFR327686 MPN327686 MZJ327686 NJF327686 NTB327686 OCX327686 OMT327686 OWP327686 PGL327686 PQH327686 QAD327686 QJZ327686 QTV327686 RDR327686 RNN327686 RXJ327686 SHF327686 SRB327686 TAX327686 TKT327686 TUP327686 UEL327686 UOH327686 UYD327686 VHZ327686 VRV327686 WBR327686 WLN327686 WVJ327686 B393222 IX393222 ST393222 ACP393222 AML393222 AWH393222 BGD393222 BPZ393222 BZV393222 CJR393222 CTN393222 DDJ393222 DNF393222 DXB393222 EGX393222 EQT393222 FAP393222 FKL393222 FUH393222 GED393222 GNZ393222 GXV393222 HHR393222 HRN393222 IBJ393222 ILF393222 IVB393222 JEX393222 JOT393222 JYP393222 KIL393222 KSH393222 LCD393222 LLZ393222 LVV393222 MFR393222 MPN393222 MZJ393222 NJF393222 NTB393222 OCX393222 OMT393222 OWP393222 PGL393222 PQH393222 QAD393222 QJZ393222 QTV393222 RDR393222 RNN393222 RXJ393222 SHF393222 SRB393222 TAX393222 TKT393222 TUP393222 UEL393222 UOH393222 UYD393222 VHZ393222 VRV393222 WBR393222 WLN393222 WVJ393222 B458758 IX458758 ST458758 ACP458758 AML458758 AWH458758 BGD458758 BPZ458758 BZV458758 CJR458758 CTN458758 DDJ458758 DNF458758 DXB458758 EGX458758 EQT458758 FAP458758 FKL458758 FUH458758 GED458758 GNZ458758 GXV458758 HHR458758 HRN458758 IBJ458758 ILF458758 IVB458758 JEX458758 JOT458758 JYP458758 KIL458758 KSH458758 LCD458758 LLZ458758 LVV458758 MFR458758 MPN458758 MZJ458758 NJF458758 NTB458758 OCX458758 OMT458758 OWP458758 PGL458758 PQH458758 QAD458758 QJZ458758 QTV458758 RDR458758 RNN458758 RXJ458758 SHF458758 SRB458758 TAX458758 TKT458758 TUP458758 UEL458758 UOH458758 UYD458758 VHZ458758 VRV458758 WBR458758 WLN458758 WVJ458758 B524294 IX524294 ST524294 ACP524294 AML524294 AWH524294 BGD524294 BPZ524294 BZV524294 CJR524294 CTN524294 DDJ524294 DNF524294 DXB524294 EGX524294 EQT524294 FAP524294 FKL524294 FUH524294 GED524294 GNZ524294 GXV524294 HHR524294 HRN524294 IBJ524294 ILF524294 IVB524294 JEX524294 JOT524294 JYP524294 KIL524294 KSH524294 LCD524294 LLZ524294 LVV524294 MFR524294 MPN524294 MZJ524294 NJF524294 NTB524294 OCX524294 OMT524294 OWP524294 PGL524294 PQH524294 QAD524294 QJZ524294 QTV524294 RDR524294 RNN524294 RXJ524294 SHF524294 SRB524294 TAX524294 TKT524294 TUP524294 UEL524294 UOH524294 UYD524294 VHZ524294 VRV524294 WBR524294 WLN524294 WVJ524294 B589830 IX589830 ST589830 ACP589830 AML589830 AWH589830 BGD589830 BPZ589830 BZV589830 CJR589830 CTN589830 DDJ589830 DNF589830 DXB589830 EGX589830 EQT589830 FAP589830 FKL589830 FUH589830 GED589830 GNZ589830 GXV589830 HHR589830 HRN589830 IBJ589830 ILF589830 IVB589830 JEX589830 JOT589830 JYP589830 KIL589830 KSH589830 LCD589830 LLZ589830 LVV589830 MFR589830 MPN589830 MZJ589830 NJF589830 NTB589830 OCX589830 OMT589830 OWP589830 PGL589830 PQH589830 QAD589830 QJZ589830 QTV589830 RDR589830 RNN589830 RXJ589830 SHF589830 SRB589830 TAX589830 TKT589830 TUP589830 UEL589830 UOH589830 UYD589830 VHZ589830 VRV589830 WBR589830 WLN589830 WVJ589830 B655366 IX655366 ST655366 ACP655366 AML655366 AWH655366 BGD655366 BPZ655366 BZV655366 CJR655366 CTN655366 DDJ655366 DNF655366 DXB655366 EGX655366 EQT655366 FAP655366 FKL655366 FUH655366 GED655366 GNZ655366 GXV655366 HHR655366 HRN655366 IBJ655366 ILF655366 IVB655366 JEX655366 JOT655366 JYP655366 KIL655366 KSH655366 LCD655366 LLZ655366 LVV655366 MFR655366 MPN655366 MZJ655366 NJF655366 NTB655366 OCX655366 OMT655366 OWP655366 PGL655366 PQH655366 QAD655366 QJZ655366 QTV655366 RDR655366 RNN655366 RXJ655366 SHF655366 SRB655366 TAX655366 TKT655366 TUP655366 UEL655366 UOH655366 UYD655366 VHZ655366 VRV655366 WBR655366 WLN655366 WVJ655366 B720902 IX720902 ST720902 ACP720902 AML720902 AWH720902 BGD720902 BPZ720902 BZV720902 CJR720902 CTN720902 DDJ720902 DNF720902 DXB720902 EGX720902 EQT720902 FAP720902 FKL720902 FUH720902 GED720902 GNZ720902 GXV720902 HHR720902 HRN720902 IBJ720902 ILF720902 IVB720902 JEX720902 JOT720902 JYP720902 KIL720902 KSH720902 LCD720902 LLZ720902 LVV720902 MFR720902 MPN720902 MZJ720902 NJF720902 NTB720902 OCX720902 OMT720902 OWP720902 PGL720902 PQH720902 QAD720902 QJZ720902 QTV720902 RDR720902 RNN720902 RXJ720902 SHF720902 SRB720902 TAX720902 TKT720902 TUP720902 UEL720902 UOH720902 UYD720902 VHZ720902 VRV720902 WBR720902 WLN720902 WVJ720902 B786438 IX786438 ST786438 ACP786438 AML786438 AWH786438 BGD786438 BPZ786438 BZV786438 CJR786438 CTN786438 DDJ786438 DNF786438 DXB786438 EGX786438 EQT786438 FAP786438 FKL786438 FUH786438 GED786438 GNZ786438 GXV786438 HHR786438 HRN786438 IBJ786438 ILF786438 IVB786438 JEX786438 JOT786438 JYP786438 KIL786438 KSH786438 LCD786438 LLZ786438 LVV786438 MFR786438 MPN786438 MZJ786438 NJF786438 NTB786438 OCX786438 OMT786438 OWP786438 PGL786438 PQH786438 QAD786438 QJZ786438 QTV786438 RDR786438 RNN786438 RXJ786438 SHF786438 SRB786438 TAX786438 TKT786438 TUP786438 UEL786438 UOH786438 UYD786438 VHZ786438 VRV786438 WBR786438 WLN786438 WVJ786438 B851974 IX851974 ST851974 ACP851974 AML851974 AWH851974 BGD851974 BPZ851974 BZV851974 CJR851974 CTN851974 DDJ851974 DNF851974 DXB851974 EGX851974 EQT851974 FAP851974 FKL851974 FUH851974 GED851974 GNZ851974 GXV851974 HHR851974 HRN851974 IBJ851974 ILF851974 IVB851974 JEX851974 JOT851974 JYP851974 KIL851974 KSH851974 LCD851974 LLZ851974 LVV851974 MFR851974 MPN851974 MZJ851974 NJF851974 NTB851974 OCX851974 OMT851974 OWP851974 PGL851974 PQH851974 QAD851974 QJZ851974 QTV851974 RDR851974 RNN851974 RXJ851974 SHF851974 SRB851974 TAX851974 TKT851974 TUP851974 UEL851974 UOH851974 UYD851974 VHZ851974 VRV851974 WBR851974 WLN851974 WVJ851974 B917510 IX917510 ST917510 ACP917510 AML917510 AWH917510 BGD917510 BPZ917510 BZV917510 CJR917510 CTN917510 DDJ917510 DNF917510 DXB917510 EGX917510 EQT917510 FAP917510 FKL917510 FUH917510 GED917510 GNZ917510 GXV917510 HHR917510 HRN917510 IBJ917510 ILF917510 IVB917510 JEX917510 JOT917510 JYP917510 KIL917510 KSH917510 LCD917510 LLZ917510 LVV917510 MFR917510 MPN917510 MZJ917510 NJF917510 NTB917510 OCX917510 OMT917510 OWP917510 PGL917510 PQH917510 QAD917510 QJZ917510 QTV917510 RDR917510 RNN917510 RXJ917510 SHF917510 SRB917510 TAX917510 TKT917510 TUP917510 UEL917510 UOH917510 UYD917510 VHZ917510 VRV917510 WBR917510 WLN917510 WVJ917510 B983046 IX983046 ST983046 ACP983046 AML983046 AWH983046 BGD983046 BPZ983046 BZV983046 CJR983046 CTN983046 DDJ983046 DNF983046 DXB983046 EGX983046 EQT983046 FAP983046 FKL983046 FUH983046 GED983046 GNZ983046 GXV983046 HHR983046 HRN983046 IBJ983046 ILF983046 IVB983046 JEX983046 JOT983046 JYP983046 KIL983046 KSH983046 LCD983046 LLZ983046 LVV983046 MFR983046 MPN983046 MZJ983046 NJF983046 NTB983046 OCX983046 OMT983046 OWP983046 PGL983046 PQH983046 QAD983046 QJZ983046 QTV983046 RDR983046 RNN983046 RXJ983046 SHF983046 SRB983046 TAX983046 TKT983046 TUP983046 UEL983046 UOH983046 UYD983046 VHZ983046 VRV983046 WBR983046 WLN983046 WVJ983046 B9 IX9 ST9 ACP9 AML9 AWH9 BGD9 BPZ9 BZV9 CJR9 CTN9 DDJ9 DNF9 DXB9 EGX9 EQT9 FAP9 FKL9 FUH9 GED9 GNZ9 GXV9 HHR9 HRN9 IBJ9 ILF9 IVB9 JEX9 JOT9 JYP9 KIL9 KSH9 LCD9 LLZ9 LVV9 MFR9 MPN9 MZJ9 NJF9 NTB9 OCX9 OMT9 OWP9 PGL9 PQH9 QAD9 QJZ9 QTV9 RDR9 RNN9 RXJ9 SHF9 SRB9 TAX9 TKT9 TUP9 UEL9 UOH9 UYD9 VHZ9 VRV9 WBR9 WLN9 WVJ9 B65545 IX65545 ST65545 ACP65545 AML65545 AWH65545 BGD65545 BPZ65545 BZV65545 CJR65545 CTN65545 DDJ65545 DNF65545 DXB65545 EGX65545 EQT65545 FAP65545 FKL65545 FUH65545 GED65545 GNZ65545 GXV65545 HHR65545 HRN65545 IBJ65545 ILF65545 IVB65545 JEX65545 JOT65545 JYP65545 KIL65545 KSH65545 LCD65545 LLZ65545 LVV65545 MFR65545 MPN65545 MZJ65545 NJF65545 NTB65545 OCX65545 OMT65545 OWP65545 PGL65545 PQH65545 QAD65545 QJZ65545 QTV65545 RDR65545 RNN65545 RXJ65545 SHF65545 SRB65545 TAX65545 TKT65545 TUP65545 UEL65545 UOH65545 UYD65545 VHZ65545 VRV65545 WBR65545 WLN65545 WVJ65545 B131081 IX131081 ST131081 ACP131081 AML131081 AWH131081 BGD131081 BPZ131081 BZV131081 CJR131081 CTN131081 DDJ131081 DNF131081 DXB131081 EGX131081 EQT131081 FAP131081 FKL131081 FUH131081 GED131081 GNZ131081 GXV131081 HHR131081 HRN131081 IBJ131081 ILF131081 IVB131081 JEX131081 JOT131081 JYP131081 KIL131081 KSH131081 LCD131081 LLZ131081 LVV131081 MFR131081 MPN131081 MZJ131081 NJF131081 NTB131081 OCX131081 OMT131081 OWP131081 PGL131081 PQH131081 QAD131081 QJZ131081 QTV131081 RDR131081 RNN131081 RXJ131081 SHF131081 SRB131081 TAX131081 TKT131081 TUP131081 UEL131081 UOH131081 UYD131081 VHZ131081 VRV131081 WBR131081 WLN131081 WVJ131081 B196617 IX196617 ST196617 ACP196617 AML196617 AWH196617 BGD196617 BPZ196617 BZV196617 CJR196617 CTN196617 DDJ196617 DNF196617 DXB196617 EGX196617 EQT196617 FAP196617 FKL196617 FUH196617 GED196617 GNZ196617 GXV196617 HHR196617 HRN196617 IBJ196617 ILF196617 IVB196617 JEX196617 JOT196617 JYP196617 KIL196617 KSH196617 LCD196617 LLZ196617 LVV196617 MFR196617 MPN196617 MZJ196617 NJF196617 NTB196617 OCX196617 OMT196617 OWP196617 PGL196617 PQH196617 QAD196617 QJZ196617 QTV196617 RDR196617 RNN196617 RXJ196617 SHF196617 SRB196617 TAX196617 TKT196617 TUP196617 UEL196617 UOH196617 UYD196617 VHZ196617 VRV196617 WBR196617 WLN196617 WVJ196617 B262153 IX262153 ST262153 ACP262153 AML262153 AWH262153 BGD262153 BPZ262153 BZV262153 CJR262153 CTN262153 DDJ262153 DNF262153 DXB262153 EGX262153 EQT262153 FAP262153 FKL262153 FUH262153 GED262153 GNZ262153 GXV262153 HHR262153 HRN262153 IBJ262153 ILF262153 IVB262153 JEX262153 JOT262153 JYP262153 KIL262153 KSH262153 LCD262153 LLZ262153 LVV262153 MFR262153 MPN262153 MZJ262153 NJF262153 NTB262153 OCX262153 OMT262153 OWP262153 PGL262153 PQH262153 QAD262153 QJZ262153 QTV262153 RDR262153 RNN262153 RXJ262153 SHF262153 SRB262153 TAX262153 TKT262153 TUP262153 UEL262153 UOH262153 UYD262153 VHZ262153 VRV262153 WBR262153 WLN262153 WVJ262153 B327689 IX327689 ST327689 ACP327689 AML327689 AWH327689 BGD327689 BPZ327689 BZV327689 CJR327689 CTN327689 DDJ327689 DNF327689 DXB327689 EGX327689 EQT327689 FAP327689 FKL327689 FUH327689 GED327689 GNZ327689 GXV327689 HHR327689 HRN327689 IBJ327689 ILF327689 IVB327689 JEX327689 JOT327689 JYP327689 KIL327689 KSH327689 LCD327689 LLZ327689 LVV327689 MFR327689 MPN327689 MZJ327689 NJF327689 NTB327689 OCX327689 OMT327689 OWP327689 PGL327689 PQH327689 QAD327689 QJZ327689 QTV327689 RDR327689 RNN327689 RXJ327689 SHF327689 SRB327689 TAX327689 TKT327689 TUP327689 UEL327689 UOH327689 UYD327689 VHZ327689 VRV327689 WBR327689 WLN327689 WVJ327689 B393225 IX393225 ST393225 ACP393225 AML393225 AWH393225 BGD393225 BPZ393225 BZV393225 CJR393225 CTN393225 DDJ393225 DNF393225 DXB393225 EGX393225 EQT393225 FAP393225 FKL393225 FUH393225 GED393225 GNZ393225 GXV393225 HHR393225 HRN393225 IBJ393225 ILF393225 IVB393225 JEX393225 JOT393225 JYP393225 KIL393225 KSH393225 LCD393225 LLZ393225 LVV393225 MFR393225 MPN393225 MZJ393225 NJF393225 NTB393225 OCX393225 OMT393225 OWP393225 PGL393225 PQH393225 QAD393225 QJZ393225 QTV393225 RDR393225 RNN393225 RXJ393225 SHF393225 SRB393225 TAX393225 TKT393225 TUP393225 UEL393225 UOH393225 UYD393225 VHZ393225 VRV393225 WBR393225 WLN393225 WVJ393225 B458761 IX458761 ST458761 ACP458761 AML458761 AWH458761 BGD458761 BPZ458761 BZV458761 CJR458761 CTN458761 DDJ458761 DNF458761 DXB458761 EGX458761 EQT458761 FAP458761 FKL458761 FUH458761 GED458761 GNZ458761 GXV458761 HHR458761 HRN458761 IBJ458761 ILF458761 IVB458761 JEX458761 JOT458761 JYP458761 KIL458761 KSH458761 LCD458761 LLZ458761 LVV458761 MFR458761 MPN458761 MZJ458761 NJF458761 NTB458761 OCX458761 OMT458761 OWP458761 PGL458761 PQH458761 QAD458761 QJZ458761 QTV458761 RDR458761 RNN458761 RXJ458761 SHF458761 SRB458761 TAX458761 TKT458761 TUP458761 UEL458761 UOH458761 UYD458761 VHZ458761 VRV458761 WBR458761 WLN458761 WVJ458761 B524297 IX524297 ST524297 ACP524297 AML524297 AWH524297 BGD524297 BPZ524297 BZV524297 CJR524297 CTN524297 DDJ524297 DNF524297 DXB524297 EGX524297 EQT524297 FAP524297 FKL524297 FUH524297 GED524297 GNZ524297 GXV524297 HHR524297 HRN524297 IBJ524297 ILF524297 IVB524297 JEX524297 JOT524297 JYP524297 KIL524297 KSH524297 LCD524297 LLZ524297 LVV524297 MFR524297 MPN524297 MZJ524297 NJF524297 NTB524297 OCX524297 OMT524297 OWP524297 PGL524297 PQH524297 QAD524297 QJZ524297 QTV524297 RDR524297 RNN524297 RXJ524297 SHF524297 SRB524297 TAX524297 TKT524297 TUP524297 UEL524297 UOH524297 UYD524297 VHZ524297 VRV524297 WBR524297 WLN524297 WVJ524297 B589833 IX589833 ST589833 ACP589833 AML589833 AWH589833 BGD589833 BPZ589833 BZV589833 CJR589833 CTN589833 DDJ589833 DNF589833 DXB589833 EGX589833 EQT589833 FAP589833 FKL589833 FUH589833 GED589833 GNZ589833 GXV589833 HHR589833 HRN589833 IBJ589833 ILF589833 IVB589833 JEX589833 JOT589833 JYP589833 KIL589833 KSH589833 LCD589833 LLZ589833 LVV589833 MFR589833 MPN589833 MZJ589833 NJF589833 NTB589833 OCX589833 OMT589833 OWP589833 PGL589833 PQH589833 QAD589833 QJZ589833 QTV589833 RDR589833 RNN589833 RXJ589833 SHF589833 SRB589833 TAX589833 TKT589833 TUP589833 UEL589833 UOH589833 UYD589833 VHZ589833 VRV589833 WBR589833 WLN589833 WVJ589833 B655369 IX655369 ST655369 ACP655369 AML655369 AWH655369 BGD655369 BPZ655369 BZV655369 CJR655369 CTN655369 DDJ655369 DNF655369 DXB655369 EGX655369 EQT655369 FAP655369 FKL655369 FUH655369 GED655369 GNZ655369 GXV655369 HHR655369 HRN655369 IBJ655369 ILF655369 IVB655369 JEX655369 JOT655369 JYP655369 KIL655369 KSH655369 LCD655369 LLZ655369 LVV655369 MFR655369 MPN655369 MZJ655369 NJF655369 NTB655369 OCX655369 OMT655369 OWP655369 PGL655369 PQH655369 QAD655369 QJZ655369 QTV655369 RDR655369 RNN655369 RXJ655369 SHF655369 SRB655369 TAX655369 TKT655369 TUP655369 UEL655369 UOH655369 UYD655369 VHZ655369 VRV655369 WBR655369 WLN655369 WVJ655369 B720905 IX720905 ST720905 ACP720905 AML720905 AWH720905 BGD720905 BPZ720905 BZV720905 CJR720905 CTN720905 DDJ720905 DNF720905 DXB720905 EGX720905 EQT720905 FAP720905 FKL720905 FUH720905 GED720905 GNZ720905 GXV720905 HHR720905 HRN720905 IBJ720905 ILF720905 IVB720905 JEX720905 JOT720905 JYP720905 KIL720905 KSH720905 LCD720905 LLZ720905 LVV720905 MFR720905 MPN720905 MZJ720905 NJF720905 NTB720905 OCX720905 OMT720905 OWP720905 PGL720905 PQH720905 QAD720905 QJZ720905 QTV720905 RDR720905 RNN720905 RXJ720905 SHF720905 SRB720905 TAX720905 TKT720905 TUP720905 UEL720905 UOH720905 UYD720905 VHZ720905 VRV720905 WBR720905 WLN720905 WVJ720905 B786441 IX786441 ST786441 ACP786441 AML786441 AWH786441 BGD786441 BPZ786441 BZV786441 CJR786441 CTN786441 DDJ786441 DNF786441 DXB786441 EGX786441 EQT786441 FAP786441 FKL786441 FUH786441 GED786441 GNZ786441 GXV786441 HHR786441 HRN786441 IBJ786441 ILF786441 IVB786441 JEX786441 JOT786441 JYP786441 KIL786441 KSH786441 LCD786441 LLZ786441 LVV786441 MFR786441 MPN786441 MZJ786441 NJF786441 NTB786441 OCX786441 OMT786441 OWP786441 PGL786441 PQH786441 QAD786441 QJZ786441 QTV786441 RDR786441 RNN786441 RXJ786441 SHF786441 SRB786441 TAX786441 TKT786441 TUP786441 UEL786441 UOH786441 UYD786441 VHZ786441 VRV786441 WBR786441 WLN786441 WVJ786441 B851977 IX851977 ST851977 ACP851977 AML851977 AWH851977 BGD851977 BPZ851977 BZV851977 CJR851977 CTN851977 DDJ851977 DNF851977 DXB851977 EGX851977 EQT851977 FAP851977 FKL851977 FUH851977 GED851977 GNZ851977 GXV851977 HHR851977 HRN851977 IBJ851977 ILF851977 IVB851977 JEX851977 JOT851977 JYP851977 KIL851977 KSH851977 LCD851977 LLZ851977 LVV851977 MFR851977 MPN851977 MZJ851977 NJF851977 NTB851977 OCX851977 OMT851977 OWP851977 PGL851977 PQH851977 QAD851977 QJZ851977 QTV851977 RDR851977 RNN851977 RXJ851977 SHF851977 SRB851977 TAX851977 TKT851977 TUP851977 UEL851977 UOH851977 UYD851977 VHZ851977 VRV851977 WBR851977 WLN851977 WVJ851977 B917513 IX917513 ST917513 ACP917513 AML917513 AWH917513 BGD917513 BPZ917513 BZV917513 CJR917513 CTN917513 DDJ917513 DNF917513 DXB917513 EGX917513 EQT917513 FAP917513 FKL917513 FUH917513 GED917513 GNZ917513 GXV917513 HHR917513 HRN917513 IBJ917513 ILF917513 IVB917513 JEX917513 JOT917513 JYP917513 KIL917513 KSH917513 LCD917513 LLZ917513 LVV917513 MFR917513 MPN917513 MZJ917513 NJF917513 NTB917513 OCX917513 OMT917513 OWP917513 PGL917513 PQH917513 QAD917513 QJZ917513 QTV917513 RDR917513 RNN917513 RXJ917513 SHF917513 SRB917513 TAX917513 TKT917513 TUP917513 UEL917513 UOH917513 UYD917513 VHZ917513 VRV917513 WBR917513 WLN917513 WVJ917513 B983049 IX983049 ST983049 ACP983049 AML983049 AWH983049 BGD983049 BPZ983049 BZV983049 CJR983049 CTN983049 DDJ983049 DNF983049 DXB983049 EGX983049 EQT983049 FAP983049 FKL983049 FUH983049 GED983049 GNZ983049 GXV983049 HHR983049 HRN983049 IBJ983049 ILF983049 IVB983049 JEX983049 JOT983049 JYP983049 KIL983049 KSH983049 LCD983049 LLZ983049 LVV983049 MFR983049 MPN983049 MZJ983049 NJF983049 NTB983049 OCX983049 OMT983049 OWP983049 PGL983049 PQH983049 QAD983049 QJZ983049 QTV983049 RDR983049 RNN983049 RXJ983049 SHF983049 SRB983049 TAX983049 TKT983049 TUP983049 UEL983049 UOH983049 UYD983049 VHZ983049 VRV983049 WBR983049 WLN983049 WVJ983049 B11:B12 IX11:IX12 ST11:ST12 ACP11:ACP12 AML11:AML12 AWH11:AWH12 BGD11:BGD12 BPZ11:BPZ12 BZV11:BZV12 CJR11:CJR12 CTN11:CTN12 DDJ11:DDJ12 DNF11:DNF12 DXB11:DXB12 EGX11:EGX12 EQT11:EQT12 FAP11:FAP12 FKL11:FKL12 FUH11:FUH12 GED11:GED12 GNZ11:GNZ12 GXV11:GXV12 HHR11:HHR12 HRN11:HRN12 IBJ11:IBJ12 ILF11:ILF12 IVB11:IVB12 JEX11:JEX12 JOT11:JOT12 JYP11:JYP12 KIL11:KIL12 KSH11:KSH12 LCD11:LCD12 LLZ11:LLZ12 LVV11:LVV12 MFR11:MFR12 MPN11:MPN12 MZJ11:MZJ12 NJF11:NJF12 NTB11:NTB12 OCX11:OCX12 OMT11:OMT12 OWP11:OWP12 PGL11:PGL12 PQH11:PQH12 QAD11:QAD12 QJZ11:QJZ12 QTV11:QTV12 RDR11:RDR12 RNN11:RNN12 RXJ11:RXJ12 SHF11:SHF12 SRB11:SRB12 TAX11:TAX12 TKT11:TKT12 TUP11:TUP12 UEL11:UEL12 UOH11:UOH12 UYD11:UYD12 VHZ11:VHZ12 VRV11:VRV12 WBR11:WBR12 WLN11:WLN12 WVJ11:WVJ12 B65547:B65548 IX65547:IX65548 ST65547:ST65548 ACP65547:ACP65548 AML65547:AML65548 AWH65547:AWH65548 BGD65547:BGD65548 BPZ65547:BPZ65548 BZV65547:BZV65548 CJR65547:CJR65548 CTN65547:CTN65548 DDJ65547:DDJ65548 DNF65547:DNF65548 DXB65547:DXB65548 EGX65547:EGX65548 EQT65547:EQT65548 FAP65547:FAP65548 FKL65547:FKL65548 FUH65547:FUH65548 GED65547:GED65548 GNZ65547:GNZ65548 GXV65547:GXV65548 HHR65547:HHR65548 HRN65547:HRN65548 IBJ65547:IBJ65548 ILF65547:ILF65548 IVB65547:IVB65548 JEX65547:JEX65548 JOT65547:JOT65548 JYP65547:JYP65548 KIL65547:KIL65548 KSH65547:KSH65548 LCD65547:LCD65548 LLZ65547:LLZ65548 LVV65547:LVV65548 MFR65547:MFR65548 MPN65547:MPN65548 MZJ65547:MZJ65548 NJF65547:NJF65548 NTB65547:NTB65548 OCX65547:OCX65548 OMT65547:OMT65548 OWP65547:OWP65548 PGL65547:PGL65548 PQH65547:PQH65548 QAD65547:QAD65548 QJZ65547:QJZ65548 QTV65547:QTV65548 RDR65547:RDR65548 RNN65547:RNN65548 RXJ65547:RXJ65548 SHF65547:SHF65548 SRB65547:SRB65548 TAX65547:TAX65548 TKT65547:TKT65548 TUP65547:TUP65548 UEL65547:UEL65548 UOH65547:UOH65548 UYD65547:UYD65548 VHZ65547:VHZ65548 VRV65547:VRV65548 WBR65547:WBR65548 WLN65547:WLN65548 WVJ65547:WVJ65548 B131083:B131084 IX131083:IX131084 ST131083:ST131084 ACP131083:ACP131084 AML131083:AML131084 AWH131083:AWH131084 BGD131083:BGD131084 BPZ131083:BPZ131084 BZV131083:BZV131084 CJR131083:CJR131084 CTN131083:CTN131084 DDJ131083:DDJ131084 DNF131083:DNF131084 DXB131083:DXB131084 EGX131083:EGX131084 EQT131083:EQT131084 FAP131083:FAP131084 FKL131083:FKL131084 FUH131083:FUH131084 GED131083:GED131084 GNZ131083:GNZ131084 GXV131083:GXV131084 HHR131083:HHR131084 HRN131083:HRN131084 IBJ131083:IBJ131084 ILF131083:ILF131084 IVB131083:IVB131084 JEX131083:JEX131084 JOT131083:JOT131084 JYP131083:JYP131084 KIL131083:KIL131084 KSH131083:KSH131084 LCD131083:LCD131084 LLZ131083:LLZ131084 LVV131083:LVV131084 MFR131083:MFR131084 MPN131083:MPN131084 MZJ131083:MZJ131084 NJF131083:NJF131084 NTB131083:NTB131084 OCX131083:OCX131084 OMT131083:OMT131084 OWP131083:OWP131084 PGL131083:PGL131084 PQH131083:PQH131084 QAD131083:QAD131084 QJZ131083:QJZ131084 QTV131083:QTV131084 RDR131083:RDR131084 RNN131083:RNN131084 RXJ131083:RXJ131084 SHF131083:SHF131084 SRB131083:SRB131084 TAX131083:TAX131084 TKT131083:TKT131084 TUP131083:TUP131084 UEL131083:UEL131084 UOH131083:UOH131084 UYD131083:UYD131084 VHZ131083:VHZ131084 VRV131083:VRV131084 WBR131083:WBR131084 WLN131083:WLN131084 WVJ131083:WVJ131084 B196619:B196620 IX196619:IX196620 ST196619:ST196620 ACP196619:ACP196620 AML196619:AML196620 AWH196619:AWH196620 BGD196619:BGD196620 BPZ196619:BPZ196620 BZV196619:BZV196620 CJR196619:CJR196620 CTN196619:CTN196620 DDJ196619:DDJ196620 DNF196619:DNF196620 DXB196619:DXB196620 EGX196619:EGX196620 EQT196619:EQT196620 FAP196619:FAP196620 FKL196619:FKL196620 FUH196619:FUH196620 GED196619:GED196620 GNZ196619:GNZ196620 GXV196619:GXV196620 HHR196619:HHR196620 HRN196619:HRN196620 IBJ196619:IBJ196620 ILF196619:ILF196620 IVB196619:IVB196620 JEX196619:JEX196620 JOT196619:JOT196620 JYP196619:JYP196620 KIL196619:KIL196620 KSH196619:KSH196620 LCD196619:LCD196620 LLZ196619:LLZ196620 LVV196619:LVV196620 MFR196619:MFR196620 MPN196619:MPN196620 MZJ196619:MZJ196620 NJF196619:NJF196620 NTB196619:NTB196620 OCX196619:OCX196620 OMT196619:OMT196620 OWP196619:OWP196620 PGL196619:PGL196620 PQH196619:PQH196620 QAD196619:QAD196620 QJZ196619:QJZ196620 QTV196619:QTV196620 RDR196619:RDR196620 RNN196619:RNN196620 RXJ196619:RXJ196620 SHF196619:SHF196620 SRB196619:SRB196620 TAX196619:TAX196620 TKT196619:TKT196620 TUP196619:TUP196620 UEL196619:UEL196620 UOH196619:UOH196620 UYD196619:UYD196620 VHZ196619:VHZ196620 VRV196619:VRV196620 WBR196619:WBR196620 WLN196619:WLN196620 WVJ196619:WVJ196620 B262155:B262156 IX262155:IX262156 ST262155:ST262156 ACP262155:ACP262156 AML262155:AML262156 AWH262155:AWH262156 BGD262155:BGD262156 BPZ262155:BPZ262156 BZV262155:BZV262156 CJR262155:CJR262156 CTN262155:CTN262156 DDJ262155:DDJ262156 DNF262155:DNF262156 DXB262155:DXB262156 EGX262155:EGX262156 EQT262155:EQT262156 FAP262155:FAP262156 FKL262155:FKL262156 FUH262155:FUH262156 GED262155:GED262156 GNZ262155:GNZ262156 GXV262155:GXV262156 HHR262155:HHR262156 HRN262155:HRN262156 IBJ262155:IBJ262156 ILF262155:ILF262156 IVB262155:IVB262156 JEX262155:JEX262156 JOT262155:JOT262156 JYP262155:JYP262156 KIL262155:KIL262156 KSH262155:KSH262156 LCD262155:LCD262156 LLZ262155:LLZ262156 LVV262155:LVV262156 MFR262155:MFR262156 MPN262155:MPN262156 MZJ262155:MZJ262156 NJF262155:NJF262156 NTB262155:NTB262156 OCX262155:OCX262156 OMT262155:OMT262156 OWP262155:OWP262156 PGL262155:PGL262156 PQH262155:PQH262156 QAD262155:QAD262156 QJZ262155:QJZ262156 QTV262155:QTV262156 RDR262155:RDR262156 RNN262155:RNN262156 RXJ262155:RXJ262156 SHF262155:SHF262156 SRB262155:SRB262156 TAX262155:TAX262156 TKT262155:TKT262156 TUP262155:TUP262156 UEL262155:UEL262156 UOH262155:UOH262156 UYD262155:UYD262156 VHZ262155:VHZ262156 VRV262155:VRV262156 WBR262155:WBR262156 WLN262155:WLN262156 WVJ262155:WVJ262156 B327691:B327692 IX327691:IX327692 ST327691:ST327692 ACP327691:ACP327692 AML327691:AML327692 AWH327691:AWH327692 BGD327691:BGD327692 BPZ327691:BPZ327692 BZV327691:BZV327692 CJR327691:CJR327692 CTN327691:CTN327692 DDJ327691:DDJ327692 DNF327691:DNF327692 DXB327691:DXB327692 EGX327691:EGX327692 EQT327691:EQT327692 FAP327691:FAP327692 FKL327691:FKL327692 FUH327691:FUH327692 GED327691:GED327692 GNZ327691:GNZ327692 GXV327691:GXV327692 HHR327691:HHR327692 HRN327691:HRN327692 IBJ327691:IBJ327692 ILF327691:ILF327692 IVB327691:IVB327692 JEX327691:JEX327692 JOT327691:JOT327692 JYP327691:JYP327692 KIL327691:KIL327692 KSH327691:KSH327692 LCD327691:LCD327692 LLZ327691:LLZ327692 LVV327691:LVV327692 MFR327691:MFR327692 MPN327691:MPN327692 MZJ327691:MZJ327692 NJF327691:NJF327692 NTB327691:NTB327692 OCX327691:OCX327692 OMT327691:OMT327692 OWP327691:OWP327692 PGL327691:PGL327692 PQH327691:PQH327692 QAD327691:QAD327692 QJZ327691:QJZ327692 QTV327691:QTV327692 RDR327691:RDR327692 RNN327691:RNN327692 RXJ327691:RXJ327692 SHF327691:SHF327692 SRB327691:SRB327692 TAX327691:TAX327692 TKT327691:TKT327692 TUP327691:TUP327692 UEL327691:UEL327692 UOH327691:UOH327692 UYD327691:UYD327692 VHZ327691:VHZ327692 VRV327691:VRV327692 WBR327691:WBR327692 WLN327691:WLN327692 WVJ327691:WVJ327692 B393227:B393228 IX393227:IX393228 ST393227:ST393228 ACP393227:ACP393228 AML393227:AML393228 AWH393227:AWH393228 BGD393227:BGD393228 BPZ393227:BPZ393228 BZV393227:BZV393228 CJR393227:CJR393228 CTN393227:CTN393228 DDJ393227:DDJ393228 DNF393227:DNF393228 DXB393227:DXB393228 EGX393227:EGX393228 EQT393227:EQT393228 FAP393227:FAP393228 FKL393227:FKL393228 FUH393227:FUH393228 GED393227:GED393228 GNZ393227:GNZ393228 GXV393227:GXV393228 HHR393227:HHR393228 HRN393227:HRN393228 IBJ393227:IBJ393228 ILF393227:ILF393228 IVB393227:IVB393228 JEX393227:JEX393228 JOT393227:JOT393228 JYP393227:JYP393228 KIL393227:KIL393228 KSH393227:KSH393228 LCD393227:LCD393228 LLZ393227:LLZ393228 LVV393227:LVV393228 MFR393227:MFR393228 MPN393227:MPN393228 MZJ393227:MZJ393228 NJF393227:NJF393228 NTB393227:NTB393228 OCX393227:OCX393228 OMT393227:OMT393228 OWP393227:OWP393228 PGL393227:PGL393228 PQH393227:PQH393228 QAD393227:QAD393228 QJZ393227:QJZ393228 QTV393227:QTV393228 RDR393227:RDR393228 RNN393227:RNN393228 RXJ393227:RXJ393228 SHF393227:SHF393228 SRB393227:SRB393228 TAX393227:TAX393228 TKT393227:TKT393228 TUP393227:TUP393228 UEL393227:UEL393228 UOH393227:UOH393228 UYD393227:UYD393228 VHZ393227:VHZ393228 VRV393227:VRV393228 WBR393227:WBR393228 WLN393227:WLN393228 WVJ393227:WVJ393228 B458763:B458764 IX458763:IX458764 ST458763:ST458764 ACP458763:ACP458764 AML458763:AML458764 AWH458763:AWH458764 BGD458763:BGD458764 BPZ458763:BPZ458764 BZV458763:BZV458764 CJR458763:CJR458764 CTN458763:CTN458764 DDJ458763:DDJ458764 DNF458763:DNF458764 DXB458763:DXB458764 EGX458763:EGX458764 EQT458763:EQT458764 FAP458763:FAP458764 FKL458763:FKL458764 FUH458763:FUH458764 GED458763:GED458764 GNZ458763:GNZ458764 GXV458763:GXV458764 HHR458763:HHR458764 HRN458763:HRN458764 IBJ458763:IBJ458764 ILF458763:ILF458764 IVB458763:IVB458764 JEX458763:JEX458764 JOT458763:JOT458764 JYP458763:JYP458764 KIL458763:KIL458764 KSH458763:KSH458764 LCD458763:LCD458764 LLZ458763:LLZ458764 LVV458763:LVV458764 MFR458763:MFR458764 MPN458763:MPN458764 MZJ458763:MZJ458764 NJF458763:NJF458764 NTB458763:NTB458764 OCX458763:OCX458764 OMT458763:OMT458764 OWP458763:OWP458764 PGL458763:PGL458764 PQH458763:PQH458764 QAD458763:QAD458764 QJZ458763:QJZ458764 QTV458763:QTV458764 RDR458763:RDR458764 RNN458763:RNN458764 RXJ458763:RXJ458764 SHF458763:SHF458764 SRB458763:SRB458764 TAX458763:TAX458764 TKT458763:TKT458764 TUP458763:TUP458764 UEL458763:UEL458764 UOH458763:UOH458764 UYD458763:UYD458764 VHZ458763:VHZ458764 VRV458763:VRV458764 WBR458763:WBR458764 WLN458763:WLN458764 WVJ458763:WVJ458764 B524299:B524300 IX524299:IX524300 ST524299:ST524300 ACP524299:ACP524300 AML524299:AML524300 AWH524299:AWH524300 BGD524299:BGD524300 BPZ524299:BPZ524300 BZV524299:BZV524300 CJR524299:CJR524300 CTN524299:CTN524300 DDJ524299:DDJ524300 DNF524299:DNF524300 DXB524299:DXB524300 EGX524299:EGX524300 EQT524299:EQT524300 FAP524299:FAP524300 FKL524299:FKL524300 FUH524299:FUH524300 GED524299:GED524300 GNZ524299:GNZ524300 GXV524299:GXV524300 HHR524299:HHR524300 HRN524299:HRN524300 IBJ524299:IBJ524300 ILF524299:ILF524300 IVB524299:IVB524300 JEX524299:JEX524300 JOT524299:JOT524300 JYP524299:JYP524300 KIL524299:KIL524300 KSH524299:KSH524300 LCD524299:LCD524300 LLZ524299:LLZ524300 LVV524299:LVV524300 MFR524299:MFR524300 MPN524299:MPN524300 MZJ524299:MZJ524300 NJF524299:NJF524300 NTB524299:NTB524300 OCX524299:OCX524300 OMT524299:OMT524300 OWP524299:OWP524300 PGL524299:PGL524300 PQH524299:PQH524300 QAD524299:QAD524300 QJZ524299:QJZ524300 QTV524299:QTV524300 RDR524299:RDR524300 RNN524299:RNN524300 RXJ524299:RXJ524300 SHF524299:SHF524300 SRB524299:SRB524300 TAX524299:TAX524300 TKT524299:TKT524300 TUP524299:TUP524300 UEL524299:UEL524300 UOH524299:UOH524300 UYD524299:UYD524300 VHZ524299:VHZ524300 VRV524299:VRV524300 WBR524299:WBR524300 WLN524299:WLN524300 WVJ524299:WVJ524300 B589835:B589836 IX589835:IX589836 ST589835:ST589836 ACP589835:ACP589836 AML589835:AML589836 AWH589835:AWH589836 BGD589835:BGD589836 BPZ589835:BPZ589836 BZV589835:BZV589836 CJR589835:CJR589836 CTN589835:CTN589836 DDJ589835:DDJ589836 DNF589835:DNF589836 DXB589835:DXB589836 EGX589835:EGX589836 EQT589835:EQT589836 FAP589835:FAP589836 FKL589835:FKL589836 FUH589835:FUH589836 GED589835:GED589836 GNZ589835:GNZ589836 GXV589835:GXV589836 HHR589835:HHR589836 HRN589835:HRN589836 IBJ589835:IBJ589836 ILF589835:ILF589836 IVB589835:IVB589836 JEX589835:JEX589836 JOT589835:JOT589836 JYP589835:JYP589836 KIL589835:KIL589836 KSH589835:KSH589836 LCD589835:LCD589836 LLZ589835:LLZ589836 LVV589835:LVV589836 MFR589835:MFR589836 MPN589835:MPN589836 MZJ589835:MZJ589836 NJF589835:NJF589836 NTB589835:NTB589836 OCX589835:OCX589836 OMT589835:OMT589836 OWP589835:OWP589836 PGL589835:PGL589836 PQH589835:PQH589836 QAD589835:QAD589836 QJZ589835:QJZ589836 QTV589835:QTV589836 RDR589835:RDR589836 RNN589835:RNN589836 RXJ589835:RXJ589836 SHF589835:SHF589836 SRB589835:SRB589836 TAX589835:TAX589836 TKT589835:TKT589836 TUP589835:TUP589836 UEL589835:UEL589836 UOH589835:UOH589836 UYD589835:UYD589836 VHZ589835:VHZ589836 VRV589835:VRV589836 WBR589835:WBR589836 WLN589835:WLN589836 WVJ589835:WVJ589836 B655371:B655372 IX655371:IX655372 ST655371:ST655372 ACP655371:ACP655372 AML655371:AML655372 AWH655371:AWH655372 BGD655371:BGD655372 BPZ655371:BPZ655372 BZV655371:BZV655372 CJR655371:CJR655372 CTN655371:CTN655372 DDJ655371:DDJ655372 DNF655371:DNF655372 DXB655371:DXB655372 EGX655371:EGX655372 EQT655371:EQT655372 FAP655371:FAP655372 FKL655371:FKL655372 FUH655371:FUH655372 GED655371:GED655372 GNZ655371:GNZ655372 GXV655371:GXV655372 HHR655371:HHR655372 HRN655371:HRN655372 IBJ655371:IBJ655372 ILF655371:ILF655372 IVB655371:IVB655372 JEX655371:JEX655372 JOT655371:JOT655372 JYP655371:JYP655372 KIL655371:KIL655372 KSH655371:KSH655372 LCD655371:LCD655372 LLZ655371:LLZ655372 LVV655371:LVV655372 MFR655371:MFR655372 MPN655371:MPN655372 MZJ655371:MZJ655372 NJF655371:NJF655372 NTB655371:NTB655372 OCX655371:OCX655372 OMT655371:OMT655372 OWP655371:OWP655372 PGL655371:PGL655372 PQH655371:PQH655372 QAD655371:QAD655372 QJZ655371:QJZ655372 QTV655371:QTV655372 RDR655371:RDR655372 RNN655371:RNN655372 RXJ655371:RXJ655372 SHF655371:SHF655372 SRB655371:SRB655372 TAX655371:TAX655372 TKT655371:TKT655372 TUP655371:TUP655372 UEL655371:UEL655372 UOH655371:UOH655372 UYD655371:UYD655372 VHZ655371:VHZ655372 VRV655371:VRV655372 WBR655371:WBR655372 WLN655371:WLN655372 WVJ655371:WVJ655372 B720907:B720908 IX720907:IX720908 ST720907:ST720908 ACP720907:ACP720908 AML720907:AML720908 AWH720907:AWH720908 BGD720907:BGD720908 BPZ720907:BPZ720908 BZV720907:BZV720908 CJR720907:CJR720908 CTN720907:CTN720908 DDJ720907:DDJ720908 DNF720907:DNF720908 DXB720907:DXB720908 EGX720907:EGX720908 EQT720907:EQT720908 FAP720907:FAP720908 FKL720907:FKL720908 FUH720907:FUH720908 GED720907:GED720908 GNZ720907:GNZ720908 GXV720907:GXV720908 HHR720907:HHR720908 HRN720907:HRN720908 IBJ720907:IBJ720908 ILF720907:ILF720908 IVB720907:IVB720908 JEX720907:JEX720908 JOT720907:JOT720908 JYP720907:JYP720908 KIL720907:KIL720908 KSH720907:KSH720908 LCD720907:LCD720908 LLZ720907:LLZ720908 LVV720907:LVV720908 MFR720907:MFR720908 MPN720907:MPN720908 MZJ720907:MZJ720908 NJF720907:NJF720908 NTB720907:NTB720908 OCX720907:OCX720908 OMT720907:OMT720908 OWP720907:OWP720908 PGL720907:PGL720908 PQH720907:PQH720908 QAD720907:QAD720908 QJZ720907:QJZ720908 QTV720907:QTV720908 RDR720907:RDR720908 RNN720907:RNN720908 RXJ720907:RXJ720908 SHF720907:SHF720908 SRB720907:SRB720908 TAX720907:TAX720908 TKT720907:TKT720908 TUP720907:TUP720908 UEL720907:UEL720908 UOH720907:UOH720908 UYD720907:UYD720908 VHZ720907:VHZ720908 VRV720907:VRV720908 WBR720907:WBR720908 WLN720907:WLN720908 WVJ720907:WVJ720908 B786443:B786444 IX786443:IX786444 ST786443:ST786444 ACP786443:ACP786444 AML786443:AML786444 AWH786443:AWH786444 BGD786443:BGD786444 BPZ786443:BPZ786444 BZV786443:BZV786444 CJR786443:CJR786444 CTN786443:CTN786444 DDJ786443:DDJ786444 DNF786443:DNF786444 DXB786443:DXB786444 EGX786443:EGX786444 EQT786443:EQT786444 FAP786443:FAP786444 FKL786443:FKL786444 FUH786443:FUH786444 GED786443:GED786444 GNZ786443:GNZ786444 GXV786443:GXV786444 HHR786443:HHR786444 HRN786443:HRN786444 IBJ786443:IBJ786444 ILF786443:ILF786444 IVB786443:IVB786444 JEX786443:JEX786444 JOT786443:JOT786444 JYP786443:JYP786444 KIL786443:KIL786444 KSH786443:KSH786444 LCD786443:LCD786444 LLZ786443:LLZ786444 LVV786443:LVV786444 MFR786443:MFR786444 MPN786443:MPN786444 MZJ786443:MZJ786444 NJF786443:NJF786444 NTB786443:NTB786444 OCX786443:OCX786444 OMT786443:OMT786444 OWP786443:OWP786444 PGL786443:PGL786444 PQH786443:PQH786444 QAD786443:QAD786444 QJZ786443:QJZ786444 QTV786443:QTV786444 RDR786443:RDR786444 RNN786443:RNN786444 RXJ786443:RXJ786444 SHF786443:SHF786444 SRB786443:SRB786444 TAX786443:TAX786444 TKT786443:TKT786444 TUP786443:TUP786444 UEL786443:UEL786444 UOH786443:UOH786444 UYD786443:UYD786444 VHZ786443:VHZ786444 VRV786443:VRV786444 WBR786443:WBR786444 WLN786443:WLN786444 WVJ786443:WVJ786444 B851979:B851980 IX851979:IX851980 ST851979:ST851980 ACP851979:ACP851980 AML851979:AML851980 AWH851979:AWH851980 BGD851979:BGD851980 BPZ851979:BPZ851980 BZV851979:BZV851980 CJR851979:CJR851980 CTN851979:CTN851980 DDJ851979:DDJ851980 DNF851979:DNF851980 DXB851979:DXB851980 EGX851979:EGX851980 EQT851979:EQT851980 FAP851979:FAP851980 FKL851979:FKL851980 FUH851979:FUH851980 GED851979:GED851980 GNZ851979:GNZ851980 GXV851979:GXV851980 HHR851979:HHR851980 HRN851979:HRN851980 IBJ851979:IBJ851980 ILF851979:ILF851980 IVB851979:IVB851980 JEX851979:JEX851980 JOT851979:JOT851980 JYP851979:JYP851980 KIL851979:KIL851980 KSH851979:KSH851980 LCD851979:LCD851980 LLZ851979:LLZ851980 LVV851979:LVV851980 MFR851979:MFR851980 MPN851979:MPN851980 MZJ851979:MZJ851980 NJF851979:NJF851980 NTB851979:NTB851980 OCX851979:OCX851980 OMT851979:OMT851980 OWP851979:OWP851980 PGL851979:PGL851980 PQH851979:PQH851980 QAD851979:QAD851980 QJZ851979:QJZ851980 QTV851979:QTV851980 RDR851979:RDR851980 RNN851979:RNN851980 RXJ851979:RXJ851980 SHF851979:SHF851980 SRB851979:SRB851980 TAX851979:TAX851980 TKT851979:TKT851980 TUP851979:TUP851980 UEL851979:UEL851980 UOH851979:UOH851980 UYD851979:UYD851980 VHZ851979:VHZ851980 VRV851979:VRV851980 WBR851979:WBR851980 WLN851979:WLN851980 WVJ851979:WVJ851980 B917515:B917516 IX917515:IX917516 ST917515:ST917516 ACP917515:ACP917516 AML917515:AML917516 AWH917515:AWH917516 BGD917515:BGD917516 BPZ917515:BPZ917516 BZV917515:BZV917516 CJR917515:CJR917516 CTN917515:CTN917516 DDJ917515:DDJ917516 DNF917515:DNF917516 DXB917515:DXB917516 EGX917515:EGX917516 EQT917515:EQT917516 FAP917515:FAP917516 FKL917515:FKL917516 FUH917515:FUH917516 GED917515:GED917516 GNZ917515:GNZ917516 GXV917515:GXV917516 HHR917515:HHR917516 HRN917515:HRN917516 IBJ917515:IBJ917516 ILF917515:ILF917516 IVB917515:IVB917516 JEX917515:JEX917516 JOT917515:JOT917516 JYP917515:JYP917516 KIL917515:KIL917516 KSH917515:KSH917516 LCD917515:LCD917516 LLZ917515:LLZ917516 LVV917515:LVV917516 MFR917515:MFR917516 MPN917515:MPN917516 MZJ917515:MZJ917516 NJF917515:NJF917516 NTB917515:NTB917516 OCX917515:OCX917516 OMT917515:OMT917516 OWP917515:OWP917516 PGL917515:PGL917516 PQH917515:PQH917516 QAD917515:QAD917516 QJZ917515:QJZ917516 QTV917515:QTV917516 RDR917515:RDR917516 RNN917515:RNN917516 RXJ917515:RXJ917516 SHF917515:SHF917516 SRB917515:SRB917516 TAX917515:TAX917516 TKT917515:TKT917516 TUP917515:TUP917516 UEL917515:UEL917516 UOH917515:UOH917516 UYD917515:UYD917516 VHZ917515:VHZ917516 VRV917515:VRV917516 WBR917515:WBR917516 WLN917515:WLN917516 WVJ917515:WVJ917516 B983051:B983052 IX983051:IX983052 ST983051:ST983052 ACP983051:ACP983052 AML983051:AML983052 AWH983051:AWH983052 BGD983051:BGD983052 BPZ983051:BPZ983052 BZV983051:BZV983052 CJR983051:CJR983052 CTN983051:CTN983052 DDJ983051:DDJ983052 DNF983051:DNF983052 DXB983051:DXB983052 EGX983051:EGX983052 EQT983051:EQT983052 FAP983051:FAP983052 FKL983051:FKL983052 FUH983051:FUH983052 GED983051:GED983052 GNZ983051:GNZ983052 GXV983051:GXV983052 HHR983051:HHR983052 HRN983051:HRN983052 IBJ983051:IBJ983052 ILF983051:ILF983052 IVB983051:IVB983052 JEX983051:JEX983052 JOT983051:JOT983052 JYP983051:JYP983052 KIL983051:KIL983052 KSH983051:KSH983052 LCD983051:LCD983052 LLZ983051:LLZ983052 LVV983051:LVV983052 MFR983051:MFR983052 MPN983051:MPN983052 MZJ983051:MZJ983052 NJF983051:NJF983052 NTB983051:NTB983052 OCX983051:OCX983052 OMT983051:OMT983052 OWP983051:OWP983052 PGL983051:PGL983052 PQH983051:PQH983052 QAD983051:QAD983052 QJZ983051:QJZ983052 QTV983051:QTV983052 RDR983051:RDR983052 RNN983051:RNN983052 RXJ983051:RXJ983052 SHF983051:SHF983052 SRB983051:SRB983052 TAX983051:TAX983052 TKT983051:TKT983052 TUP983051:TUP983052 UEL983051:UEL983052 UOH983051:UOH983052 UYD983051:UYD983052 VHZ983051:VHZ983052 VRV983051:VRV983052 WBR983051:WBR983052 WLN983051:WLN983052 WVJ983051:WVJ983052 B14 IX14 ST14 ACP14 AML14 AWH14 BGD14 BPZ14 BZV14 CJR14 CTN14 DDJ14 DNF14 DXB14 EGX14 EQT14 FAP14 FKL14 FUH14 GED14 GNZ14 GXV14 HHR14 HRN14 IBJ14 ILF14 IVB14 JEX14 JOT14 JYP14 KIL14 KSH14 LCD14 LLZ14 LVV14 MFR14 MPN14 MZJ14 NJF14 NTB14 OCX14 OMT14 OWP14 PGL14 PQH14 QAD14 QJZ14 QTV14 RDR14 RNN14 RXJ14 SHF14 SRB14 TAX14 TKT14 TUP14 UEL14 UOH14 UYD14 VHZ14 VRV14 WBR14 WLN14 WVJ14 B65550 IX65550 ST65550 ACP65550 AML65550 AWH65550 BGD65550 BPZ65550 BZV65550 CJR65550 CTN65550 DDJ65550 DNF65550 DXB65550 EGX65550 EQT65550 FAP65550 FKL65550 FUH65550 GED65550 GNZ65550 GXV65550 HHR65550 HRN65550 IBJ65550 ILF65550 IVB65550 JEX65550 JOT65550 JYP65550 KIL65550 KSH65550 LCD65550 LLZ65550 LVV65550 MFR65550 MPN65550 MZJ65550 NJF65550 NTB65550 OCX65550 OMT65550 OWP65550 PGL65550 PQH65550 QAD65550 QJZ65550 QTV65550 RDR65550 RNN65550 RXJ65550 SHF65550 SRB65550 TAX65550 TKT65550 TUP65550 UEL65550 UOH65550 UYD65550 VHZ65550 VRV65550 WBR65550 WLN65550 WVJ65550 B131086 IX131086 ST131086 ACP131086 AML131086 AWH131086 BGD131086 BPZ131086 BZV131086 CJR131086 CTN131086 DDJ131086 DNF131086 DXB131086 EGX131086 EQT131086 FAP131086 FKL131086 FUH131086 GED131086 GNZ131086 GXV131086 HHR131086 HRN131086 IBJ131086 ILF131086 IVB131086 JEX131086 JOT131086 JYP131086 KIL131086 KSH131086 LCD131086 LLZ131086 LVV131086 MFR131086 MPN131086 MZJ131086 NJF131086 NTB131086 OCX131086 OMT131086 OWP131086 PGL131086 PQH131086 QAD131086 QJZ131086 QTV131086 RDR131086 RNN131086 RXJ131086 SHF131086 SRB131086 TAX131086 TKT131086 TUP131086 UEL131086 UOH131086 UYD131086 VHZ131086 VRV131086 WBR131086 WLN131086 WVJ131086 B196622 IX196622 ST196622 ACP196622 AML196622 AWH196622 BGD196622 BPZ196622 BZV196622 CJR196622 CTN196622 DDJ196622 DNF196622 DXB196622 EGX196622 EQT196622 FAP196622 FKL196622 FUH196622 GED196622 GNZ196622 GXV196622 HHR196622 HRN196622 IBJ196622 ILF196622 IVB196622 JEX196622 JOT196622 JYP196622 KIL196622 KSH196622 LCD196622 LLZ196622 LVV196622 MFR196622 MPN196622 MZJ196622 NJF196622 NTB196622 OCX196622 OMT196622 OWP196622 PGL196622 PQH196622 QAD196622 QJZ196622 QTV196622 RDR196622 RNN196622 RXJ196622 SHF196622 SRB196622 TAX196622 TKT196622 TUP196622 UEL196622 UOH196622 UYD196622 VHZ196622 VRV196622 WBR196622 WLN196622 WVJ196622 B262158 IX262158 ST262158 ACP262158 AML262158 AWH262158 BGD262158 BPZ262158 BZV262158 CJR262158 CTN262158 DDJ262158 DNF262158 DXB262158 EGX262158 EQT262158 FAP262158 FKL262158 FUH262158 GED262158 GNZ262158 GXV262158 HHR262158 HRN262158 IBJ262158 ILF262158 IVB262158 JEX262158 JOT262158 JYP262158 KIL262158 KSH262158 LCD262158 LLZ262158 LVV262158 MFR262158 MPN262158 MZJ262158 NJF262158 NTB262158 OCX262158 OMT262158 OWP262158 PGL262158 PQH262158 QAD262158 QJZ262158 QTV262158 RDR262158 RNN262158 RXJ262158 SHF262158 SRB262158 TAX262158 TKT262158 TUP262158 UEL262158 UOH262158 UYD262158 VHZ262158 VRV262158 WBR262158 WLN262158 WVJ262158 B327694 IX327694 ST327694 ACP327694 AML327694 AWH327694 BGD327694 BPZ327694 BZV327694 CJR327694 CTN327694 DDJ327694 DNF327694 DXB327694 EGX327694 EQT327694 FAP327694 FKL327694 FUH327694 GED327694 GNZ327694 GXV327694 HHR327694 HRN327694 IBJ327694 ILF327694 IVB327694 JEX327694 JOT327694 JYP327694 KIL327694 KSH327694 LCD327694 LLZ327694 LVV327694 MFR327694 MPN327694 MZJ327694 NJF327694 NTB327694 OCX327694 OMT327694 OWP327694 PGL327694 PQH327694 QAD327694 QJZ327694 QTV327694 RDR327694 RNN327694 RXJ327694 SHF327694 SRB327694 TAX327694 TKT327694 TUP327694 UEL327694 UOH327694 UYD327694 VHZ327694 VRV327694 WBR327694 WLN327694 WVJ327694 B393230 IX393230 ST393230 ACP393230 AML393230 AWH393230 BGD393230 BPZ393230 BZV393230 CJR393230 CTN393230 DDJ393230 DNF393230 DXB393230 EGX393230 EQT393230 FAP393230 FKL393230 FUH393230 GED393230 GNZ393230 GXV393230 HHR393230 HRN393230 IBJ393230 ILF393230 IVB393230 JEX393230 JOT393230 JYP393230 KIL393230 KSH393230 LCD393230 LLZ393230 LVV393230 MFR393230 MPN393230 MZJ393230 NJF393230 NTB393230 OCX393230 OMT393230 OWP393230 PGL393230 PQH393230 QAD393230 QJZ393230 QTV393230 RDR393230 RNN393230 RXJ393230 SHF393230 SRB393230 TAX393230 TKT393230 TUP393230 UEL393230 UOH393230 UYD393230 VHZ393230 VRV393230 WBR393230 WLN393230 WVJ393230 B458766 IX458766 ST458766 ACP458766 AML458766 AWH458766 BGD458766 BPZ458766 BZV458766 CJR458766 CTN458766 DDJ458766 DNF458766 DXB458766 EGX458766 EQT458766 FAP458766 FKL458766 FUH458766 GED458766 GNZ458766 GXV458766 HHR458766 HRN458766 IBJ458766 ILF458766 IVB458766 JEX458766 JOT458766 JYP458766 KIL458766 KSH458766 LCD458766 LLZ458766 LVV458766 MFR458766 MPN458766 MZJ458766 NJF458766 NTB458766 OCX458766 OMT458766 OWP458766 PGL458766 PQH458766 QAD458766 QJZ458766 QTV458766 RDR458766 RNN458766 RXJ458766 SHF458766 SRB458766 TAX458766 TKT458766 TUP458766 UEL458766 UOH458766 UYD458766 VHZ458766 VRV458766 WBR458766 WLN458766 WVJ458766 B524302 IX524302 ST524302 ACP524302 AML524302 AWH524302 BGD524302 BPZ524302 BZV524302 CJR524302 CTN524302 DDJ524302 DNF524302 DXB524302 EGX524302 EQT524302 FAP524302 FKL524302 FUH524302 GED524302 GNZ524302 GXV524302 HHR524302 HRN524302 IBJ524302 ILF524302 IVB524302 JEX524302 JOT524302 JYP524302 KIL524302 KSH524302 LCD524302 LLZ524302 LVV524302 MFR524302 MPN524302 MZJ524302 NJF524302 NTB524302 OCX524302 OMT524302 OWP524302 PGL524302 PQH524302 QAD524302 QJZ524302 QTV524302 RDR524302 RNN524302 RXJ524302 SHF524302 SRB524302 TAX524302 TKT524302 TUP524302 UEL524302 UOH524302 UYD524302 VHZ524302 VRV524302 WBR524302 WLN524302 WVJ524302 B589838 IX589838 ST589838 ACP589838 AML589838 AWH589838 BGD589838 BPZ589838 BZV589838 CJR589838 CTN589838 DDJ589838 DNF589838 DXB589838 EGX589838 EQT589838 FAP589838 FKL589838 FUH589838 GED589838 GNZ589838 GXV589838 HHR589838 HRN589838 IBJ589838 ILF589838 IVB589838 JEX589838 JOT589838 JYP589838 KIL589838 KSH589838 LCD589838 LLZ589838 LVV589838 MFR589838 MPN589838 MZJ589838 NJF589838 NTB589838 OCX589838 OMT589838 OWP589838 PGL589838 PQH589838 QAD589838 QJZ589838 QTV589838 RDR589838 RNN589838 RXJ589838 SHF589838 SRB589838 TAX589838 TKT589838 TUP589838 UEL589838 UOH589838 UYD589838 VHZ589838 VRV589838 WBR589838 WLN589838 WVJ589838 B655374 IX655374 ST655374 ACP655374 AML655374 AWH655374 BGD655374 BPZ655374 BZV655374 CJR655374 CTN655374 DDJ655374 DNF655374 DXB655374 EGX655374 EQT655374 FAP655374 FKL655374 FUH655374 GED655374 GNZ655374 GXV655374 HHR655374 HRN655374 IBJ655374 ILF655374 IVB655374 JEX655374 JOT655374 JYP655374 KIL655374 KSH655374 LCD655374 LLZ655374 LVV655374 MFR655374 MPN655374 MZJ655374 NJF655374 NTB655374 OCX655374 OMT655374 OWP655374 PGL655374 PQH655374 QAD655374 QJZ655374 QTV655374 RDR655374 RNN655374 RXJ655374 SHF655374 SRB655374 TAX655374 TKT655374 TUP655374 UEL655374 UOH655374 UYD655374 VHZ655374 VRV655374 WBR655374 WLN655374 WVJ655374 B720910 IX720910 ST720910 ACP720910 AML720910 AWH720910 BGD720910 BPZ720910 BZV720910 CJR720910 CTN720910 DDJ720910 DNF720910 DXB720910 EGX720910 EQT720910 FAP720910 FKL720910 FUH720910 GED720910 GNZ720910 GXV720910 HHR720910 HRN720910 IBJ720910 ILF720910 IVB720910 JEX720910 JOT720910 JYP720910 KIL720910 KSH720910 LCD720910 LLZ720910 LVV720910 MFR720910 MPN720910 MZJ720910 NJF720910 NTB720910 OCX720910 OMT720910 OWP720910 PGL720910 PQH720910 QAD720910 QJZ720910 QTV720910 RDR720910 RNN720910 RXJ720910 SHF720910 SRB720910 TAX720910 TKT720910 TUP720910 UEL720910 UOH720910 UYD720910 VHZ720910 VRV720910 WBR720910 WLN720910 WVJ720910 B786446 IX786446 ST786446 ACP786446 AML786446 AWH786446 BGD786446 BPZ786446 BZV786446 CJR786446 CTN786446 DDJ786446 DNF786446 DXB786446 EGX786446 EQT786446 FAP786446 FKL786446 FUH786446 GED786446 GNZ786446 GXV786446 HHR786446 HRN786446 IBJ786446 ILF786446 IVB786446 JEX786446 JOT786446 JYP786446 KIL786446 KSH786446 LCD786446 LLZ786446 LVV786446 MFR786446 MPN786446 MZJ786446 NJF786446 NTB786446 OCX786446 OMT786446 OWP786446 PGL786446 PQH786446 QAD786446 QJZ786446 QTV786446 RDR786446 RNN786446 RXJ786446 SHF786446 SRB786446 TAX786446 TKT786446 TUP786446 UEL786446 UOH786446 UYD786446 VHZ786446 VRV786446 WBR786446 WLN786446 WVJ786446 B851982 IX851982 ST851982 ACP851982 AML851982 AWH851982 BGD851982 BPZ851982 BZV851982 CJR851982 CTN851982 DDJ851982 DNF851982 DXB851982 EGX851982 EQT851982 FAP851982 FKL851982 FUH851982 GED851982 GNZ851982 GXV851982 HHR851982 HRN851982 IBJ851982 ILF851982 IVB851982 JEX851982 JOT851982 JYP851982 KIL851982 KSH851982 LCD851982 LLZ851982 LVV851982 MFR851982 MPN851982 MZJ851982 NJF851982 NTB851982 OCX851982 OMT851982 OWP851982 PGL851982 PQH851982 QAD851982 QJZ851982 QTV851982 RDR851982 RNN851982 RXJ851982 SHF851982 SRB851982 TAX851982 TKT851982 TUP851982 UEL851982 UOH851982 UYD851982 VHZ851982 VRV851982 WBR851982 WLN851982 WVJ851982 B917518 IX917518 ST917518 ACP917518 AML917518 AWH917518 BGD917518 BPZ917518 BZV917518 CJR917518 CTN917518 DDJ917518 DNF917518 DXB917518 EGX917518 EQT917518 FAP917518 FKL917518 FUH917518 GED917518 GNZ917518 GXV917518 HHR917518 HRN917518 IBJ917518 ILF917518 IVB917518 JEX917518 JOT917518 JYP917518 KIL917518 KSH917518 LCD917518 LLZ917518 LVV917518 MFR917518 MPN917518 MZJ917518 NJF917518 NTB917518 OCX917518 OMT917518 OWP917518 PGL917518 PQH917518 QAD917518 QJZ917518 QTV917518 RDR917518 RNN917518 RXJ917518 SHF917518 SRB917518 TAX917518 TKT917518 TUP917518 UEL917518 UOH917518 UYD917518 VHZ917518 VRV917518 WBR917518 WLN917518 WVJ917518 B983054 IX983054 ST983054 ACP983054 AML983054 AWH983054 BGD983054 BPZ983054 BZV983054 CJR983054 CTN983054 DDJ983054 DNF983054 DXB983054 EGX983054 EQT983054 FAP983054 FKL983054 FUH983054 GED983054 GNZ983054 GXV983054 HHR983054 HRN983054 IBJ983054 ILF983054 IVB983054 JEX983054 JOT983054 JYP983054 KIL983054 KSH983054 LCD983054 LLZ983054 LVV983054 MFR983054 MPN983054 MZJ983054 NJF983054 NTB983054 OCX983054 OMT983054 OWP983054 PGL983054 PQH983054 QAD983054 QJZ983054 QTV983054 RDR983054 RNN983054 RXJ983054 SHF983054 SRB983054 TAX983054 TKT983054 TUP983054 UEL983054 UOH983054 UYD983054 VHZ983054 VRV983054 WBR983054 WLN983054 WVJ983054">
      <formula1>1</formula1>
    </dataValidation>
    <dataValidation type="whole" operator="greaterThanOrEqual" allowBlank="1" showErrorMessage="1" error="Введите как целое положительное число." sqref="B17 IX17 ST17 ACP17 AML17 AWH17 BGD17 BPZ17 BZV17 CJR17 CTN17 DDJ17 DNF17 DXB17 EGX17 EQT17 FAP17 FKL17 FUH17 GED17 GNZ17 GXV17 HHR17 HRN17 IBJ17 ILF17 IVB17 JEX17 JOT17 JYP17 KIL17 KSH17 LCD17 LLZ17 LVV17 MFR17 MPN17 MZJ17 NJF17 NTB17 OCX17 OMT17 OWP17 PGL17 PQH17 QAD17 QJZ17 QTV17 RDR17 RNN17 RXJ17 SHF17 SRB17 TAX17 TKT17 TUP17 UEL17 UOH17 UYD17 VHZ17 VRV17 WBR17 WLN17 WVJ17 B65553 IX65553 ST65553 ACP65553 AML65553 AWH65553 BGD65553 BPZ65553 BZV65553 CJR65553 CTN65553 DDJ65553 DNF65553 DXB65553 EGX65553 EQT65553 FAP65553 FKL65553 FUH65553 GED65553 GNZ65553 GXV65553 HHR65553 HRN65553 IBJ65553 ILF65553 IVB65553 JEX65553 JOT65553 JYP65553 KIL65553 KSH65553 LCD65553 LLZ65553 LVV65553 MFR65553 MPN65553 MZJ65553 NJF65553 NTB65553 OCX65553 OMT65553 OWP65553 PGL65553 PQH65553 QAD65553 QJZ65553 QTV65553 RDR65553 RNN65553 RXJ65553 SHF65553 SRB65553 TAX65553 TKT65553 TUP65553 UEL65553 UOH65553 UYD65553 VHZ65553 VRV65553 WBR65553 WLN65553 WVJ65553 B131089 IX131089 ST131089 ACP131089 AML131089 AWH131089 BGD131089 BPZ131089 BZV131089 CJR131089 CTN131089 DDJ131089 DNF131089 DXB131089 EGX131089 EQT131089 FAP131089 FKL131089 FUH131089 GED131089 GNZ131089 GXV131089 HHR131089 HRN131089 IBJ131089 ILF131089 IVB131089 JEX131089 JOT131089 JYP131089 KIL131089 KSH131089 LCD131089 LLZ131089 LVV131089 MFR131089 MPN131089 MZJ131089 NJF131089 NTB131089 OCX131089 OMT131089 OWP131089 PGL131089 PQH131089 QAD131089 QJZ131089 QTV131089 RDR131089 RNN131089 RXJ131089 SHF131089 SRB131089 TAX131089 TKT131089 TUP131089 UEL131089 UOH131089 UYD131089 VHZ131089 VRV131089 WBR131089 WLN131089 WVJ131089 B196625 IX196625 ST196625 ACP196625 AML196625 AWH196625 BGD196625 BPZ196625 BZV196625 CJR196625 CTN196625 DDJ196625 DNF196625 DXB196625 EGX196625 EQT196625 FAP196625 FKL196625 FUH196625 GED196625 GNZ196625 GXV196625 HHR196625 HRN196625 IBJ196625 ILF196625 IVB196625 JEX196625 JOT196625 JYP196625 KIL196625 KSH196625 LCD196625 LLZ196625 LVV196625 MFR196625 MPN196625 MZJ196625 NJF196625 NTB196625 OCX196625 OMT196625 OWP196625 PGL196625 PQH196625 QAD196625 QJZ196625 QTV196625 RDR196625 RNN196625 RXJ196625 SHF196625 SRB196625 TAX196625 TKT196625 TUP196625 UEL196625 UOH196625 UYD196625 VHZ196625 VRV196625 WBR196625 WLN196625 WVJ196625 B262161 IX262161 ST262161 ACP262161 AML262161 AWH262161 BGD262161 BPZ262161 BZV262161 CJR262161 CTN262161 DDJ262161 DNF262161 DXB262161 EGX262161 EQT262161 FAP262161 FKL262161 FUH262161 GED262161 GNZ262161 GXV262161 HHR262161 HRN262161 IBJ262161 ILF262161 IVB262161 JEX262161 JOT262161 JYP262161 KIL262161 KSH262161 LCD262161 LLZ262161 LVV262161 MFR262161 MPN262161 MZJ262161 NJF262161 NTB262161 OCX262161 OMT262161 OWP262161 PGL262161 PQH262161 QAD262161 QJZ262161 QTV262161 RDR262161 RNN262161 RXJ262161 SHF262161 SRB262161 TAX262161 TKT262161 TUP262161 UEL262161 UOH262161 UYD262161 VHZ262161 VRV262161 WBR262161 WLN262161 WVJ262161 B327697 IX327697 ST327697 ACP327697 AML327697 AWH327697 BGD327697 BPZ327697 BZV327697 CJR327697 CTN327697 DDJ327697 DNF327697 DXB327697 EGX327697 EQT327697 FAP327697 FKL327697 FUH327697 GED327697 GNZ327697 GXV327697 HHR327697 HRN327697 IBJ327697 ILF327697 IVB327697 JEX327697 JOT327697 JYP327697 KIL327697 KSH327697 LCD327697 LLZ327697 LVV327697 MFR327697 MPN327697 MZJ327697 NJF327697 NTB327697 OCX327697 OMT327697 OWP327697 PGL327697 PQH327697 QAD327697 QJZ327697 QTV327697 RDR327697 RNN327697 RXJ327697 SHF327697 SRB327697 TAX327697 TKT327697 TUP327697 UEL327697 UOH327697 UYD327697 VHZ327697 VRV327697 WBR327697 WLN327697 WVJ327697 B393233 IX393233 ST393233 ACP393233 AML393233 AWH393233 BGD393233 BPZ393233 BZV393233 CJR393233 CTN393233 DDJ393233 DNF393233 DXB393233 EGX393233 EQT393233 FAP393233 FKL393233 FUH393233 GED393233 GNZ393233 GXV393233 HHR393233 HRN393233 IBJ393233 ILF393233 IVB393233 JEX393233 JOT393233 JYP393233 KIL393233 KSH393233 LCD393233 LLZ393233 LVV393233 MFR393233 MPN393233 MZJ393233 NJF393233 NTB393233 OCX393233 OMT393233 OWP393233 PGL393233 PQH393233 QAD393233 QJZ393233 QTV393233 RDR393233 RNN393233 RXJ393233 SHF393233 SRB393233 TAX393233 TKT393233 TUP393233 UEL393233 UOH393233 UYD393233 VHZ393233 VRV393233 WBR393233 WLN393233 WVJ393233 B458769 IX458769 ST458769 ACP458769 AML458769 AWH458769 BGD458769 BPZ458769 BZV458769 CJR458769 CTN458769 DDJ458769 DNF458769 DXB458769 EGX458769 EQT458769 FAP458769 FKL458769 FUH458769 GED458769 GNZ458769 GXV458769 HHR458769 HRN458769 IBJ458769 ILF458769 IVB458769 JEX458769 JOT458769 JYP458769 KIL458769 KSH458769 LCD458769 LLZ458769 LVV458769 MFR458769 MPN458769 MZJ458769 NJF458769 NTB458769 OCX458769 OMT458769 OWP458769 PGL458769 PQH458769 QAD458769 QJZ458769 QTV458769 RDR458769 RNN458769 RXJ458769 SHF458769 SRB458769 TAX458769 TKT458769 TUP458769 UEL458769 UOH458769 UYD458769 VHZ458769 VRV458769 WBR458769 WLN458769 WVJ458769 B524305 IX524305 ST524305 ACP524305 AML524305 AWH524305 BGD524305 BPZ524305 BZV524305 CJR524305 CTN524305 DDJ524305 DNF524305 DXB524305 EGX524305 EQT524305 FAP524305 FKL524305 FUH524305 GED524305 GNZ524305 GXV524305 HHR524305 HRN524305 IBJ524305 ILF524305 IVB524305 JEX524305 JOT524305 JYP524305 KIL524305 KSH524305 LCD524305 LLZ524305 LVV524305 MFR524305 MPN524305 MZJ524305 NJF524305 NTB524305 OCX524305 OMT524305 OWP524305 PGL524305 PQH524305 QAD524305 QJZ524305 QTV524305 RDR524305 RNN524305 RXJ524305 SHF524305 SRB524305 TAX524305 TKT524305 TUP524305 UEL524305 UOH524305 UYD524305 VHZ524305 VRV524305 WBR524305 WLN524305 WVJ524305 B589841 IX589841 ST589841 ACP589841 AML589841 AWH589841 BGD589841 BPZ589841 BZV589841 CJR589841 CTN589841 DDJ589841 DNF589841 DXB589841 EGX589841 EQT589841 FAP589841 FKL589841 FUH589841 GED589841 GNZ589841 GXV589841 HHR589841 HRN589841 IBJ589841 ILF589841 IVB589841 JEX589841 JOT589841 JYP589841 KIL589841 KSH589841 LCD589841 LLZ589841 LVV589841 MFR589841 MPN589841 MZJ589841 NJF589841 NTB589841 OCX589841 OMT589841 OWP589841 PGL589841 PQH589841 QAD589841 QJZ589841 QTV589841 RDR589841 RNN589841 RXJ589841 SHF589841 SRB589841 TAX589841 TKT589841 TUP589841 UEL589841 UOH589841 UYD589841 VHZ589841 VRV589841 WBR589841 WLN589841 WVJ589841 B655377 IX655377 ST655377 ACP655377 AML655377 AWH655377 BGD655377 BPZ655377 BZV655377 CJR655377 CTN655377 DDJ655377 DNF655377 DXB655377 EGX655377 EQT655377 FAP655377 FKL655377 FUH655377 GED655377 GNZ655377 GXV655377 HHR655377 HRN655377 IBJ655377 ILF655377 IVB655377 JEX655377 JOT655377 JYP655377 KIL655377 KSH655377 LCD655377 LLZ655377 LVV655377 MFR655377 MPN655377 MZJ655377 NJF655377 NTB655377 OCX655377 OMT655377 OWP655377 PGL655377 PQH655377 QAD655377 QJZ655377 QTV655377 RDR655377 RNN655377 RXJ655377 SHF655377 SRB655377 TAX655377 TKT655377 TUP655377 UEL655377 UOH655377 UYD655377 VHZ655377 VRV655377 WBR655377 WLN655377 WVJ655377 B720913 IX720913 ST720913 ACP720913 AML720913 AWH720913 BGD720913 BPZ720913 BZV720913 CJR720913 CTN720913 DDJ720913 DNF720913 DXB720913 EGX720913 EQT720913 FAP720913 FKL720913 FUH720913 GED720913 GNZ720913 GXV720913 HHR720913 HRN720913 IBJ720913 ILF720913 IVB720913 JEX720913 JOT720913 JYP720913 KIL720913 KSH720913 LCD720913 LLZ720913 LVV720913 MFR720913 MPN720913 MZJ720913 NJF720913 NTB720913 OCX720913 OMT720913 OWP720913 PGL720913 PQH720913 QAD720913 QJZ720913 QTV720913 RDR720913 RNN720913 RXJ720913 SHF720913 SRB720913 TAX720913 TKT720913 TUP720913 UEL720913 UOH720913 UYD720913 VHZ720913 VRV720913 WBR720913 WLN720913 WVJ720913 B786449 IX786449 ST786449 ACP786449 AML786449 AWH786449 BGD786449 BPZ786449 BZV786449 CJR786449 CTN786449 DDJ786449 DNF786449 DXB786449 EGX786449 EQT786449 FAP786449 FKL786449 FUH786449 GED786449 GNZ786449 GXV786449 HHR786449 HRN786449 IBJ786449 ILF786449 IVB786449 JEX786449 JOT786449 JYP786449 KIL786449 KSH786449 LCD786449 LLZ786449 LVV786449 MFR786449 MPN786449 MZJ786449 NJF786449 NTB786449 OCX786449 OMT786449 OWP786449 PGL786449 PQH786449 QAD786449 QJZ786449 QTV786449 RDR786449 RNN786449 RXJ786449 SHF786449 SRB786449 TAX786449 TKT786449 TUP786449 UEL786449 UOH786449 UYD786449 VHZ786449 VRV786449 WBR786449 WLN786449 WVJ786449 B851985 IX851985 ST851985 ACP851985 AML851985 AWH851985 BGD851985 BPZ851985 BZV851985 CJR851985 CTN851985 DDJ851985 DNF851985 DXB851985 EGX851985 EQT851985 FAP851985 FKL851985 FUH851985 GED851985 GNZ851985 GXV851985 HHR851985 HRN851985 IBJ851985 ILF851985 IVB851985 JEX851985 JOT851985 JYP851985 KIL851985 KSH851985 LCD851985 LLZ851985 LVV851985 MFR851985 MPN851985 MZJ851985 NJF851985 NTB851985 OCX851985 OMT851985 OWP851985 PGL851985 PQH851985 QAD851985 QJZ851985 QTV851985 RDR851985 RNN851985 RXJ851985 SHF851985 SRB851985 TAX851985 TKT851985 TUP851985 UEL851985 UOH851985 UYD851985 VHZ851985 VRV851985 WBR851985 WLN851985 WVJ851985 B917521 IX917521 ST917521 ACP917521 AML917521 AWH917521 BGD917521 BPZ917521 BZV917521 CJR917521 CTN917521 DDJ917521 DNF917521 DXB917521 EGX917521 EQT917521 FAP917521 FKL917521 FUH917521 GED917521 GNZ917521 GXV917521 HHR917521 HRN917521 IBJ917521 ILF917521 IVB917521 JEX917521 JOT917521 JYP917521 KIL917521 KSH917521 LCD917521 LLZ917521 LVV917521 MFR917521 MPN917521 MZJ917521 NJF917521 NTB917521 OCX917521 OMT917521 OWP917521 PGL917521 PQH917521 QAD917521 QJZ917521 QTV917521 RDR917521 RNN917521 RXJ917521 SHF917521 SRB917521 TAX917521 TKT917521 TUP917521 UEL917521 UOH917521 UYD917521 VHZ917521 VRV917521 WBR917521 WLN917521 WVJ917521 B983057 IX983057 ST983057 ACP983057 AML983057 AWH983057 BGD983057 BPZ983057 BZV983057 CJR983057 CTN983057 DDJ983057 DNF983057 DXB983057 EGX983057 EQT983057 FAP983057 FKL983057 FUH983057 GED983057 GNZ983057 GXV983057 HHR983057 HRN983057 IBJ983057 ILF983057 IVB983057 JEX983057 JOT983057 JYP983057 KIL983057 KSH983057 LCD983057 LLZ983057 LVV983057 MFR983057 MPN983057 MZJ983057 NJF983057 NTB983057 OCX983057 OMT983057 OWP983057 PGL983057 PQH983057 QAD983057 QJZ983057 QTV983057 RDR983057 RNN983057 RXJ983057 SHF983057 SRB983057 TAX983057 TKT983057 TUP983057 UEL983057 UOH983057 UYD983057 VHZ983057 VRV983057 WBR983057 WLN983057 WVJ983057 B19 IX19 ST19 ACP19 AML19 AWH19 BGD19 BPZ19 BZV19 CJR19 CTN19 DDJ19 DNF19 DXB19 EGX19 EQT19 FAP19 FKL19 FUH19 GED19 GNZ19 GXV19 HHR19 HRN19 IBJ19 ILF19 IVB19 JEX19 JOT19 JYP19 KIL19 KSH19 LCD19 LLZ19 LVV19 MFR19 MPN19 MZJ19 NJF19 NTB19 OCX19 OMT19 OWP19 PGL19 PQH19 QAD19 QJZ19 QTV19 RDR19 RNN19 RXJ19 SHF19 SRB19 TAX19 TKT19 TUP19 UEL19 UOH19 UYD19 VHZ19 VRV19 WBR19 WLN19 WVJ19 B65555 IX65555 ST65555 ACP65555 AML65555 AWH65555 BGD65555 BPZ65555 BZV65555 CJR65555 CTN65555 DDJ65555 DNF65555 DXB65555 EGX65555 EQT65555 FAP65555 FKL65555 FUH65555 GED65555 GNZ65555 GXV65555 HHR65555 HRN65555 IBJ65555 ILF65555 IVB65555 JEX65555 JOT65555 JYP65555 KIL65555 KSH65555 LCD65555 LLZ65555 LVV65555 MFR65555 MPN65555 MZJ65555 NJF65555 NTB65555 OCX65555 OMT65555 OWP65555 PGL65555 PQH65555 QAD65555 QJZ65555 QTV65555 RDR65555 RNN65555 RXJ65555 SHF65555 SRB65555 TAX65555 TKT65555 TUP65555 UEL65555 UOH65555 UYD65555 VHZ65555 VRV65555 WBR65555 WLN65555 WVJ65555 B131091 IX131091 ST131091 ACP131091 AML131091 AWH131091 BGD131091 BPZ131091 BZV131091 CJR131091 CTN131091 DDJ131091 DNF131091 DXB131091 EGX131091 EQT131091 FAP131091 FKL131091 FUH131091 GED131091 GNZ131091 GXV131091 HHR131091 HRN131091 IBJ131091 ILF131091 IVB131091 JEX131091 JOT131091 JYP131091 KIL131091 KSH131091 LCD131091 LLZ131091 LVV131091 MFR131091 MPN131091 MZJ131091 NJF131091 NTB131091 OCX131091 OMT131091 OWP131091 PGL131091 PQH131091 QAD131091 QJZ131091 QTV131091 RDR131091 RNN131091 RXJ131091 SHF131091 SRB131091 TAX131091 TKT131091 TUP131091 UEL131091 UOH131091 UYD131091 VHZ131091 VRV131091 WBR131091 WLN131091 WVJ131091 B196627 IX196627 ST196627 ACP196627 AML196627 AWH196627 BGD196627 BPZ196627 BZV196627 CJR196627 CTN196627 DDJ196627 DNF196627 DXB196627 EGX196627 EQT196627 FAP196627 FKL196627 FUH196627 GED196627 GNZ196627 GXV196627 HHR196627 HRN196627 IBJ196627 ILF196627 IVB196627 JEX196627 JOT196627 JYP196627 KIL196627 KSH196627 LCD196627 LLZ196627 LVV196627 MFR196627 MPN196627 MZJ196627 NJF196627 NTB196627 OCX196627 OMT196627 OWP196627 PGL196627 PQH196627 QAD196627 QJZ196627 QTV196627 RDR196627 RNN196627 RXJ196627 SHF196627 SRB196627 TAX196627 TKT196627 TUP196627 UEL196627 UOH196627 UYD196627 VHZ196627 VRV196627 WBR196627 WLN196627 WVJ196627 B262163 IX262163 ST262163 ACP262163 AML262163 AWH262163 BGD262163 BPZ262163 BZV262163 CJR262163 CTN262163 DDJ262163 DNF262163 DXB262163 EGX262163 EQT262163 FAP262163 FKL262163 FUH262163 GED262163 GNZ262163 GXV262163 HHR262163 HRN262163 IBJ262163 ILF262163 IVB262163 JEX262163 JOT262163 JYP262163 KIL262163 KSH262163 LCD262163 LLZ262163 LVV262163 MFR262163 MPN262163 MZJ262163 NJF262163 NTB262163 OCX262163 OMT262163 OWP262163 PGL262163 PQH262163 QAD262163 QJZ262163 QTV262163 RDR262163 RNN262163 RXJ262163 SHF262163 SRB262163 TAX262163 TKT262163 TUP262163 UEL262163 UOH262163 UYD262163 VHZ262163 VRV262163 WBR262163 WLN262163 WVJ262163 B327699 IX327699 ST327699 ACP327699 AML327699 AWH327699 BGD327699 BPZ327699 BZV327699 CJR327699 CTN327699 DDJ327699 DNF327699 DXB327699 EGX327699 EQT327699 FAP327699 FKL327699 FUH327699 GED327699 GNZ327699 GXV327699 HHR327699 HRN327699 IBJ327699 ILF327699 IVB327699 JEX327699 JOT327699 JYP327699 KIL327699 KSH327699 LCD327699 LLZ327699 LVV327699 MFR327699 MPN327699 MZJ327699 NJF327699 NTB327699 OCX327699 OMT327699 OWP327699 PGL327699 PQH327699 QAD327699 QJZ327699 QTV327699 RDR327699 RNN327699 RXJ327699 SHF327699 SRB327699 TAX327699 TKT327699 TUP327699 UEL327699 UOH327699 UYD327699 VHZ327699 VRV327699 WBR327699 WLN327699 WVJ327699 B393235 IX393235 ST393235 ACP393235 AML393235 AWH393235 BGD393235 BPZ393235 BZV393235 CJR393235 CTN393235 DDJ393235 DNF393235 DXB393235 EGX393235 EQT393235 FAP393235 FKL393235 FUH393235 GED393235 GNZ393235 GXV393235 HHR393235 HRN393235 IBJ393235 ILF393235 IVB393235 JEX393235 JOT393235 JYP393235 KIL393235 KSH393235 LCD393235 LLZ393235 LVV393235 MFR393235 MPN393235 MZJ393235 NJF393235 NTB393235 OCX393235 OMT393235 OWP393235 PGL393235 PQH393235 QAD393235 QJZ393235 QTV393235 RDR393235 RNN393235 RXJ393235 SHF393235 SRB393235 TAX393235 TKT393235 TUP393235 UEL393235 UOH393235 UYD393235 VHZ393235 VRV393235 WBR393235 WLN393235 WVJ393235 B458771 IX458771 ST458771 ACP458771 AML458771 AWH458771 BGD458771 BPZ458771 BZV458771 CJR458771 CTN458771 DDJ458771 DNF458771 DXB458771 EGX458771 EQT458771 FAP458771 FKL458771 FUH458771 GED458771 GNZ458771 GXV458771 HHR458771 HRN458771 IBJ458771 ILF458771 IVB458771 JEX458771 JOT458771 JYP458771 KIL458771 KSH458771 LCD458771 LLZ458771 LVV458771 MFR458771 MPN458771 MZJ458771 NJF458771 NTB458771 OCX458771 OMT458771 OWP458771 PGL458771 PQH458771 QAD458771 QJZ458771 QTV458771 RDR458771 RNN458771 RXJ458771 SHF458771 SRB458771 TAX458771 TKT458771 TUP458771 UEL458771 UOH458771 UYD458771 VHZ458771 VRV458771 WBR458771 WLN458771 WVJ458771 B524307 IX524307 ST524307 ACP524307 AML524307 AWH524307 BGD524307 BPZ524307 BZV524307 CJR524307 CTN524307 DDJ524307 DNF524307 DXB524307 EGX524307 EQT524307 FAP524307 FKL524307 FUH524307 GED524307 GNZ524307 GXV524307 HHR524307 HRN524307 IBJ524307 ILF524307 IVB524307 JEX524307 JOT524307 JYP524307 KIL524307 KSH524307 LCD524307 LLZ524307 LVV524307 MFR524307 MPN524307 MZJ524307 NJF524307 NTB524307 OCX524307 OMT524307 OWP524307 PGL524307 PQH524307 QAD524307 QJZ524307 QTV524307 RDR524307 RNN524307 RXJ524307 SHF524307 SRB524307 TAX524307 TKT524307 TUP524307 UEL524307 UOH524307 UYD524307 VHZ524307 VRV524307 WBR524307 WLN524307 WVJ524307 B589843 IX589843 ST589843 ACP589843 AML589843 AWH589843 BGD589843 BPZ589843 BZV589843 CJR589843 CTN589843 DDJ589843 DNF589843 DXB589843 EGX589843 EQT589843 FAP589843 FKL589843 FUH589843 GED589843 GNZ589843 GXV589843 HHR589843 HRN589843 IBJ589843 ILF589843 IVB589843 JEX589843 JOT589843 JYP589843 KIL589843 KSH589843 LCD589843 LLZ589843 LVV589843 MFR589843 MPN589843 MZJ589843 NJF589843 NTB589843 OCX589843 OMT589843 OWP589843 PGL589843 PQH589843 QAD589843 QJZ589843 QTV589843 RDR589843 RNN589843 RXJ589843 SHF589843 SRB589843 TAX589843 TKT589843 TUP589843 UEL589843 UOH589843 UYD589843 VHZ589843 VRV589843 WBR589843 WLN589843 WVJ589843 B655379 IX655379 ST655379 ACP655379 AML655379 AWH655379 BGD655379 BPZ655379 BZV655379 CJR655379 CTN655379 DDJ655379 DNF655379 DXB655379 EGX655379 EQT655379 FAP655379 FKL655379 FUH655379 GED655379 GNZ655379 GXV655379 HHR655379 HRN655379 IBJ655379 ILF655379 IVB655379 JEX655379 JOT655379 JYP655379 KIL655379 KSH655379 LCD655379 LLZ655379 LVV655379 MFR655379 MPN655379 MZJ655379 NJF655379 NTB655379 OCX655379 OMT655379 OWP655379 PGL655379 PQH655379 QAD655379 QJZ655379 QTV655379 RDR655379 RNN655379 RXJ655379 SHF655379 SRB655379 TAX655379 TKT655379 TUP655379 UEL655379 UOH655379 UYD655379 VHZ655379 VRV655379 WBR655379 WLN655379 WVJ655379 B720915 IX720915 ST720915 ACP720915 AML720915 AWH720915 BGD720915 BPZ720915 BZV720915 CJR720915 CTN720915 DDJ720915 DNF720915 DXB720915 EGX720915 EQT720915 FAP720915 FKL720915 FUH720915 GED720915 GNZ720915 GXV720915 HHR720915 HRN720915 IBJ720915 ILF720915 IVB720915 JEX720915 JOT720915 JYP720915 KIL720915 KSH720915 LCD720915 LLZ720915 LVV720915 MFR720915 MPN720915 MZJ720915 NJF720915 NTB720915 OCX720915 OMT720915 OWP720915 PGL720915 PQH720915 QAD720915 QJZ720915 QTV720915 RDR720915 RNN720915 RXJ720915 SHF720915 SRB720915 TAX720915 TKT720915 TUP720915 UEL720915 UOH720915 UYD720915 VHZ720915 VRV720915 WBR720915 WLN720915 WVJ720915 B786451 IX786451 ST786451 ACP786451 AML786451 AWH786451 BGD786451 BPZ786451 BZV786451 CJR786451 CTN786451 DDJ786451 DNF786451 DXB786451 EGX786451 EQT786451 FAP786451 FKL786451 FUH786451 GED786451 GNZ786451 GXV786451 HHR786451 HRN786451 IBJ786451 ILF786451 IVB786451 JEX786451 JOT786451 JYP786451 KIL786451 KSH786451 LCD786451 LLZ786451 LVV786451 MFR786451 MPN786451 MZJ786451 NJF786451 NTB786451 OCX786451 OMT786451 OWP786451 PGL786451 PQH786451 QAD786451 QJZ786451 QTV786451 RDR786451 RNN786451 RXJ786451 SHF786451 SRB786451 TAX786451 TKT786451 TUP786451 UEL786451 UOH786451 UYD786451 VHZ786451 VRV786451 WBR786451 WLN786451 WVJ786451 B851987 IX851987 ST851987 ACP851987 AML851987 AWH851987 BGD851987 BPZ851987 BZV851987 CJR851987 CTN851987 DDJ851987 DNF851987 DXB851987 EGX851987 EQT851987 FAP851987 FKL851987 FUH851987 GED851987 GNZ851987 GXV851987 HHR851987 HRN851987 IBJ851987 ILF851987 IVB851987 JEX851987 JOT851987 JYP851987 KIL851987 KSH851987 LCD851987 LLZ851987 LVV851987 MFR851987 MPN851987 MZJ851987 NJF851987 NTB851987 OCX851987 OMT851987 OWP851987 PGL851987 PQH851987 QAD851987 QJZ851987 QTV851987 RDR851987 RNN851987 RXJ851987 SHF851987 SRB851987 TAX851987 TKT851987 TUP851987 UEL851987 UOH851987 UYD851987 VHZ851987 VRV851987 WBR851987 WLN851987 WVJ851987 B917523 IX917523 ST917523 ACP917523 AML917523 AWH917523 BGD917523 BPZ917523 BZV917523 CJR917523 CTN917523 DDJ917523 DNF917523 DXB917523 EGX917523 EQT917523 FAP917523 FKL917523 FUH917523 GED917523 GNZ917523 GXV917523 HHR917523 HRN917523 IBJ917523 ILF917523 IVB917523 JEX917523 JOT917523 JYP917523 KIL917523 KSH917523 LCD917523 LLZ917523 LVV917523 MFR917523 MPN917523 MZJ917523 NJF917523 NTB917523 OCX917523 OMT917523 OWP917523 PGL917523 PQH917523 QAD917523 QJZ917523 QTV917523 RDR917523 RNN917523 RXJ917523 SHF917523 SRB917523 TAX917523 TKT917523 TUP917523 UEL917523 UOH917523 UYD917523 VHZ917523 VRV917523 WBR917523 WLN917523 WVJ917523 B983059 IX983059 ST983059 ACP983059 AML983059 AWH983059 BGD983059 BPZ983059 BZV983059 CJR983059 CTN983059 DDJ983059 DNF983059 DXB983059 EGX983059 EQT983059 FAP983059 FKL983059 FUH983059 GED983059 GNZ983059 GXV983059 HHR983059 HRN983059 IBJ983059 ILF983059 IVB983059 JEX983059 JOT983059 JYP983059 KIL983059 KSH983059 LCD983059 LLZ983059 LVV983059 MFR983059 MPN983059 MZJ983059 NJF983059 NTB983059 OCX983059 OMT983059 OWP983059 PGL983059 PQH983059 QAD983059 QJZ983059 QTV983059 RDR983059 RNN983059 RXJ983059 SHF983059 SRB983059 TAX983059 TKT983059 TUP983059 UEL983059 UOH983059 UYD983059 VHZ983059 VRV983059 WBR983059 WLN983059 WVJ983059">
      <formula1>0</formula1>
    </dataValidation>
  </dataValidations>
  <pageMargins left="0.19685039370078741" right="0.19685039370078741" top="0.98425196850393704" bottom="0.98425196850393704" header="0.51181102362204722" footer="0.51181102362204722"/>
  <pageSetup paperSize="9" scale="9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8</vt:i4>
      </vt:variant>
    </vt:vector>
  </HeadingPairs>
  <TitlesOfParts>
    <vt:vector size="30" baseType="lpstr">
      <vt:lpstr>Balance</vt:lpstr>
      <vt:lpstr>Income</vt:lpstr>
      <vt:lpstr>Analysis of Interest</vt:lpstr>
      <vt:lpstr>Bank Capital Calc.</vt:lpstr>
      <vt:lpstr>Calculation of Risk Weighted As</vt:lpstr>
      <vt:lpstr>Calculation of Risk</vt:lpstr>
      <vt:lpstr>Changes in Equity</vt:lpstr>
      <vt:lpstr>Recociliation</vt:lpstr>
      <vt:lpstr>Loans Receivable</vt:lpstr>
      <vt:lpstr>Aging Analysis</vt:lpstr>
      <vt:lpstr>Loan Classification</vt:lpstr>
      <vt:lpstr>Loans to Affiliated P.</vt:lpstr>
      <vt:lpstr>Twenty Largest</vt:lpstr>
      <vt:lpstr>Charge-offs and Recoveries</vt:lpstr>
      <vt:lpstr>Deposits by Client</vt:lpstr>
      <vt:lpstr>Investment Securities</vt:lpstr>
      <vt:lpstr>Bank Assets Analysis</vt:lpstr>
      <vt:lpstr>Bank Liabilities Analysis</vt:lpstr>
      <vt:lpstr>Liquidity Analysis</vt:lpstr>
      <vt:lpstr>Commitments</vt:lpstr>
      <vt:lpstr>Economic Normatives</vt:lpstr>
      <vt:lpstr>Miscellaneous</vt:lpstr>
      <vt:lpstr>allowance</vt:lpstr>
      <vt:lpstr>CASHDIVCOM</vt:lpstr>
      <vt:lpstr>CASHDIVPREF</vt:lpstr>
      <vt:lpstr>TOTASS</vt:lpstr>
      <vt:lpstr>TOTEQT</vt:lpstr>
      <vt:lpstr>TOTLIAB</vt:lpstr>
      <vt:lpstr>'Loan Classification'!Область_печати</vt:lpstr>
      <vt:lpstr>'Loans Receivable'!Область_печати</vt:lpstr>
    </vt:vector>
  </TitlesOfParts>
  <Company>BusinessBank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Ruslan</dc:creator>
  <cp:lastModifiedBy>Администратор</cp:lastModifiedBy>
  <cp:lastPrinted>2016-01-12T09:41:44Z</cp:lastPrinted>
  <dcterms:created xsi:type="dcterms:W3CDTF">2002-11-13T06:29:37Z</dcterms:created>
  <dcterms:modified xsi:type="dcterms:W3CDTF">2016-06-29T08:16:23Z</dcterms:modified>
</cp:coreProperties>
</file>